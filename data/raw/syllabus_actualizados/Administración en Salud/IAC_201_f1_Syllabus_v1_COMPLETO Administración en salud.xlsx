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fabia\Downloads\"/>
    </mc:Choice>
  </mc:AlternateContent>
  <xr:revisionPtr revIDLastSave="11" documentId="13_ncr:1_{D4BFFF88-7A60-4DD9-943C-E8814C00E264}" xr6:coauthVersionLast="47" xr6:coauthVersionMax="47" xr10:uidLastSave="{33A4014A-5D23-4D27-AA57-970CA77EB1B1}"/>
  <bookViews>
    <workbookView xWindow="-120" yWindow="-120" windowWidth="29040" windowHeight="15720" tabRatio="500" firstSheet="28" activeTab="28" xr2:uid="{00000000-000D-0000-FFFF-FFFF00000000}"/>
  </bookViews>
  <sheets>
    <sheet name="Formato Syllabus" sheetId="1" state="hidden" r:id="rId1"/>
    <sheet name="Formato Syllabus_NV" sheetId="2" state="hidden" r:id="rId2"/>
    <sheet name="Formato Syllabus_NV (2)" sheetId="3" r:id="rId3"/>
    <sheet name="Parámetros" sheetId="4" r:id="rId4"/>
    <sheet name="Gestión y Prospectiva Empre VRT" sheetId="5" r:id="rId5"/>
    <sheet name="Economía de Mercado" sheetId="6" r:id="rId6"/>
    <sheet name="NEGOCIA COMO TIBURON" sheetId="7" r:id="rId7"/>
    <sheet name="Innovación y diseño de prototip" sheetId="8" r:id="rId8"/>
    <sheet name="Mercadeo y generación de valor" sheetId="9" r:id="rId9"/>
    <sheet name="Business financial optimization" sheetId="10" r:id="rId10"/>
    <sheet name="Innovative Eco design" sheetId="11" r:id="rId11"/>
    <sheet name="Gestión de Proyectos Colaborati" sheetId="12" r:id="rId12"/>
    <sheet name="Sistemas de Inteligencia Empres" sheetId="13" r:id="rId13"/>
    <sheet name="Dinero y finanzas" sheetId="14" r:id="rId14"/>
    <sheet name="Fundamentos en Salud y Protecci" sheetId="15" r:id="rId15"/>
    <sheet name="Liderazgo Exponencial y Equipos" sheetId="16" r:id="rId16"/>
    <sheet name="ESTRATEGIAS E INDICADORES DE LA" sheetId="17" r:id="rId17"/>
    <sheet name="Administración para la Sostenib" sheetId="18" r:id="rId18"/>
    <sheet name="Gestión de la calidad y mejoram" sheetId="19" r:id="rId19"/>
    <sheet name="Salud Digital" sheetId="20" r:id="rId20"/>
    <sheet name="Fintech strategies for business" sheetId="21" r:id="rId21"/>
    <sheet name="Gestión financiera en salud" sheetId="22" r:id="rId22"/>
    <sheet name="Sistema de mercadeo para la sal" sheetId="23" r:id="rId23"/>
    <sheet name="Gestión de salud digital" sheetId="24" r:id="rId24"/>
    <sheet name="Gestión en salud pública" sheetId="25" r:id="rId25"/>
    <sheet name="Gerencias de sistemas de inform" sheetId="26" r:id="rId26"/>
    <sheet name="Simulación gerencial" sheetId="27" r:id="rId27"/>
    <sheet name="Electiva I GESTIÓN DE LA SEGURI" sheetId="28" r:id="rId28"/>
    <sheet name="Electiva II Hospitales Verdes y" sheetId="29" r:id="rId2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0" i="29" l="1"/>
  <c r="I10" i="28"/>
  <c r="I10" i="27"/>
  <c r="I10" i="26"/>
  <c r="I10" i="25"/>
  <c r="I10" i="24"/>
  <c r="I10" i="23"/>
  <c r="I10" i="22"/>
  <c r="I10" i="21"/>
  <c r="I10" i="20"/>
  <c r="I10" i="19"/>
  <c r="I10" i="18"/>
  <c r="I10" i="17"/>
  <c r="I10" i="16"/>
  <c r="I10" i="15"/>
  <c r="I10" i="14"/>
  <c r="I10" i="13"/>
  <c r="I10" i="12"/>
  <c r="I10" i="11"/>
  <c r="I10" i="10"/>
  <c r="I10" i="9"/>
  <c r="I10" i="8"/>
  <c r="I10" i="7"/>
  <c r="I10" i="6"/>
  <c r="I10" i="5"/>
  <c r="I9" i="2"/>
  <c r="I9" i="1"/>
  <c r="I10" i="3"/>
</calcChain>
</file>

<file path=xl/sharedStrings.xml><?xml version="1.0" encoding="utf-8"?>
<sst xmlns="http://schemas.openxmlformats.org/spreadsheetml/2006/main" count="1848" uniqueCount="397">
  <si>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</si>
  <si>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</si>
  <si>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</si>
  <si>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</si>
  <si>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</si>
  <si>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</si>
  <si>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</si>
  <si>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</si>
  <si>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</si>
  <si>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</si>
  <si>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</si>
  <si>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</si>
  <si>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</si>
  <si>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</si>
  <si>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</si>
  <si>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</si>
  <si>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</si>
  <si>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</si>
  <si>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</si>
  <si>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</si>
  <si>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</si>
  <si>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</si>
  <si>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</si>
  <si>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</si>
  <si>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</si>
  <si>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</si>
  <si>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</si>
  <si>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</si>
  <si>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</si>
  <si>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</si>
  <si>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</si>
  <si>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</si>
  <si>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</si>
  <si>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</si>
  <si>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</si>
  <si>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</si>
  <si>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</si>
  <si>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</si>
  <si>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</si>
  <si>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</si>
  <si>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</si>
  <si>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</si>
  <si>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</si>
  <si>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</si>
  <si>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</si>
  <si>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</si>
  <si>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</si>
  <si>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</si>
  <si>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</si>
  <si>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</si>
  <si>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</si>
  <si>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</si>
  <si>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</si>
  <si>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</si>
  <si>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</si>
  <si>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</si>
  <si>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</si>
  <si>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</si>
  <si>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</si>
  <si>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</si>
  <si>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</si>
  <si>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</si>
  <si>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</si>
  <si>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</si>
  <si>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</si>
  <si>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</si>
  <si>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</si>
  <si>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</si>
  <si>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</si>
  <si>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</si>
  <si>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</si>
  <si>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</si>
  <si>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</si>
  <si>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</si>
  <si>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</si>
  <si>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</si>
  <si>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</si>
  <si>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</si>
  <si>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</si>
  <si>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</si>
  <si>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</si>
  <si>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</si>
  <si>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</si>
  <si>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</si>
  <si>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</si>
  <si>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</si>
  <si>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</si>
  <si>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Modalidad</t>
  </si>
  <si>
    <t>Presencial y Virtual</t>
  </si>
  <si>
    <t xml:space="preserve">Nivel </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</si>
  <si>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</si>
  <si>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</si>
  <si>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</si>
  <si>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</si>
  <si>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</si>
  <si>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</si>
  <si>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</si>
  <si>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</si>
  <si>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</si>
  <si>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</si>
  <si>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</si>
  <si>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</si>
  <si>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</si>
  <si>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</si>
  <si>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</si>
  <si>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</si>
  <si>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</si>
  <si>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</si>
  <si>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</si>
  <si>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</si>
  <si>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</si>
  <si>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</si>
  <si>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</si>
  <si>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</si>
  <si>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</si>
  <si>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</si>
  <si>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</si>
  <si>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</si>
  <si>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</si>
  <si>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</si>
  <si>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</si>
  <si>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</si>
  <si>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</si>
  <si>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</si>
  <si>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</si>
  <si>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</si>
  <si>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</si>
  <si>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</si>
  <si>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PFVADSBOG001</t>
  </si>
  <si>
    <t xml:space="preserve">
AFVN0017</t>
  </si>
  <si>
    <t>X</t>
  </si>
  <si>
    <t>ADMINISTRACIÓN DE EMPRESAS</t>
  </si>
  <si>
    <t xml:space="preserve">GESTIÓN Y PROSPECTIVA EMPRESARIAL </t>
  </si>
  <si>
    <t>La gestión y prospectiva empresarial permite al estudiante conocer la evolución del pensamiento administrativo para la aplicación en las organizaciones contemporáneas, brindando herramientas necesarias para comprender las compañías globalizadas en entornos VUCA (volatility, uncertainty, complexity and ambiguity). Esta unidad de estudio permite identificar y analizar a las organizaciones como sistemas abiertos y su importancia relevante en la sociedad, partiendo de los elementos propuestos desde las teorías de las organizaciones y el comportamiento organizacional, campo de estudio que investiga el impacto que tienen las personas, los grupos y la estructura en el desempeño de las organizaciones. Se implementan pedagogías como el trabajo en equipo, el análisis de casos, la expresión oral y escrita, para promover el pensamiento analítico y crítico de los estudiantes. Así mismo, se fomenta el liderazgo, la mentalidad global y emprendedora, de acuerdo con los lineamientos de la Universidad EAN</t>
  </si>
  <si>
    <t>Interpreta los conceptos clave del pensamiento administrativo y las variables del comportamiento organizacional para el análisis de situaciones empresariales reales y su aplicación en la toma de decisiones estratégicas.</t>
  </si>
  <si>
    <t xml:space="preserve">Comprende conceptos Administrativos, modernos y contemporáneos. 
Reconoce las herramientas de proyección profesional.
El estudiante distingue modelos de Cultura y comportamiento organizacional
Entender ¿Cómo se relaciona la responsabilidad social corporativa con ética y sostenibilidad corporativa?
</t>
  </si>
  <si>
    <t>Esquema de Calificación: (Asignación puntajes, notas y ponderación que tienen las actividades desarrolladas en la Unidad de Estudio).
Nota única 100%
Con porcentajes obtenidos en cada corte académico a través de:
Talleres/ 
Actividades académicas extra (visita empresa, conferencias, congresos, etc.)
Prueba objetiva
Foros
Encuentro (intermedio/prueba supletoria) Solo si aplica
Encuentro (final/prueba extemporánea) Solo si aplica
Parciales
Exposiciones
Proyecto final</t>
  </si>
  <si>
    <t xml:space="preserve">Plataforma Universidad Ean Canva, Herramientas libres: Piktochart, Prezi, Powtoon, Menti, entre otras
</t>
  </si>
  <si>
    <t xml:space="preserve">Bibliografía Obligatoria
Dessler, G. (2022). Administración de Recursos Humanos. México : Pearson Educación.
Jones, G. R., &amp; George, J. M. (2019). Administracion Contemporanea. España: Mc Graw Hill .
Larson, E. W. (2021). Administración de proyectos. España: McGraw-Hill.
Luna González, A. C. (2015). Administración estratégica. México: Grupo Editorial Patria.
Jones, G. y George, J. (2014). Administración Contemporánea (8° ed.) McGraw Hill
Robbins (2010). Administración (10° ed.) Pearson
Hernández, S. y Pulido, A. (2011). Fundamentos de Gestión Empresarial (McGraw Hill)
Ramírez, C. (2009). Fundamentos de Administración, Bogotá D.C., Colombia:ECOE Ediciones
George, C. (2005). Historia del Pensamiento Administrativo (2° ed.) México PearsonEnvironmental Research, 100, 431 -440. 2006.
 Cohen, W. (2008). En clase con Drucker: Diecisiete lecciones magistrales. Bogotá: Grupo Editorial Norma.
Gibson, J., Ivancevich, J., Donnelly, J., &amp; Konopaske, R. (2011). Organizaciones: Comportamiento, Estructura y Procesos. México: Mc Graw Hill.
Jones, G. (2010). Administración Contemporánea. México: Mc Graw Hill.
Newstrom, J., (2015). Organizational Behavior: Human Behavior at Work. Boston: McGraw Hill
Cohen, W. (2008). En clase con Drucker: Diecisiete lecciones magistrales. Bogotá: Grupo Editorial Norma.
Wheelen, T., &amp;Hunger, D. (2013). Administración Estratégica y Política de Negocios (Conceptos y Casos). Bogotá: Pearson. Cap. 4
</t>
  </si>
  <si>
    <t xml:space="preserve">Bibliografía Complementaria
Taylor, F., Fayol, H. (2011). Principios de la Administración Científica y Administración Industrial y General, Bogotá, Colombia: Edigrama
Weber, M. (2001). ¿Qué es la Burocracia? México: Ediciones Coyoacán
Conger, J.,  Kanungo, R. y  Menon, S. (2000). Charismatic Leadership and Follower Effects. Journal of Organizational Behavior, 21, (7), 747-767. Recuperado de: JStor.
Mayo, E. (1972). Problemas Humanos de una Civilización Industrial, Argentina: Nueva Visión
Katz, D. y Khan, R. (1989). Psicología Social de las Organizaciones (2° Ed.), México: Editorial Trillas
Hellriegel, D., &amp; Slocum, J. (2009). Comportamiento Organizacional. México: Cengage Learning.
Fuente: páginas y direcciones electrónicas
1. http://www.dinero.com/home
2. http://www.larepublica.co/inicio
3. http://www.ted.com/ 
Varela, C. (2022). DIVERSIQ. En C. Varela, DIVERSIQ. Bogotá: Planeta.
https://theconversation.com/interseccionalidad-el-camino-para-que-la-administracion-asuma-la-discriminacion-racial-y-de-genero-150242
</t>
  </si>
  <si>
    <t>María Stella Castillo Perea. Hernán Monroy Orjuela</t>
  </si>
  <si>
    <t xml:space="preserve">Noé Velázquez </t>
  </si>
  <si>
    <t>José Alba</t>
  </si>
  <si>
    <t>Creación de Syllabus</t>
  </si>
  <si>
    <t>Actualización Syllabus</t>
  </si>
  <si>
    <t>Ángela Parrado</t>
  </si>
  <si>
    <t>Fabián Díaz</t>
  </si>
  <si>
    <t>José Enrique Alba</t>
  </si>
  <si>
    <t>Aprobación en comité curricular programas en salud</t>
  </si>
  <si>
    <t>2024</t>
  </si>
  <si>
    <t>AFVN0028</t>
  </si>
  <si>
    <t>ECONOMÍA, ADMIN DE EMPRESAS, NEGOCIOS INT, CONTADURÍA, MERCADEO</t>
  </si>
  <si>
    <t>Economía de Mercado</t>
  </si>
  <si>
    <t>La unidad de estudios de Economía de Mercado está orientada a vincular a los estudiantes con la ciencia económica que le permita analizar el contexto económico de las organizaciones a partir de la comprensión de las generalidades y principios del sistema económico mediante de la examinación y aplicación de los conceptos esenciales del análisis microeconómico y macroeconómico.
Para ello se introducen los principales temas tratados por esta ciencia, lo cual servirá como base para la profundización en áreas específicas en semestres siguientes. El punto de partida es la definición de economía, en la cual sobresale su carácter de ciencia social. 
Orientando el análisis económico desde un enfoque microeconómico que analiza cómo toman las decisiones los agentes económicos en mercados específicos. Y desde el enfoque macroeconómico estudiando los principales agregados macroeconómicos, las políticas macroeconómicas y el entorno internacional.</t>
  </si>
  <si>
    <t>Comprende los principios de la ciencia económica y los fundamentos del funcionamiento de las economías de mercado modernas mediante la examinación de los conceptos y resultados prácticos esenciales del análisis microeconómico y macroeconómico y su aplicación al contexto empresarial y la sostenibilidad.</t>
  </si>
  <si>
    <t>1.	Introducción a la ciencia económica y los principios de la economía
2.	Modelos económicos básicos
2.1.	Diagrama de Flujo Circular
2.2.	Frontera de Posibilidades de Producción
3.	Fundamentacion microeconómica
3.1.	Tipos de mercado
3.2.	Análisis de mercado: equilibrio oferta-demanda
3.3.	Elasticidades de demanda y oferta
3.4.	Eficiencia: excedente del consumidor y productor
3.5.	Microeconomía y medio ambiente: principios básicos
4.	Fundamentos de macroeconomía
4.1.	Agregados macroeconómicos: medición e implicaciones
4.1.1.	PIB, crecimiento, productividad
4.1.2.	IPC e inflación
4.1.3.	Desempleo y Mercado Laboral
4.1.4.	Pobreza y desigualdad
4.2.	El banco central y el sistema financiero: dinero e interés
4.3.	Ventaja comparativa, tasas de cambio y el sector externo
4.4.	Introducción a la política económica</t>
  </si>
  <si>
    <t>Esquema de Calificación: (Asignación puntajes, notas y ponderación que tienen las actividades desarrolladas en la Unidad de Estudio).
La Unidad de estudio semestral posee cuatro cortes:
Primer corte 20%
Segundo corte 20%
Tercer corte 30%
Cuarto corte 30%
Cada corte estará distribuido así:
-	Talleres grupales
-	Controles de lectura
-	Investigación/Informe/Estudio de caso                         
-	Evaluación de Corte
-	Participación en eventos y salidas académicas</t>
  </si>
  <si>
    <t>Aula virtual</t>
  </si>
  <si>
    <t>10%</t>
  </si>
  <si>
    <t>Mankiw, G.  (2020). Principios de Economía.  Cengage Learning. 330M278
Cárdenas, M.  (2020). Introducción a la Economía colombiana. Alpha Editorial. 330.9861C266
Banco de la República.  (1998). Introducción al Análisis Económico. Siglo del Hombre Editores. 330B213
Samuelson, P. y Nordhaus, W. (2010).  Economía con aplicación a Latinoamérica. McGGraw- Hill Education. 330S197ec
Sowell, Thomas. (2013). Economía Básica. Deusto.</t>
  </si>
  <si>
    <t xml:space="preserve">Bibliografía Complementaria
Nieto, Mauricio. (2023). Fundamentos de Economía: una aplicación de las teorías y su análisis crítico. ECOE Ediciones.
Krugman, P., Wells, R. y Olney, M. (2010) Fundamentos de Economía. Editorial Reverté. 330 K943
Parkin, M. (2018) Economía. McGraw Hill. 330P237
Samuelson, P. y Nordhaus, W. (2019).  Economía con Aplicaciones. McGGraw- Hill
Podcasts y RRSS:
Economía de a Pie (Bancolombia)
Investigaciones Económicas (Corficolombiana)
Economicast (El Tiempo)
Economía para la pipol
Tuttle Twins (caricatura)
Blogs y sitios web:
https://fee.org/articles/topics/Economics 
https://www.project-syndicate.org/section/economics 
https://www.imf.org/es/Blogs 
</t>
  </si>
  <si>
    <t>1</t>
  </si>
  <si>
    <t>4/9/2023</t>
  </si>
  <si>
    <t>Sergio Rodriguez Apolinar</t>
  </si>
  <si>
    <t>Primera versión</t>
  </si>
  <si>
    <t>AFVN0023</t>
  </si>
  <si>
    <t>Negocios Internacionales</t>
  </si>
  <si>
    <t>Negocia como Tiburón</t>
  </si>
  <si>
    <t>Utiliza los elementos fundamentales de la negociación a partir de las técnicas,  estrategias, modelos, teorías y  principios básicos.</t>
  </si>
  <si>
    <t>Comprende los elementos básicos inherentes al manejo positivo del conflicto, las diferentes importancia de desarrollar su inteligencia emocional como bases de una negociación
Determina todos los aspectos, elementos, tácticas, intereses, posiciones presentes en las diferentes etapas de un proceso de Negociación.
Enfatiza en el desarrollo de sus competencias blandas, la definición de su perfil de negociación e inteligencia adaptativa y su aplicación a los procesos, como vía para alcanzar
Creación syllabus Velázquez</t>
  </si>
  <si>
    <t>Esquema de Calificación: (Asignación puntajes, notas y ponderación que tienen las actividades desarrolladas en la Unidad de Estudio).
Participación en clase y contribución a debates: 20%
Análisis de casos y estudios de investigación: 40%
Talleres y exposiciones: 30%
Proyecto final: 10%</t>
  </si>
  <si>
    <t>20%</t>
  </si>
  <si>
    <t>Barrot, F., et al. (2008). Más Allá De Maquiavelo, Herramientas Para Afrontar Conflictos, Buenos Aires: Granica. 
Dennis A. (1985) Como Mejorar Su Capacidad De Negociación. N.Y: Alexander Hamilton Institute
Fisher, R., Ury, W., &amp; Patton, B. (2011). Getting To Yes: Negotiating Agreement Without Giving In. Penguin Books.
Hammond, J. S., Keeney, R., &amp; Raiffa, H. (2000). Decisiones inteligentes: Guía práctica para tomar decisiones inteligentes. Barcelona: Gestión.
Hawer, D A. (1985). Como Mejorar Su Capacidad De Negociación. N.Y: Alexander Hamilton Institute, 
Inc Hill, W, Charles. (S. F.) Negocios Internacionales, Universidad De Washington, 
Janosik, R. (1987). “Thinking The Culture Negotiations Link”, In Negotiation Journal, Volume 3-4 October 1987 
Lewicki, R. J., Barry, B., &amp; Saunders, D. M. (2019). Negotiation: Readings, Exercises, And Cases. Mcgraw-Hill Education
Malaret, J. (2007) Negociación En Acción. Brasil: Díaz De Santos.
Malhotra, D. (2015). Negotiation Genius: How To Overcome Obstacles and Achieve Brilliant Results At The Bargaining Table And Beyond. Bantam.
Merle, M. (1988) Sociología De Las Relaciones Internacionales. París:Dalloz. 
Puyol, L. (2009) El Libro De La Negociación. Brasil: Díaz De Santos.
Raiffa, H. (1992) The Art &amp; Science Of Negotiation. Harvard (Usa): Harvard University Press
Ury, W., Fisher, R., &amp; Patton, B. (2011). Obtenga el sí. El arte de negociar sin ceder. México: Continental</t>
  </si>
  <si>
    <t xml:space="preserve">Bibliografía Complementaria
Juárez, S. M. (2012). proncoes: Programa de negociación del conflicto escolar. Conhisremi, 8(1), 72-82.
Lago, E. L. (2016). Construyendo acuerdos: Teoría y práctica de la negociación. España: Díaz de Santos.
Leon-Perez, J. M., Medina, F. J., &amp; Munduate, L. (2008). Relaciones curvilineas de la autoeficacia en la negociacion curvilinear relations of self-efficacy in negotiation. Revista De Psicología Social, 23(2), 181-191. doi:10.1174/021347408784135869
Malaret Miracle, J. A. (2011). Negociación en acción el proceso 360º: Acuerdos eficaces en la mesa de negociación (2.ªón. ed.). Madrid: Ediciones Diaz de Santos.
Molina, M. L., &amp; Villavicencio, Z. B. (2009). rol de las alternativas en la negociación. Contribuciones a La Economía.
Munduate Jaca, L., &amp; Meina Díaz, F. J. (2013). Gestión del conflicto, negociación y mediación. Madrid: Difusora Larousse - Ediciones Pirámide.
Ogliastri, E., &amp; Barbosa, F. (1992). El sistema japonés de negociación: La experiencia de américa latina. Santafé de Bogotá; Santafé de Bogotá; Buenos Aires; Caracas: McGraw-Hill.
Ogliastri Uribe, E. (2001). ¿Cómo negocian los colombianos? Bogotá: Alfaomega.
Oviedo Alban, J. (2012). Negociación y documentos preliminares en la contratación internacional. Revista De Derecho Privado (1998), 22(22), 73-106.
Rettberg, A., De Lombaerde, P., Lizarazo-Rodriguez, L., &amp; 
Ortiz-Riomalo, J. F. (2014). Derechos, libre comercio y politica: El uso estrategico de un discurso de derechos en la negociacion de tratados de libre comercio. Revista Colombia Internacional, (81), 129. doi:10.7440/colombiaint81.2014.05
Santos Guerra,  M. &amp; Lourdes De la Rosa Moreno. (2017). La negociación, piedra angular de las investigaciones. Educatio Siglo XXI, 35(2), 295. doi:10.6018/j/298621
</t>
  </si>
  <si>
    <t>0</t>
  </si>
  <si>
    <t>Mónica Pastrana</t>
  </si>
  <si>
    <t>Noé Velázquez</t>
  </si>
  <si>
    <t>José E Alba</t>
  </si>
  <si>
    <t>Creación syllabus</t>
  </si>
  <si>
    <t>AFVN0044</t>
  </si>
  <si>
    <t>Innovación y Diseño de Prototipos</t>
  </si>
  <si>
    <t>La innovación y la creación de prototipos son fundamentales para el éxito en los negocios en un mundo globalizado y competitivo en constante cambio. Estos procesos facilitan la generación de nuevos productos y servicios que pueden ofrecer soluciones únicas a desafíos complejos. Las empresas comprometidas con la innovación y la creación de prototipos suelen tener una ventaja competitiva, pudiendo adaptarse rápidamente a las fluctuaciones del mercado y satisfacer más eficazmente las necesidades de sus clientes. La innovación y el diseño de prototipos permiten a las empresas generar valor de manera eficiente, rápida y de calidad, en línea con las tendencias globales y locales de consumo.
Además, el estudio de la innovación y la creación de prototipos promueve el desarrollo del pensamiento crítico en los estudiantes, así como la capacidad de resolver problemas utilizando herramientas de creatividad y metodologías eficientes. Esto fomenta el uso eficiente de los recursos y el conocimiento, el trabajo en equipo, la resiliencia y el aprendizaje continuo.
Los estudiantes comprenderán el concepto de innovación y creatividad, así como su relevancia para el mundo empresarial y la sostenibilidad. En este curso se incorpora la etnografía y la aplicación de herramientas creativas, técnicas y metodologías de innovación y prototipado para desarrollar soluciones a las necesidades de los consumidores y a los desafíos empresariales, así como para la creación de nuevos negocios. Además, los estudiantes serán capaces de diseñar prototipos para convertir ideas en productos o servicios tangibles mediante el uso de tecnología, y probar sus procesos de innovación. También desarrollarán habilidades en pensamiento crítico, trabajo en equipo y adaptabilidad, todas esenciales para el éxito en un entorno empresarial en constante cambio.</t>
  </si>
  <si>
    <t>Esquematiza las ideas y soluciones generadas mediante la aplicación de técnicas de creatividad e innovación para generar propuestas de valor agregado.</t>
  </si>
  <si>
    <t>Reconocer los conceptos básicos de Innovación y Introducción a la innovación Tipos de innovación Innovación y creatividad
empresarial. La innovación y la sostenibilidad La arquitectura de la innovación. Coolhunting
Diseño centrado en el usuario: Design Thinking Etnografía y técnicas de investigación de Creación de personas y mapas de empatía
Ideación y Creatividad: Herramientas para desarrollar la creatividad Herramientas para la ideación
Lean Startup, Pretotyping y Diseño de Prototipos: Que es el Lean Startup y cómo se aplica en la innovación. Diseño de pretotyping y el Lean Canvas
Creación syllabus Velázquez</t>
  </si>
  <si>
    <t>Esquema de Calificación: (Asignación puntajes, notas y ponderación que tienen las actividades desarrolladas en la Unidad de Estudio).
Esquema de Calificación: (Asignación puntajes, notas y ponderación que tienen las actividades desarrolladas en la Unidad de Estudio).</t>
  </si>
  <si>
    <t>Canvas</t>
  </si>
  <si>
    <t>30%</t>
  </si>
  <si>
    <t>1.	Brown, Tim. (2019). Change by Design. Harper Business. 
2.	Dyer, Jeff. Gregerson, Hal. Christensen, Clayton M. (2011). The Innovator’s DNA. Matering The Five Skills of Disruptive Innovators. Harvard Business Review. 
3.	Gannett, Allen. (2018). The Creative Curve. How to Develop The Right Idea at The Right Time. Crown Currency. 
4.	Grant Adam. (2017). Originales. Cómo los innovadores e inconformes mueven el mundo. Editorial Planeta, Paidós Empresa. 
5.	Conejero, A., Ayala, P., Martínez, M., &amp; Fernández, M. (2022). Prototipado Industrial: Guía para Diseñadores. (1st ed.). PARRAMóN PAIDOTRIBO.
6.	Aagaard, Annabeth. (Ed.). (2019). Sustainable Business Models : Innovation, Implementation and Success (1st ed. 2019.). Springer International Publishing. https://doi.org/10.1007/978-3-319-93275-0
7.	Keely, Larry., Pikkel, Ryan., Quinn, Brian., Walters, Helen. (2013). Ten Types of Innovation, The Discipline of Building Breakthroughs. John Wiley &amp; Sons. Inc.
8.	Ries, Eric. (2011). The Lean Startup. How Today’s Entrepreneurs Use Continous Innovation to Create Radically Succesful Businesses. Currency.
9.	Drucker, Peter F. (2007). Innovation and Entrepreneurship. ButerworthHeineman</t>
  </si>
  <si>
    <t xml:space="preserve">Bibliografía Complementaria
1.	Rubin, Rick. (2023). The Creative Act: A Way of Being. Penguin Press. New York. 
2.	Anheier, Helmut K., Krlev Gorgi., and Mildenberger. Georg., (2019). Social Innovation, Comparative Perspectives. Routledge Taylor and Francisc Group.
3.	Fadell, Tony. (2022). Build. An Unorthodox Guide to Making Things Worth Making. Penguin Random House UK. 
4.	Satell, Greg. (2017). Mapping Innovation.  A Playbook for Navigating a Disruptive Age. McGraw-Hill Education. </t>
  </si>
  <si>
    <t>11/09/24</t>
  </si>
  <si>
    <t>ANA MARÍA GÓMEZ</t>
  </si>
  <si>
    <t>AFVN0019</t>
  </si>
  <si>
    <t>ADMINISTRACIÓN EN SALUD</t>
  </si>
  <si>
    <t>Mercadeo y Generación de Valor para Negocios</t>
  </si>
  <si>
    <t xml:space="preserve">La innovación y la creación de prototipos son fundamentales para el éxito en los negocios en un mundo globalizado y competitivo en constante cambio. Estos procesos facilitan la generación de nuevos productos y servicios que pueden ofrecer soluciones únicas a desafíos complejos. Las empresas comprometidas con la innovación y la creación de prototipos suelen tener una ventaja competitiva, pudiendo adaptarse rápidamente a las fluctuaciones del mercado y satisfacer más eficazmente las necesidades de sus clientes. La innovación y el diseño de prototipos permiten a las empresas generar valor de manera eficiente, rápida y de calidad, en línea con las tendencias globales y locales de consumo.
Además, el estudio de la innovación y la creación de prototipos promueve el desarrollo del pensamiento crítico en los estudiantes, así como la capacidad de resolver problemas utilizando herramientas de creatividad y metodologías eficientes. Esto fomenta el uso eficiente de los recursos y el conocimiento, el trabajo en equipo, la resiliencia y el aprendizaje continuo.
Los estudiantes comprenderán el concepto de innovación y creatividad, así como su relevancia para el mundo empresarial y la sostenibilidad. En este curso se incorpora la etnografía y la aplicación de herramientas creativas, técnicas y metodologías de innovación y prototipado para desarrollar soluciones a las necesidades de los consumidores y a los desafíos empresariales, así como para la creación de nuevos negocios. Además, los estudiantes serán capaces de diseñar prototipos para convertir ideas en productos o servicios tangibles mediante el uso de tecnología, y probar sus procesos de innovación. También desarrollarán habilidades en pensamiento crítico, trabajo en equipo y adaptabilidad, todas esenciales para el éxito en un entorno empresarial en constante cambio.
</t>
  </si>
  <si>
    <t xml:space="preserve">Identifica los principios básicos y las herramientas de mercadeo para el cumplimiento de los objetivos en las organizaciones, garantizando la generación de valor para un producto o servicio, integrando los elementos clave de mercadeo. </t>
  </si>
  <si>
    <t>Fundamentos del Mercadeo Identificar los conceptos básicos del mercadeo tales como: Introducción al mercadeo y su rol en los
Conocer las herramientas para realizar: productos
Comunicación y Logística de Marketing comercializar productos o servicios: Promoción y comunicación de marketing Canales de distribución y logística
Gestión de Marca e Introducción al Marketing Conocer los elementos básicos para gestionar y Gestión de marca y construcción de relaciones con el cliente
Creación y desarrollo Syllabus flexible</t>
  </si>
  <si>
    <t>60%</t>
  </si>
  <si>
    <t xml:space="preserve">Barón López, E. (2017). Fundamentos de
Mercadeo. 
Benassini, M. (2014). Introducción a la
investigación de mercados: un enfoque para
América Latina. Pearson Educación. Tercera
Edición.
Briceño Ariza, L. (2016). Fundamentos de
mercadeo: tendencias del mercado y
comportamiento del consumidor
Chaffey, D. y Ellis-Chadwick, F. (2014).
Marketing Digital:: estrategia, implementación 
práctica. México: Pearson
Design Counsil (2007), Eleven Lessons:
Managing Design in Eleven Global Brands. A
Study of the Design Process
Kerin, R. A., Hartley, S. W.(2023). Marketing. McGraw-Hill Interamericana. https://www-ebooks7-24-com.bdbiblioteca.universidadean.edu.co/?il=31453
Kotler, P., Armstrong, G.(2021). Fundamentos de Marketing. Pearson Educación. https://www-ebooks7-24-com.bdbiblioteca.universidadean.edu.co/?il=16954
Martin, D. M., &amp; Schouten, J. (2011)
Sustainable marketing (p. 264). Pearson
Prentice Hall.
</t>
  </si>
  <si>
    <t xml:space="preserve">Bibliografía Complementaria
Arévalo Acosta, G. (2019-11.). Fundamentos de mercadeo. Cómo buscan el éxito las organizaciones. Bogotá: Fundación Universitaria del Área Andina, 2019.
Botero Cardona, L. (2015). Evolución histórica del marketing
Cateora, P. R., Gilly, M. C., &amp; Graham, J. L. (2013). Marketing internacional. México. AMGH.
Crane, F. G., Kerin, R. A., Hartley, S. W., Berkowitz, E. N., &amp; Rudelius, W. (2014). Marketing. México: McGraw-Hill Interamerican.
Kotler, P., Kartajaya, H., &amp; Setiawan, I. (2011). Marketing 3.0: Cómo atraer a los clientes con un marketing basado en valores. Bogotá: Ediciones de la U.
Lamb, C., Hair, J. and McDaniel, C. (2010). Marketing. México: Thomson.  
Loundon, D. &amp; Della Bitta, A., (2010). Comportamiento del Consumidor. México: Mc Graw Hill.
Stanton, W. (2007). Fundamentos de Marketing. México: Mc Graw Hill. 
  </t>
  </si>
  <si>
    <t>01</t>
  </si>
  <si>
    <t>11/05/2024</t>
  </si>
  <si>
    <t>Ana María Gómez</t>
  </si>
  <si>
    <t>Haidy Moreno</t>
  </si>
  <si>
    <t>Creación y desarrollo Syllabus flexible</t>
  </si>
  <si>
    <t>AFVN0032</t>
  </si>
  <si>
    <t>Contaduría Publica</t>
  </si>
  <si>
    <t>Business Financial Optimization</t>
  </si>
  <si>
    <t>El estudiante explica la naturaleza, la fuente y el propósito de la información de gestión.</t>
  </si>
  <si>
    <t>El estudiante explica la naturaleza, la fuente y el propósito de la información de gestión.
El estudiante aplica análisis de datos y técnicas estadísticas.
El estudiante entiende y aplica las técnicas de
El estudiante prepara presupuestos de
El estudiante entiende y aplica medidas de medición del desempeño empresarial.
[Creación Syllabus ]</t>
  </si>
  <si>
    <t>20/06/2024</t>
  </si>
  <si>
    <t>Victoria Cabarcas</t>
  </si>
  <si>
    <t>Diego Matituy</t>
  </si>
  <si>
    <t>Creación Syllabus .mark</t>
  </si>
  <si>
    <t>AFVN0049</t>
  </si>
  <si>
    <t>Innovative Eco Design</t>
  </si>
  <si>
    <t>Este curso ofrece una exploración profunda de la innovación y el diseño de soluciones sostenibles inspiradas en la naturaleza. A lo largo del curso, los estudiantes tendrán la oportunidad de aprender y aplicar los principios de la biomimética y el eco-diseño. Estos principios serán utilizados para abordar una variedad de desafíos ambientales y sociales. Además, se analizarán estudios de caso y ejemplos prácticos que ilustran cómo estas metodologías pueden ser implementadas en el mundo real. El curso también incluirá talleres y proyectos colaborativos para fomentar la creatividad y el pensamiento crítico en la búsqueda de soluciones sostenibles.</t>
  </si>
  <si>
    <t>Desarrolla productos y servicios innovadores con un enfoque sostenible, aplicando principios de eco-diseño y ecoinnovación.</t>
  </si>
  <si>
    <t>Reconoce los diferentes tipos de innovación,las herramientas de creatividad como design thinking y los Principios de sostenibilidad
Comprende la Biomimética y Eco-Diseño,definición y principios básicos,la historia y evolución de la biomimética,del ciclo de vida, materiales y uso de recursos
Aplica el proceso de la eco-innovación, Investigación, Estructuración de retos, Técnicas de creatividad e ideación, Prototipado y pruebas de conceptos
Creación de Velázquez</t>
  </si>
  <si>
    <t>•	Benyus, J. M. (1997). Biomimicry: Innovation Inspired by Nature.
•	Canale, G. (2015). Ecodiseño: materialoteca perfil ambiental y ciclo de vida de los materiales: ( ed.). Editorial Nobuko. https://elibro-net.bdbiblioteca.universidadean.edu.co/es/lc/bibliotecaean/titulos/144322
•	Charter, M., &amp; Tischner, U. (2001). "Sustainable solutions: developing products and services for the future." Greenleaf Publishing.
•	Dresner, S., 2002. The principles of sustainability. Routledge
•	McDonough, W., &amp; Braungart, M. (2002). "Cradle to Cradle: Remaking the Way We Make Things." North Point Press.
•	Vincent, J. F., Bogatyreva, O. A., Pahl, A. K., et al. (2006). Biomimetics: its practice and theory.</t>
  </si>
  <si>
    <t>Bibliografía Complementaria
•	Godin, Seyth. 2022 The Carbon Almanac Network. The Carbon Almanac: It's Not Too Late (p. iv). Penguin Publishing Group. 
•	Garcia Samantha. 2024. Regenerative Business: How to align your business with nature for more abundance, fullfillment, and impact. Dirty Alchemy Inc.
•	Norman, Don. 2023. Design for a better world. Meaningful, sustainable, humanity centered. Thr MIT Press.</t>
  </si>
  <si>
    <t>17/06/24</t>
  </si>
  <si>
    <t>Ana María Gómez Sanabria</t>
  </si>
  <si>
    <t>Gestión de Proyectos Colaborativos</t>
  </si>
  <si>
    <t>En la actualidad, la colaboración interdisciplinaria y la gestión efectiva de equipos son fundamentales para abordar desafíos complejos. Esta unidad justifica su importancia al proporcionar a los estudiantes las herramientas y estrategias necesarias para mejorar sus competencias para liderar proyectos colaborativos con eficacia, promoviendo la innovación y el logros exitosos y sostenibles. 
Las estrategias de negocio se cristalizan en proyectos, por lo que los estudiantes deben estar en capacidad de formular, evaluar y gestionar los mismos, analizando los posibles riesgos que pueda tener durante su ejecución. En el mundo de los negocios, el administrador de empresas requiere tener un conjunto de competencias conductuales, técnicas y de contexto (ISO 21500) y de emprendimiento que le permitan direccionar y gestionar proyectos con una visión integral y holística.</t>
  </si>
  <si>
    <t>Formula y gestiona proyectos de inversión con base en los factores organizacionales, financieros y criterios ESG, desde un marco de competencias integrales aplicadasG y sostenibilidad.</t>
  </si>
  <si>
    <t>Identificar la Terminología relacionada con la gestión de proyectos colaborativos , en el marco de los criterios ESG y sostenibilidad.
Reconocer el ciclo de vida del proyecto, procesos y sus elementos transversales (partes Técnico del Proyecto - Grado de Apalancamiento Operativo, Financiero. Variables financieras
[]Distinguir y maneja las diferentes competencias de perspectiva (Contexto), personas (conductuales) y practica (técnicas)
Aplicar el marco de trabajo para gestión de proyectos colaborativos (Trabajo en equipo, comunicación, liderazgo, toma decisiones, negociación, manejo de conflictos, inventiva)
Creación de Velázquez</t>
  </si>
  <si>
    <t>1.	IPMA. (2018). IPMA Reference Guide ICB4 V.4 
2.	Hedeman, B., &amp; Riepma, R. (2023). Project Management by ICB4 (IPMA Series). IPMA/Van Haren.
3.	Izar Landeta, J. M. (2016). Gestión y evaluación de proyectos: ( ed.). Cengage Learning. https://elibro-net.bdbiblioteca.universidadean.edu.co/es/lc/bibliotecaean/titulos/40039
4.	Moreno Monsalve, N. A., Sanchez Ayala, L. M., &amp; Velosa García, J. D. (2016). Introducción a la Gerencia de Proyectos: Concepto y Aplicación. Bogotá: Ediciones EAN.
5.	Reyes González, J., &amp; Pimentel Villalaz, L. (2021). Guía Básica de los Elementos de Competencia de la Dirección de Proyectos</t>
  </si>
  <si>
    <t>Bibliografía Complementaria
1.	Hedeman, B., &amp; Riepma, R. (2023). Project Management by ICB4 (IPMA Series). IPMA/Van Haren.
2.	Favari, E. (2023). Project Management: Leading Change in the Age of Complexity. Springer Nature.
3.	Kuster, J., Bachmann, C., Hubmann, M., Lippmann, R., &amp; Schneider, P. (2023). Project Management Handbook: Agile-Traditional-Hybrid (Vol. 2). Springer.
4.	Ajam, M. (2018). Project management beyond waterfall and agile. Auerbach Publications.</t>
  </si>
  <si>
    <t>25/06//24</t>
  </si>
  <si>
    <t>Carlos Godfrey</t>
  </si>
  <si>
    <t>AFVN0052</t>
  </si>
  <si>
    <t>Administración de Empresas</t>
  </si>
  <si>
    <t>Sistemas de Inteligencia Empresarial</t>
  </si>
  <si>
    <t>El curso de Sistemas de Inteligencia. Empresarial tiene como objetivo formar profesionales capaces de comprender, diagnosticar y proponer herramientas y técnicas de inteligencia empresarial mediante el uso efectivo de tecnologías de la información y análisis de datos. Los estudiantes desarrollarán competencias técnicas, pensamiento analítico e innovación, aspectos fundamentales en el entorno empresarial actual. Este curso responde a la creciente demanda de profesionales capaces de transformar datos en información valiosa, aportando al perfil del egresado habilidades clave para enfrentar los retos de la transformación digital y generar una ventaja competitiva para la organización.</t>
  </si>
  <si>
    <t>Recomienda el sistema de gestión de información de acuerdo con la tecnología y el conocimiento disponible en la organización aplicando técnicas de inteligencia empresarial para la toma de decisiones estratégicas y la creación de ventajas competitivas sostenibles</t>
  </si>
  <si>
    <t>- Análisis de Casos importancia en la toma de - Taller prácticos decisiones
Proyecto de limpieza de gestión de datos como Storytelling con los datos inteligencia empresarial,
Desafío de implementación Análisis de casos de implementación exitosa de un sistema de
Creación de VELÁZQUEZ Hernández</t>
  </si>
  <si>
    <t>Laudon, K. C., &amp; Laudon, J. P. (2022). Management Information Systems: Managing the Digital Firm (15th ed.). Pearson. https://www-ebooks7-24-com.bdbiblioteca.universidadean.edu.co/?il=16588&amp;pg=1 
O'Brien, J. A., &amp; Marakas, G. M. (2011). Management Information Systems (10th ed.). McGraw-Hill.
Turban, E., Sharda, R., &amp; Delen, D. (2017). Business Intelligence: A Managerial Perspective on Analytics (10th ed.). Pearson.     
Pardoe, I. (2016). Applied Predictive Modeling. Springer.
Ramos, J. F. (2018). Inteligencia de Negocios: Herramientas para la toma de decisiones estratégicas. Editorial Alfaomega.
Russom, P. (2011). The Data Warehouse Institute's (TDWI) BI Maturity Model. TDWI.</t>
  </si>
  <si>
    <t xml:space="preserve">Bibliografía Complementaria
Red Design Systems. (2024, mayo 30). La evolución de la inteligencia de negocios: Desde los inicios hasta la IA. https://reddesignsystems.com/2024/05/30/historia-inteligencia-negocios/
Eboigbe, E. O., Farayola, O., Olatoye, F. O., &amp; Chinwe, N. O. (2023). Business intelligence transformation through AI and data analytics. ResearchGate. https://www.researchgate.net/publication/376068930_BUSINESS_INTELLIGENCE_TRANSFORMATION_THROUGH_AI_AND_DATA_ANALYTICS
Lapiedra Alcami, R., Devece Carañana, C., &amp; Guiral Herrando, J. (Año). Introducción a la gestión de sistemas de información en las empresas. Metabiblioteca. https://libros.metabiblioteca.org/server/api/core/bitstreams/7d943307-adc9-450d-83a4-6638f1bd24b0/content
Joyanes Aguilar, L. (2019). Roles profesionales relacionados con datos. En Inteligencia de negocios y analítica de datos. (1ª Ed., pp. 135). Alfaomega. Disponible en: https://bit.ly/47LN346
McKinsey &amp; Company. (Año). La toma de decisiones en su organización: Cómo abrirse paso entre el desorden. McKinsey &amp; Company. https://www.mckinsey.com/capabilities/people-and-organizational-performance/our-insights/decision-making-in-your-organization-cutting-through-the-clutter
Rodríguez Rodríguez, J. M., &amp; Daureo Campillo, M. J. (Año). Sistemas de información: Aspectos técnicos y legales. [Nombre de la plataforma]. http://148.202.167.116:8080/xmlui/bitstream/handle/123456789/973/Sistemas%20de%20informacion%20aspectos%20tecnicos%20y%20legales.pdf?sequence=1&amp;isAllowed=y
</t>
  </si>
  <si>
    <t>Naira Y Hernández</t>
  </si>
  <si>
    <t>NOÉ VELÁZQUEZ</t>
  </si>
  <si>
    <t>Creación de syllabus</t>
  </si>
  <si>
    <t>Dinero y Finanzas</t>
  </si>
  <si>
    <t>Los profesionales eanistas se caracterizan por su capacidad para tomar decisiones informadas, utilizando criterios claros y objetivos. Para que esta toma de decisiones sea eficiente, se deben considerar todos los posibles efectos que pueden generar, incluyendo aquellos que se verán reflejados en la información financiera de las empresas. 
Es por ello, que nuestros estudiantes deben adquirir herramientas que les permitan comprender cómo se comportan los flujos de efectivo entrantes y salientes de una empresa, de qué manera los afecta el valor del dinero en el tiempo cuando se dan en diferentes períodos, qué impacto tienen las tasas de interés utilizadas para medir su variación, y de qué manera se deben aplicar los criterios que determinan si una alternativa o proyecto de inversión debe aceptarse o rechazarse. 
Esta unidad de estudio le permite a los profesionales eanistas desarrollar destrezas en el manejo del dinero a través del tiempo, el cálculo de tasas de interés y en el análisis de las implicaciones de los criterios de rentabilidad, los cuales son elementos fundamentales para la adecuada toma de decisiones financieras a través de su aplicación práctica en la solución de problemas.</t>
  </si>
  <si>
    <t>Resuelve problemas financieros mediante el uso de los conceptos relacionados con el valor del dinero en el tiempo.</t>
  </si>
  <si>
    <t>académico significativo que marca un momento importante en el proceso de aprendizaje del estudiante y que contribuye al logro del resultado de aprendizaje de la unidad de
Contextualización de las matemáticas financieras. Concepto de valor del dinero en el tiempo. Concepto de equivalencia y tasa de interés.
Equivalencia financiera. Valor presente, valor futuro. Diagramas de flujo de efectivo (fórmula, tasa de interés, tiempo, valor presente y
Series uniformes. Concepto de anualidades y gradientes: Anualidades vencidas Anualidades anticipadas.
Gradientes Aritmético Decreciente
Equivalencia de tasas: Periódica a Periódica. Caso I Nominal a Periódica Caso II Periódica a Efectiva Anual Caso III Efectiva Anual a Periódica</t>
  </si>
  <si>
    <t xml:space="preserve">Aguilera, V. y Díaz, G. (2020). Matemáticas financieras. McGraw-Hill Interamericana.
Agudelo, D. y Fernández, A. (2019) Matemáticas financieras: conceptos y aplicaciones.  Bogotá: Pearson. 
http://www.ebooks7-24.com.bdbiblioteca.universidadean.edu.co/?il=7897
Ángel, P. Santacruz, J (2010) Decisiones financieras bajo incertidumbre. Escuela Colombiana de Ingeniería. Pearson.
Broverman, S. (2015). Mathematics of investment and credit. 6th ed. ACTEX Publications.
Cano, A. (2017). Matemáticas financieras, aplicada a ciencias económicas, administrativas y contables. Segunda edición. Ediciones de la U.
García, J. (2008). Matemáticas financieras con ecuaciones de diferencia finita. Quinta edición. Editorial Pearson Prentice Hall. 
Gutiérrez, J. (2012). Matemáticas Financieras con fórmulas, calculadora financiera y Excel. Editorial ECOE. </t>
  </si>
  <si>
    <t>1/11/2023</t>
  </si>
  <si>
    <t>Adrián Cañón</t>
  </si>
  <si>
    <t>Diego Armando Matituy</t>
  </si>
  <si>
    <t>Administración en Salud</t>
  </si>
  <si>
    <t>Fundamentos en Salud y Protección Social en Colombia y en el Mundo</t>
  </si>
  <si>
    <t>Esta unidad tiene como propósito brindar a los estudiantes una comprensión integral de los sistemas de salud y protección social, tanto en Colombia como en contextos internacionales. Se busca que los futuros profesionales desarrollen una mirada crítica y comparativa sobre la organización, los principios, la financiación y los actores clave de estos sistemas, de manera que comprendan su papel como administradores en el fortalecimiento de la equidad, eficiencia y sostenibilidad en el acceso a los servicios de salud.</t>
  </si>
  <si>
    <t>Comprende los elementos fundamentales de la protección social del aseguramiento mediante el uso de herramientas digitales y tendencias innovadoras.</t>
  </si>
  <si>
    <t>Introducción a los sistemas de salud y aseguramiento, y modelos de protección social Esta temática aborda los fundamentos conceptuales de los sistemas de salud y su relación con los modelos de aseguramiento y protección social. Se exploran las formas en que los países organizan, financian y regulan el acceso a los servicios de salud, así como los distintos mecanismos mediante los cuales se busca garantizar la cobertura y la equidad para la población. Panorama y contexto del sistema de seguridad social en Colombia: historia, evolución, marco legislativo y social. Esta temática ofrece una visión integral del desarrollo del Sistema de Seguridad Social en Colombia, destacando su evolución histórica desde los primeros esquemas asistenciales hasta la implementación del modelo actual basado en la</t>
  </si>
  <si>
    <t xml:space="preserve">	International Development Research Centre, Rico de Sotelo, C., &amp; Hernández Bello, A. (2011). Protección social en salud en América Latina y el Caribe : investigación y políticas (1st ed.). Centro Internacional de Investigaciones para Dessarrollo/International Development Research Centre.
	Delamonica, E. (2024). Protección social y salud infantil: desafíos en la medición del impacto de la inversión pública en salud. Journal de Ciencias Sociales, 2(23), 4–21. https://doi.org/10.18682/jcs.v2i23.11871
	García, A. C., Amaya Navas, Á., Galvis, S., Cárdenas López, H., Bonilla Dueñas, A., Maldonado, C. E., Sandoval París, J., Galeano, L., Arango, D., Gómez-Barrera, L. A., &amp; Carlos Eduardo Maldonado. (2020). Revisión de los modelos explicativos de la salud pública. sujetos, prácticas y salud: una interpretación. In Salud y No Enfermedad (1st ed., pp. 157-). Universidad del Bosque. https://doi.org/10.2307/jj.5329314.9
	Juan de la Cruz Ferrer. (2020). Elementos y modelos de sistemas de salud. En Regulación de la sanidad. Motivos, modelos y concesiones (pp. 75-). Dykinson. https://doi.org/10.2307/j.ctv102bkft.7
</t>
  </si>
  <si>
    <t>Bibliografía Complementaria
	Arredondo-López, A., &amp; Orozco-Núñez, E. (2014). Indicadores de gobernanza y protección social en salud en América Latina: Fortalezas, Debilidades y lecciones desde México. Revista de salud pública (Bogotá, Colombia), 16(3), 335-345. https://doi.org/10.15446/rsap.v16n3.29598.
	Luis Alejandro Gómez Barrera, &amp; Carlos Eduardo Maldonado. (2019). El modelo de aseguramiento en salud: lejos de la cooperación. In Reflexiones Críticas Sobre la Teoría de la Salud Pública (1st ed., pp. 153-). Universidad del Bosque. https://doi.org/10.2307/jj.5329388.8
	Edwin Alonso Álvarez Tobón, Paula Andrea Velásquez Restrepo, Marta Cecilia Ramírez Orrego, Alma Karina Rodríguez Quintero, DAVID BARRERA FERRO, ELENA VALENTINA GUTIÉRREZ, &amp; ANDRÉS FELIPE OSORIO MURIEL. (2020). Metodología para la identificación y seguimiento del riesgo en salud de una cohorte poblacional atendida bajo el modelo Sermás. En Aplicaciones de investigación de operaciones en sistemas de salud en Colombia (pp. 217-). Pontificia Universidad Javeriana. https://doi.org/10.2307/j.ctv1smjvqv.11</t>
  </si>
  <si>
    <t>YENSY RESTREPO CARDENAS</t>
  </si>
  <si>
    <t>FABIÁN DÍAZ</t>
  </si>
  <si>
    <t>JOSE ENRIQUE ALBA</t>
  </si>
  <si>
    <t>CREACIÓN DEL SYLLABUS</t>
  </si>
  <si>
    <t>AFVN0050</t>
  </si>
  <si>
    <t>ADMINISTRACIÓN DE SALUD</t>
  </si>
  <si>
    <t>Liderazgo Exponencial y Equipos Extraordinarios</t>
  </si>
  <si>
    <t>La unidad de estudio Liderazgo exponencial y equipos extraordinarios, tiene como propósito formar líderes integrales capaces de identificar, comprender y aplicar las principales teorías, estilos y habilidades de liderazgo en la gestión de talento humano y equipos de trabajo. A través de un enfoque ético y práctico, los estudiantes desarrollarán competencias para gestionar de manera efectiva los procesos humanos dentro de las organizaciones, promoviendo ambientes colaborativos y productivos.
Asimismo, se busca que los estudiantes analicen y comprendan la relación entre cultura y clima organizacional, y la gestión del cambio como herramienta clave para el éxito empresarial. Los futuros líderes serán capaces de implementar estrategias que fortalezcan la cohesión, el compromiso y el desempeño de los equipos, alineando los objetivos individuales y organizacionales en entornos dinámicos y competitivos.</t>
  </si>
  <si>
    <t>Al finalizar la unidad de estudio, los estudiantes estarán en capacidad de analizar y aplicar conceptos fundamentales de liderazgo, gestión humana, y cultura organizacional para desarrollar estrategias de alto impacto en la formación y dirección de equipos extraordinarios, promoviendo un entorno ético, colaborativo y orientado a resultados en el ámbito empresarial.</t>
  </si>
  <si>
    <t xml:space="preserve">
	Teorías y ética en el liderazgo. 
	Gestión humana y equipos de trabajo. 
	Cultura, clima organizacional y gestión del cambio. </t>
  </si>
  <si>
    <t>Chiavenato, I. (2022). Comportamiento Organizacional. McGraw-Hill Interamericana. https://www-ebooks7-24-com.bdbiblioteca.universidadean.edu.co/?il=20753 Cap. 10
D´Alessio Ipinza, F. A. (2017). Liderazgo y atributos gerenciales: una visión global y estratégica. Pearson Educación. https://www-ebooks7-24-com.bdbiblioteca.universidadean.edu.co/?il=7296
Goleman, D. (2004). ¿Qué hace a un líder? Harvard Business Review América Latina, 3 -11. Disponible en EBSCO 
http://bdbiblioteca.universidadean.edu.co:2062/login.aspx?direct=true&amp;db=bsu&amp;AN=98885968&amp;lang=es&amp;site=ehost-live&amp;scope=site
Griffin, R. W., Phillips, J. M., Gully, S. M. (2020). Comportamiento organizacional: administración de personas y organizaciones. Cengage Learning. https://www-ebooks7-24-com.bdbiblioteca.universidadean.edu.co/?il=9979 Cap. 7
Hernández Palomino, J. A. (2017). Desarrollo organizacional: teoría, práctica y casos. Pearson Educación. https://www-ebooks7-24-com.bdbiblioteca.universidadean.edu.co/?il=7287 Cap. 10
Huerta, J. J., Rodriguez Castellanos, G. I.(2014). Desarrollo de habilidades directivas. Pearson Educación. https://www-ebooks7-24-com.bdbiblioteca.universidadean.edu.co/?il=3622 Cap. 6
Lussier, R. (2016).  Liderazgo: teoría, aplicación y desarrollo de habilidades. ed. México: Cengage Learning. Disponible en: https://elibro-net.bdbiblioteca.universidadean.edu.co/es/ereader/bibliotecaean/40048?page=9
Madrigal Torres, B. E. (2017). Habilidades directivas: teoría, autoaprendizaje, desarrollo y crecimiento. McGraw-Hill. https://www-ebooks7-24-com.bdbiblioteca.universidadean.edu.co/?il=5848 Cap. 8 y 10 
Madrigal Torres, B. E. (2024). Liderazgo y habilidades directivas. McGraw-Hill Interamericana. https://www-ebooks7-24-com.bdbiblioteca.universidadean.edu.co/?il=40620
Nelson, D. L., Campbell Quick, J.(2013). CORG: Comportamiento Organizacional. Cengage Learning. https://www-ebooks7-24-com.bdbiblioteca.universidadean.edu.co/?il=1292 Cap. 9
Parra Alviz, M., López Posada, L. M., Muñoz Ramos, J. (2023). Habilidades Gerenciales, Teoría y Práctica. Ediciones de la U. https://www-ebooks7-24-com.bdbiblioteca.universidadean.edu.co/?il=31068
Puchol, L., Puchol, I.(2018). El libro de las habilidades directivas. Diaz de Santos. https://www-ebooks7-24-com.bdbiblioteca.universidadean.edu.co/?il=6474 Cap. 11 y 13
Rabouin, R. R. (2008). El sentido del liderazgo. Pearson Educación. https://www-ebooks7-24-com.bdbiblioteca.universidadean.edu.co/?il=3569
Robbins, S. P., Judge, T. A.(2023). Comportamiento Organizacional. Pearson Educación. https://www-ebooks7-24-com.bdbiblioteca.universidadean.edu.co/?il=32860 Cap. 9 y 10
Weihrich, H., Cannice, M. V., Koontz, H. (2022). Administración. McGraw-Hill Interamericana. https://www-ebooks7-24-com.bdbiblioteca.universidadean.edu.co/?il=18495 Cap. 16
Whetten, D. A., Cameron, K. S.(2022). Desarrollo de habilidades directivas. Pearson Educación. https://www-ebooks7-24-com.bdbiblioteca.universidadean.edu.co/?il=25573 Cap. 9
Yukl, G. A. (2008). Liderazgo en las Organizaciones. Pearson Educación. https://www-ebooks7-24-com.bdbiblioteca.universidadean.edu.co/?il=3360</t>
  </si>
  <si>
    <t>Bibliografía Complementaria
Bass, B. M., &amp; Riggio, R. E. (2021). Transformational Leadership(3rd ed.). Routledge.
Collins, J. (2005). Level 5 leadership: The triumph of humility and fierce resolve. Harvard Business Review. Recuperado de https://hbr.org/2005/07/level-5-leadership-the-triumph-of-humility-and-fierce-resolve?autocomplete=true
Goleman, D. (2004). What makes a leader? Harvard Business Review. Recuperado de https://hbr.org/2004/01/what-makes-a-leader
Obolensky, N. (2021). Complex Adaptive Leadership: Embracing Paradox and Uncertainty(3rd ed.). Routledge.
Kouzes, J. M., &amp; Posner, B. Z. (2021). The Leadership Challenge (7th ed.). Jossey-Bass.</t>
  </si>
  <si>
    <t>11/07/24</t>
  </si>
  <si>
    <t>José Manuel Vecino</t>
  </si>
  <si>
    <t>José E. Alba</t>
  </si>
  <si>
    <t>Nuevo Syllabus</t>
  </si>
  <si>
    <t>15/01/25</t>
  </si>
  <si>
    <t>Edwin Lozada</t>
  </si>
  <si>
    <t>NOÉ VELÁSQUEZ</t>
  </si>
  <si>
    <t>Se ajustan temas de F.- Liliana los módulos y se Fernández actualiza la</t>
  </si>
  <si>
    <t>AFVN0058</t>
  </si>
  <si>
    <t>Estrategias e Indicadores de la Sostenibilidad</t>
  </si>
  <si>
    <t>Organizar sistemas de información en salud  a partir   del uso de metodologías ágiles, herramientas digitales y tendencias innovadoras en el análisis de los datos, para la optimización de la experiencia del usuario</t>
  </si>
  <si>
    <t>Aplica adecuadamente los conceptos y herramientas para una gestión ambiental empresarial, desarrollando estrategias sostenibles e indicadores de sostenibilidad.</t>
  </si>
  <si>
    <t>Identifica conceptos, metodologías y modelos que permiten comprender el entorno de las organizaciones y su incidencia en la gerencia estratégica integral.
Aplica metodologías sólidas y de vanguardia en sus procesos de formulación, implementación y evaluación estratégica organizacional, siempre con un alto enfoque de responsabilidad y
Implementa mecanismos de seguimiento a través de indicadores de gestión con un componente claro de sostenibilidad.
Creación de Velázquez</t>
  </si>
  <si>
    <t>Esquema de Calificación: (Asignación puntajes, notas y ponderación que tienen las actividades desarrolladas en la Unidad de Estudio).
Nota única 100%
Con porcentajes obtenidos en cada corte académico según estructura del periodo de duración de la unidad, a través de:
Talleres, casos 
Actividades académicas extra (visita y observación de empresa, conferencias, congresos, etc.)
Parciales
Exposiciones
Proyecto final</t>
  </si>
  <si>
    <t>Plataforma Universidad Ean Canvas, 
Herramientas libres: Piktochart, Prezi, Powtoon, Menti, entre otras
Bases de datos biblioteca Universidad EAN.
Aplicativos tipo office</t>
  </si>
  <si>
    <t xml:space="preserve">David, F. David, F. David, M. (2023). Conceptos de administración estratégica. Pearson Education. Base de datos EBooks 7-24
Austermühle, S. (2015) Sostenibilidad y ecoeficiencia en la empresa moderna. Ediciones de la U. Base de datos Ebooks 7-24.
Thompson, A. (2023) Administración estratégica. Mc-Graw Hill interamericana. Base de datos Ebooks 7-24.
Raufflet, E. (2017) responsabilidad ética y sostenibilidad empresarial. Pearson education. Base de datos ebooks 7-24.
Lopez, L. Arboleda, J. Campo, L. (2019) Hacia el reto de las marcas sostenibles. Universidad Católica Luis Amigó. Base de datos E-Libro
Moreno, N. (2020) La gestión de proyectos sostenibles como herramienta para el fortalecimiento de la competitividad. Universidad EAN. </t>
  </si>
  <si>
    <t>Bibliografía Complementaria
Hawken, P. (2010) La ecología del comercio: una declaración de sostenibilidad. New York: HarperCollins Publisher
Ocampo, J. Rodríguez, M. Velez, M. (2018). Gobernanza y gerencia del desarrollo sostenible. Universidad de los Andes. Facultad de Administración. Biblioteca Universidad EAN.
Epstein, M. (2009) Sostenibilidad empresarial. ECOE ediciones. Base de datos E-Libro</t>
  </si>
  <si>
    <t>17/09/24</t>
  </si>
  <si>
    <t>Edgar Niño Ruiz</t>
  </si>
  <si>
    <t>Administración para la Sostenibilidad en el Sector Salud</t>
  </si>
  <si>
    <t>Esta asignatura tiene como propósito introducir al estudiante en los principios de la sostenibilidad y su aplicación en el ámbito de la administración en salud. A través del análisis de conceptos clave, marcos normativos y experiencias prácticas, se busca que el estudiante comprenda los desafíos que enfrenta el sector salud en materia de sostenibilidad y desarrolle propuestas básicas que integren criterios sociales, ambientales y económicos en la gestión de organizaciones sanitarias.</t>
  </si>
  <si>
    <t>Plantea principios-ejes de la sostenibilidad económica, social y ambiental a partir de los procesos administrativos propios de la atención en salud</t>
  </si>
  <si>
    <t>Introducción a la Sostenibilidad en Salud En este hito, el estudiante se familiariza con los conceptos fundamentales de la sostenibilidad y su relevancia en el contexto global y en el sector salud. Se abordan las tres dimensiones clave ambiental, social y económica--- y se reflexiona sobre cómo se interrelacionan para promover el bienestar colectivo a largo plazo. Sostenibilidad y su relación con el ecosistema de organizaciones en salud. En este hito, el estudiante explorará cómo la sostenibilidad impacta y se integra en el ecosistema de organizaciones de salud, entendiendo que este ecosistema no solo incluye instituciones sanitarias, sino también los actores y factores que lo componen, como los pacientes, los proveedores, las políticas públicas y el entorno natural. A través de análisis d</t>
  </si>
  <si>
    <t xml:space="preserve">Esquema de Calificación: (Asignación puntajes, notas y ponderación que tienen las actividades desarrolladas en la Unidad de Estudio).
 Participación en foros y actividades interactivas  30% 
 Estudio de caso Sostenibilidad en organizaciones en Salud  40% 
 Evaluación Sumativa 30% </t>
  </si>
  <si>
    <t>Chat GPT, Copilot, Figma.
LMS - Canvas, Genially, Bases de Datos Biblioteca. 
Observatorio de Sostenibilidad CECODES</t>
  </si>
  <si>
    <t>	Haseltine, W. A. (2015). Salud, Excelencia y Sostenibilidad : William A. Haseltine Analiza el Prodigioso Sistema de Salud de Singapur, uno de Los Más Modernos, Eficientes y Baratos Del Mundo, y Explica Cómo Extrapolar Este Modelo a Otros Países de Forma Sostenible. LID Editorial Empresarial, S.L.
	Grupo de Economía de la Salud, &amp; Restrepo, J. H. (2017). Sostenibilidad financiera de los sistemas de salud: Alternativas y lecciones para Colombia. IDEAS Working Paper Series from RePEc.
	Moncada, J. (2012). Sostenibilidad en Colombia : casos empresariales 2011. CECODES.
	Sayda Milena Pico, Elisa María Pinzón, Claudia Marcela Sanz, Diego Morante, Thomas Tegethoff, &amp; Ricardo Santa. (2021). Impacto de la innovación tecnológica en el desempeño de las organizaciones del sector salud (la comunicación, el tiempo de servicio al paciente y la colaboración). En Regiones inteligentes (1.a ed., pp. 31-). Editorial Universidad Icesi.</t>
  </si>
  <si>
    <t>Bibliografía Complementaria
	Mesa Nicholls, G. (2010). Viabilidad y sostenibilidad en el sistema de salud. Empresarial y laboral, 14-15.
	Ortiz Velásquez, M., Quintero, K. P. P., Coy, J. L., Reátiga, C. M., Barranco, S. G., Petertini, M. F., Cabas, D. C. P., &amp; Ramírez, A. C. (2024). Ruta Empresarial. (1st ed.). Uninorte, Ediciones.
	Aitor Ugarte Iturrizaga, Hernán Díaz Eichenberg, José Luis Terrón Blanco, Carmen Peñafiel, Mar Ramos Rodríguez, &amp; Daniel Catalán. (2021). Organizaciones como entornos promotores de salud y sostenibilidad: la ineludible transformación de la cultura comunicativa. En Comunicación y promoción de la Salud en la era digital (1.a, 5/13/21 ed., pp. 73-). Dykinson. https://doi.org/10.2307/j.ctv1s7cc6j.7</t>
  </si>
  <si>
    <t>CREACIÓN SYLLABUS</t>
  </si>
  <si>
    <t>Gestión de la calidad y mejoramiento continuo</t>
  </si>
  <si>
    <t>Esta asignatura tiene como propósito desarrollar en los estudiantes las competencias necesarias para gestionar procesos de calidad y mejoramiento continuo en organizaciones del sector salud. Se busca que los futuros administradores en salud comprendan e integren normas, estándares y herramientas de gestión, con el fin de promover una cultura organizacional orientada a la eficiencia, la seguridad del paciente y la excelencia en la prestación de servicios de salud.</t>
  </si>
  <si>
    <t>Herramientas para el Diagnóstico Situacional de la Calidad en Organizaciones de Este hito se enfoca en el estudio y aplicación de herramientas fundamentales para el diagnóstico de la situación actual de la calidad en instituciones del sector salud. El estudiante conocerá y practicará el uso de metodologías como el ciclo PHVA, el análisis de causa-raíz, el diagrama de Ishikawa, el análisis de Pareto, los flujogramas de procesos y la matriz DOFA, entre otras Normativa Nacional e Internacional para</t>
  </si>
  <si>
    <t>Conceptos y Elementos de la Calidad, y la Calidad de la Atención en Salud. En este hito, el estudiante se familiariza con los fundamentos conceptuales de la calidad y su aplicación específica en el ámbito de la atención en salud. Se abordan las definiciones clave de calidad desde diversas perspectivas (técnica, administrativa, del usuario), así como sus principios y dimensiones. Asimismo, se analizan los elementos estructurales y funcionales que componen la calidad en la atención en salud, como la oportunidad, seguridad, efectividad, accesibilidad, pertinencia y continuidad. Herramientas para el Diagnóstico Situacional de la Calidad en Organizaciones de Este hito se enfoca en el estudio y aplicación de herramientas fundamentales para el diagnóstico de la situación actual de la calidad en i</t>
  </si>
  <si>
    <t xml:space="preserve">Esquema de Calificación: (Asignación puntajes, notas y ponderación que tienen las actividades desarrolladas en la Unidad de Estudio).
 Participación en foros y actividades interactivas  10% 
 Diseño de Plan de Mejora Continua para una organización de salud  40% 
 Evaluación final integradora: interpretación de indicadores y propuesta de seguimiento: 20% 
 Análisis de Caso “Evaluación del modelo de calidad en una organización internacional de salud ": 20% </t>
  </si>
  <si>
    <t>Aula virtual
Chat GPT, Copilot, Figma. LMS - Canvas, Genially, Bases de Datos Biblioteca. 
Excel, Tableau, Power Bi u otro de alcance de la asignatura</t>
  </si>
  <si>
    <t>	Donabedian, A. (2003). An Introduction to Quality Assurance in Health Care. Oxford University Press.
	Instituto de Evaluación Tecnológica en Salud – IETS. (2020). Guía metodológica para la implementación de la mejora continua en instituciones prestadoras de servicios de salud. IETS. https://www.iets.org.co
	Langley, G. J., Moen, R. D., Nolan, K. M., Nolan, T. W., Norman, C. L., &amp; Provost, L. P. (2009). The Improvement Guide: A Practical Approach to Enhancing Organizational Performance (2nd ed.). Jossey-Bass.</t>
  </si>
  <si>
    <t>Bibliografía Complementaria
	Organización Mundial de la Salud. (2006). Quality of care: A process for making strategic choices in health systems. OMS. https://apps.who.int/iris/handle/10665/43470
	Joint Commission International. (2021). JCI Accreditation Standards for Hospitals (7th ed.). Joint Commission Resources.
	  Publishing, O. (2011). How’s Life?: Measuring well-being. In Organisation for Economic Co-operation and Development/Organisation de Cooperation et de Developpement Economiques, Oct 2011, 284 pp (1. Aufl.). OECD Paris. https://doi.org/10.1787/9789264121164-en</t>
  </si>
  <si>
    <t>Yensy Restrepo</t>
  </si>
  <si>
    <t>SALUD DIGITAL</t>
  </si>
  <si>
    <t>Tiene como propósito introducir al estudiante en los conceptos fundamentales, el marco conceptual y los componentes esenciales de la salud digital. Se busca que el estudiante comprenda el papel de las tecnologías digitales en la transformación del sector salud, reconociendo su impacto en la prestación de servicios, la relación con los usuarios y la gestión de la información. Esta unidad sienta las bases para un entendimiento crítico y contextualizado de la salud digital como campo en desarrollo y componente clave de los sistemas de salud contemporáneos.</t>
  </si>
  <si>
    <t>Conoce las herramientas actuales y tendencias en salud digital que agregan valor a los servicios de salud</t>
  </si>
  <si>
    <t>Introducción a la salud digital: definiciones, evolución y contexto. En este hito se aborda el origen y evolución del concepto de salud digital, sus principales definiciones y su relación con otros términos como eSalud e informática en salud. Se explora el contexto global y nacional que ha impulsado la transformación digital en salud, así como los factores sociales, tecnológicos y políticos que han influido en su desarrollo. Este tema proporciona al estudiante una visión general del campo, necesaria para comprender su importancia en el fortalecimiento de los sistemas de salud contemporáneos. Alfabetización Digital y su contexto en la Esalud.. Este hito introduce el concepto de alfabetización digital como una competencia fundamental para la participación activa y efectiva en entornos de sal</t>
  </si>
  <si>
    <t xml:space="preserve">Esquema de Calificación: (Asignación puntajes, notas y ponderación que tienen las actividades desarrolladas en la Unidad de Estudio).
 Participación en foros y actividades interactivas  30% 
 Evaluación Sumativa  30% 
Taller Salud Digital  40% </t>
  </si>
  <si>
    <t>Aula virtual
Chat GPT, Copilot, Figma.
LMS - Canvas, Genially, Portales Salud Digital OPS/OMS.</t>
  </si>
  <si>
    <t>	Nipa, N. S., Alam, M., Haque, M. S., Kasabov, N., Kaiser, M. S., Zhong, N., Iftekharuddin, K., &amp; Mahmud, M. (2021). Identifying Relevant Stakeholders in Digital Healthcare. In Applied Intelligence and Informatics (Vol. 1435, pp. 349–357). Springer International Publishing AG. https://doi.org/10.1007/978-3-030-82269-9_27
	Estrategia Mundial Sobre Salud Digital 2020-2025. (1st ed.). (2021). World Health Organization.
	Terrón Blanco, J. L. (Ed.). (2021). Comunicación y promoción de la salud en la era digital. Editorial Dykinson SL.</t>
  </si>
  <si>
    <t>Bibliografía Complementaria
	Nipa, N. S., Alam, M., Haque, M. S., Kasabov, N., Kaiser, M. S., Zhong, N., Iftekharuddin, K., &amp; Mahmud, M. (2021). Identifying Relevant Stakeholders in Digital Healthcare. In Applied Intelligence and Informatics (Vol. 1435, pp. 349–357). Springer International Publishing AG. https://doi.org/10.1007/978-3-030-82269-9_27
	Tariq, M. U., Oreagba, I. A., &amp; Raimi, L. (2023). Healthcare Innovation &amp; Entrepreneurship, Digital Health Entrepreneurship. In Medical Entrepreneurship (pp. 243–258). Springer. https://doi.org/10.1007/978-981-19-6696-5_16
	Gil Membrado, C., Luquin Bergareche, R., &amp; López Tur, T. (2024). Salud Digital. Aplicaciones Móviles, Telemedicina y Chatbots. (1st ed.). Dykinson, S.L.</t>
  </si>
  <si>
    <t>YENSY RESTREPO</t>
  </si>
  <si>
    <t>FABIAN DIAZ</t>
  </si>
  <si>
    <t>JOSE ALBA</t>
  </si>
  <si>
    <t>AFVN0034</t>
  </si>
  <si>
    <t>Contaduría pública, Negocios Internacionales</t>
  </si>
  <si>
    <t>Fintech Strategies for Business</t>
  </si>
  <si>
    <t>Fintech strategies for business aims to train students in the development of fintech strategies that optimize investment and financing decisions, aligned with corporate objectives and oriented to maximize organizational value. Supported by FINTECH, students will learn to use innovative technologies to implement strategic decisions. This approach is based on a deep understanding of the economic, social, political and legal context to offer sustainable organizational solutions. Emphasis will be placed on the importance of proposing innovative management solutions that integrate ethical principles and social responsibility in the development and application of these technologies. This comprehensive and specialized approach will prepare students to face today's business challenges, adopting a fintech perspective that will allow them to explore new frontiers in the digital transformation of global finance and business.</t>
  </si>
  <si>
    <t>Recommends courses of action in investment and financing decisions that meet corporate objectives and contribute to maximizing value for the organization.</t>
  </si>
  <si>
    <t>Financial Management Function 1. The nature and purpose of financial management 2. Financial objectives and relationship with
Financial management environment 1. The economic environment for business 2. The nature and role of financial markets and institutions
Working capital management 1. The nature, elements and importance of working capital 2. Management of inventories, accounts
Investment appraisal 1. Investment appraisal techniques 2. Allowing for inflation and taxation in 3. Fintech for long term finance
Creación versión</t>
  </si>
  <si>
    <t>Esquema de Calificación: (Asignación puntajes, notas y ponderación que tienen las actividades desarrolladas en la Unidad de Estudio).
First term: 40%
Second term: 60%</t>
  </si>
  <si>
    <t>Aula virtual
Bloomberg BMC Certification
Bloomberg terminal
EMIS database
ACCA Virtual Learning centre: Student VLC: Get Ready Modules (accaglobal.com)</t>
  </si>
  <si>
    <t>100%</t>
  </si>
  <si>
    <t>Alt, R., &amp; Huch, S. (2022). Fintech Dictionary: Terminology for the Digitalized Financial World (1st ed.). Springer Vieweg. in Springer Fachmedien Wiesbaden GmbH. https://doi.org/10.1007/978-3-658-36056-6
BPP Learning Media Ltd (2019). Financial management (FM) (12th edition).
Gupta, Pranay, and T. Mandy Tham. Fintech : The New DNA of Financial Services, DEG Press, 2018. ProQuest Ebook Central, https://ebookcentral.proquest.com/lib/bibliotecaean-ebooks/detail.action?docID=5691957.
Paramasivan, C.. Financial Management, New Age International Ltd, 2009. ProQuest Ebook Central, https://ebookcentral.proquest.com/lib/bibliotecaean-ebooks/detail.action?docID=437705.
Zutter, C. J., Smart, S. B.(2022). Principios de Administración Financiera. Pearson Educación. https://www-ebooks7-24-com.bdbiblioteca.universidadean.edu.co/?il=25576</t>
  </si>
  <si>
    <t xml:space="preserve">Bibliografía Complementaria
Baca Urbina, G. (2022). Evaluación de Proyectos Plus. McGrawHill - Plus. https://www-ebooks7-24-com.bdbiblioteca.universidadean.edu.co/?il=33271
Bragg, Steven M.. Treasury Management : The Practitioner's Guide, John Wiley &amp; Sons, Incorporated, 2010. ProQuest Ebook Central, https://ebookcentral.proquest.com/lib/bibliotecaean-ebooks/detail.action?docID=487670
Mankiw, N. G. (2020). Principios de economía. Con casos y aplicaciones para América Latina. Cengage Learning. https://www-ebooks7-24-com.bdbiblioteca.universidadean.edu.co/?il=10764 
Mankiw, N. G. (2021). Macroeconomía. Cengage. https://www-ebooks7-24-com.bdbiblioteca.universidadean.edu.co/?il=15190
Mishkin, F. S., Eakins, S. G.(2018). Financial markets and institutions. Pearson Educación. https://www-ebooks7-24-com.bdbiblioteca.universidadean.edu.co/?il=6897
</t>
  </si>
  <si>
    <t>9/07/2024</t>
  </si>
  <si>
    <t>Creación versión inicial</t>
  </si>
  <si>
    <t>Gestión Financiera en Salud</t>
  </si>
  <si>
    <t>Esta asignatura tiene como propósito que el estudiante adquiera competencias para gestionar eficientemente los recursos financieros de organizaciones del sector salud, utilizando herramientas digitales y software especializado. Se centra en el análisis financiero, la planeación presupuestal, la proyección de flujos de caja y la evaluación económica de iniciativas en salud, con el fin de tomar decisiones basadas en datos y contribuir a la sostenibilidad y eficiencia institucional</t>
  </si>
  <si>
    <t>Compara el modelo gerencial de las organizaciones y los actores claves en el sistema de salud de acuerdo con estándares de calidad y referentes normativos.</t>
  </si>
  <si>
    <t>Fundamentos financieros aplicados a las organizaciones en salud Exploración de los conceptos esenciales de la gestión financiera en el contexto del sector salud: ingresos, egresos, costos, rentabilidad, sostenibilidad y flujo de caja. Se contextualizan estos elementos en las dinámicas de IPS, EPS y demás actores del sistema para facilitar la comprensión de su impacto organizacional. Análisis financiero y construcción presupuestal en instituciones de salud. Los estudiantes abordan de forma integrada el análisis de estados financieros y el diseño de presupuestos aplicados a organizaciones del sector salud. A partir de casos prácticos, interpretan balances y estados de resultados, calculan indicadores financieros clave y formulan presupuestos institucionales con apoyo de herramientas digitale</t>
  </si>
  <si>
    <t xml:space="preserve">Esquema de Calificación: (Asignación puntajes, notas y ponderación que tienen las actividades desarrolladas en la Unidad de Estudio).
 Participación en foros y actividades interactivas  15% 
 Proyecto aplicado: Análisis financiero y presupuestal de una institución de salud  35% 
 Informe práctico: Aplicación de soluciones digitales en la gestión financiera: 15% 
 Análisis de caso: Viabilidad financiera de un proyecto o servicio en salud: 25% </t>
  </si>
  <si>
    <t>Aula virtual
Chat GPT, Copilot, Figma. LMS - Canvas, Genially, Bases de Datos Biblioteca. 
Software de hojas de cálculo ,Herramientas de visualización de datos (Power BI, Tableau, Google Looker Studio).Sistemas de información en salud o ERP</t>
  </si>
  <si>
    <t>	Macías Joven, M. T. (2020). Las herramientas básicas del diagnóstico financiero. In Guía Del Gerente Financiero. ECOE Ediciones.
	ARACELY SÁNCHEZ SERNA, &amp; MARTHA LILIANA ARIAS BELLO. (2019). Herramientas cuantitativas para las finanzas. En Finanzas para la formación del contador público (pp. 19-). Pontificia Universidad Javeriana. https://doi.org/10.2307/j.ctv1smjw52.5
	Macías Joven, M. T. (2020). Guía de gerente financiero : Desde el diagnóstico hasta la toma de decisiones (1st ed.). Universidad de La Sabana.
	Lano, K., &amp; Haughton, H. (2019). Financial Software Engineering (1st ed. 2019.). Springer International Publishing. https://doi.org/10.1007/978-3-030-14050-2</t>
  </si>
  <si>
    <t>Bibliografía Complementaria
	Brigham, E. F., Ehrhardt, M. C., Carril Villarreal, M. del P., Saldívar del Ángel, R., Ortiz Gil, N. N., &amp; López Herrera, F. (2018). Finanzas corporativas : enfoque central (1a edición). Cengage Learning.
	Goldbaum, S., Mihaly, A., Ellison, T., Barr, E. T., Marron, M., Finkbeiner, B., &amp; Wies, T. (2022). High Assurance Software for Financial Regulation and Business Platforms. In Verification, Model Checking, and Abstract Interpretation (Vol. 13182, pp. 108–126). Springer International Publishing AG. https://doi.org/10.1007/978-3-030-94583-1_6</t>
  </si>
  <si>
    <t>Sistema de Mercadeo para la Salud</t>
  </si>
  <si>
    <t>Esta asignatura tiene como propósito que el estudiante reconozca los conceptos básicos del mercadeo y su aplicación en el contexto del sector salud. A través del estudio de los elementos fundamentales del sistema de mercadeo, se espera que el estudiante identifique las necesidades y características del usuario de servicios de salud, interprete herramientas sencillas para segmentar el mercado y comunicar propuestas de valor, y comprenda cómo el mercadeo puede contribuir al posicionamiento y mejoramiento de la calidad percibida en las instituciones de salud. Todo esto con una mirada ética y contextualizada al sistema de salud colombiano, que sirva como base para una toma de decisiones responsable en su futuro ejercicio profesional.</t>
  </si>
  <si>
    <t>Identifica los componentes del sistema de mercadeo en salud de acuerdo con metodologías de análisis y procesos de servicio al cliente.</t>
  </si>
  <si>
    <t>Introducción y principios de mercadeo en el contexto de la Esta unidad permite al estudiante conocer los fundamentos del mercadeo y su aplicación en el sector salud, identificando sus particularidades y su rol en la creación de valor, la relación con los usuarios y el posicionamiento de las instituciones, desde una perspectiva ética y responsable. Relación entre Oferta y Demanda en Estrategias de Mercadeo en Salud: Paciente, Cliente y Consumidor de Servicios de Salud. En esta unidad, el estudiante identifica las características y necesidades del usuario de servicios de salud, comprendiendo su rol como paciente, cliente y consumidor, y cómo estas dimensiones influyen en la construcción de estrategias de mercadeo centradas en la Herramientas de Mercadeo en Salud: Innovación y Eficacia. El es</t>
  </si>
  <si>
    <t xml:space="preserve">Esquema de Calificación: (Asignación puntajes, notas y ponderación que tienen las actividades desarrolladas en la Unidad de Estudio).
 Participación en foros y actividades interactivas  10% 
 Diseño de propuesta de valor y estrategia básica de mercadeo para una institución de salud  40% 
 Taller Estrategias de marketing y relación con perfiles de consumidor: 30% 
 Análisis de Caso exitoso en innovación y mercado de la salud en Colombia: 20% </t>
  </si>
  <si>
    <t>	Kotler, P., Kartajaya, H., Setiawan, I., &amp; González Godino, C. (2021). Marketing 5.0 (1a edición.). LID.
	Córdova Hernández, J. A., Priego lvarez, H. R., &amp; Suárez Lugo, N. (2019). Mercadotecnia, innovación y tecnología en salud. Universidad Antonio Mariño.
	Isaac Alfonso Devis Granados, &amp; Erick Rincón Cárdenas. (2008). Marco regulatorio de protección al consumidor en el derecho colombiano. En Derecho de los usuarios de las telecomunicaciones (1.a ed., pp. 41-). Editorial Universidad del Rosario.</t>
  </si>
  <si>
    <t>Bibliografía Complementaria
	Clara Inés Uribe Beltrán, &amp; Daniel Fernando Sabogal Neira. (2020). Marketing digital en la micro y pequeña empresa publicitaria de Bogotá. En Marketing digital en agencias de publicidad: social media in MiPymes de servicios creativos de Bogotá (1.a ed., pp. 47-). Editorial Los Libertadores. https://doi.org/10.2307/j.ctv1vbd1nw.7
	Clow, K. E., Baack, D., Campos Olguín, V., Alejos Morales, K. N., &amp; Ortiz Garcia, J. F. (2022). Publicidad, promoción y comunicación integral en marketing (1a edición.). Pearson Educación.
	Cobra, M. (2000). Marketing de servicios : estrategias para turismo, finanzas, salud y comunicación (2 ed). McGraw-Hill.</t>
  </si>
  <si>
    <t>CREACCIÓN SYLLABUS</t>
  </si>
  <si>
    <t>GESTIÓN DE LA SALUD DIGITAL</t>
  </si>
  <si>
    <t>Esta unidad busca que los estudiantes comprendan y apliquen los principios de la gestión en salud digital, con énfasis en el diseño, implementación, evaluación y mejora de estrategias digitales en entornos de atención en salud. A partir de una mirada crítica y administrativa, se espera que los futuros profesionales sean capaces de liderar procesos de transformación digital en organizaciones del sector salud, promoviendo la eficiencia, la calidad del servicio y la equidad en el acceso.</t>
  </si>
  <si>
    <t>Desarrolla estrategias para planear, ejecutar, verificar y evaluar herramientas de salud digital que agreguen valor a los servicios de salud.</t>
  </si>
  <si>
    <t>Componentes de la gestión administrativa digital: planificación, control y evaluación. Este componente aborda los fundamentos de la gestión administrativa aplicados al entorno digital en organizaciones de salud. Se enfoca en cómo los procesos de planificación estratégica, control operativo y evaluación del desempeño se transforman mediante el uso de tecnologías digitales. Auditoría en entornos digitales: trazabilidad, calidad de datos, control de procesos. Este hito introduce los principios y prácticas de la auditoría en contextos digitales dentro del sector salud. Se exploran mecanismos y herramientas que permiten garantizar la trazabilidad de la información, la calidad de los datos y el control de los procesos digitales Sostenibilidad, ética y equidad en la transformación digital del sis</t>
  </si>
  <si>
    <t xml:space="preserve">Esquema de Calificación: (Asignación puntajes, notas y ponderación que tienen las actividades desarrolladas en la Unidad de Estudio).
 Participación en foros y actividades interactivas  20% 
 Estudio de caso Administración y Salud Digital  20% 
 Proyecto de Gestión Digital l  60% </t>
  </si>
  <si>
    <t>Aula virtual Chat GPT, Copilot, Figma.
LMS - Canvas, Genially, Portales Salud Digital OPS/OMS.</t>
  </si>
  <si>
    <t>	Arias, M. A., Valero, A. J. B., Blanco, A. P. C., Diaz, S. M. C., Gamboa, S. R. F., Romero, N. G., Morales, M. C. G., Martínez, Y. S. G., Velandia, J. P. M., Niño, H. H. N., Ortega, N. O., Cabanzo, C. P., Parada, S. M. P., Hernández, C. P. R., &amp; Leal, J. S. (2021). Problemas, necesidades y oportunidades en torno a la auditoría y los sistemas de calidad en salud. Archivos venezolanos de farmacología y terapéutica, 40(4), 445-450. https://doi.org/10.5281/zenodo.5228824
	Al-Kahtani, N., Alrawiai, S., Al-Zahrani, B. M., Abumadini, R. A., Aljaffary, A., Hariri, B., Alissa, K., Alakrawi, Z., &amp; Alumran, A. (2022). Digital health transformation in Saudi Arabia: A cross-sectional analysis using Healthcare Information and Management Systems Society’ digital health indicators. Digital Health, 8, 205520762211177–20552076221117742. https://doi.org/10.1177/20552076221117742
	Bandyopadhyay, A., Chatterjee, R., Das, N., Choudhury, A., Singh, B. K., Biswas, A., &amp; Paul, P. K. (2022). E-Waste Management in Digital Healthcare System and Sustainability Paradigm. In Environmental Informatics (pp. 157–166). Springer. https://doi.org/10.1007/978-981-19-2083-7_9</t>
  </si>
  <si>
    <t>Bibliografía Complementaria
	María Barcenilla Guitard, Alba Guitard Quer, &amp; Anna Espart Herrero. (2021). Salud digital, cuando las nuevas tecnologías se convierten en el mejor aliado de los profesionales de la salud. En Salud, Educación y conectividad (1.a, 12/31/21 ed., pp. 47-). Dykinson. https://doi.org/10.2307/j.ctv2gz3sh1.8</t>
  </si>
  <si>
    <t>GESTIÓN SALUD PÚBLICA</t>
  </si>
  <si>
    <t>Esta asignatura tiene como propósito brindar a los estudiantes las bases conceptuales y operativas para comprender y analizar los principios, enfoques y modelos de la salud pública, así como su aplicación en procesos de gestión en contextos territoriales. Se busca desarrollar competencias para interpretar los determinantes sociales de la salud, reconocer el papel de la gestión pública en la promoción de la salud colectiva y aplicar herramientas básicas para el análisis de situaciones de salud desde una perspectiva de equidad, participación social y sostenibilidad.</t>
  </si>
  <si>
    <t>Analiza los componentes de la gestión en salud pública desde el enfoque territorial y las políticas de atención integral</t>
  </si>
  <si>
    <t xml:space="preserve">Fundamentos de la gestión en salud pública: de lo histórico a lo contemporáneo. Explora los orígenes, principios y enfoques de la salud pública, destacando su evolución hasta los modelos actuales de gestión, con énfasis en el enfoque colectivo, la atención primaria y la vigilancia en Determinantes sociales de la salud y su impacto en la gestión pública. Profundiza en la comprensión de los determinantes sociales de la salud, su clasificación y cómo influyen en la situación de salud de poblaciones, orientando la gestión hacia la equidad. Gestión de Riesgos en Salud y su Relación con Modelos de Aseguramiento. La gestión de riesgos en salud comprende el conjunto de acciones orientadas a identificar, evaluar, priorizar y mitigar los riesgos que afectan la salud de las poblaciones. Esta gestión </t>
  </si>
  <si>
    <t xml:space="preserve">Esquema de Calificación: (Asignación puntajes, notas y ponderación que tienen las actividades desarrolladas en la Unidad de Estudio).
 Participación en foros y actividades interactivas  15% 
 Análisis individual de determinantes sociales en un territorio específico 25% 
  Taller: aplicación de herramientas para el análisis de situaciones de salud  30% 
 Estudio de caso: gestión del riesgo y aseguramiento en el contexto colombiano: 30% </t>
  </si>
  <si>
    <t>	C. HORACE HAMILTON, &amp; THOMAS R. FORD. (2015). Health and Health Services. In The Southern Appalachian Region (pp. 219-). The University Press of Kentucky.
	Sección especial: financiamiento de la salud y la formulación del presupuesto. (2016). En Panorama de las Administraciones Públicas: América Latina y el Caribe 2017 (pp. 98-99). OECD Publishing. https://doi.org/10.1787/9789264266391-28-es
	Lemus, J. D., Aragües y Oroz, V., &amp; Lucioni, M. C. (2009). Administración hospitalaria y de organizaciones de atención de la salud. Corpus Editorial.
	Marco de Gestión Del Riesgo de Emergencias y Desastres de Salud. (1st ed.). (2021). World Health Organization.</t>
  </si>
  <si>
    <t>Bibliografía Complementaria
	Margin del Socorro Martínez-Matheus, Lilia Virginia García-Sánchez, Diana Alexandra Camargo-Rojas, &amp; María Fernanda Díaz-Muñoz. (2017). Fundamentación del área de salud pública y gestión social. En Educación en fisioterapia: diálogos académicos en la Universidad del Rosario, 1996-2016 (1.a ed., pp. 129-). Editorial Universidad del Rosario.
	Rojas Moya, J. L., &amp; e-libro, C. (2007). Gestión por procesos y atención del usuario en los establecimientos del sistema nacional de salud. eumed.net.</t>
  </si>
  <si>
    <t>GERENCIA DE SISTEMAS DE INFORMACIÓN EN SALUD TIC</t>
  </si>
  <si>
    <t>Esta asignatura tiene como propósito desarrollar en los estudiantes la capacidad para liderar y gestionar sistemas de información en salud, aprovechando las Tecnologías de la Información y la Comunicación (TIC) para mejorar la calidad, eficiencia y seguridad en la prestación de servicios de salud. Se busca que los futuros administradores comprendan el papel estratégico de las TIC en el sector salud y sean capaces de implementar soluciones innovadoras que respondan a las necesidades del entorno sanitario.</t>
  </si>
  <si>
    <t>Propone los sistemas de información en salud de acuerdo con análisis estadístico, bases de datos e indicadores de gestión</t>
  </si>
  <si>
    <t>Introducción a los Sistemas de Información en Salud (SIS): Conceptos básicos, tipos de sistemas y su evolución. Abordaje en los conceptos fundamentales de los Sistemas de Información en Salud, sus componentes, funciones y objetivos. Así mismo, presentación de los principales tipos de sistemas utilizados en el sector, como los registros electrónicos de salud, sistemas hospitalarios y aquellos relacionados con apoyo diagnóstico, destacando el papel de las TIC en su desarrollo y aplicación Seguridad y ética en la gestión de información en salud: Protección de datos, confidencialidad y consideraciones éticas. Estudio de los principios fundamentales de la protección de datos en el sector salud, incluyendo la confidencialidad, integridad y disponibilidad de la información y su relación con los m</t>
  </si>
  <si>
    <t xml:space="preserve">Esquema de Calificación: (Asignación puntajes, notas y ponderación que tienen las actividades desarrolladas en la Unidad de Estudio).
 Participación en foros y actividades interactivas  20% 
 Estudio de casos  15% 
Proyectos Informático .  15% 
 Talleres 20% 
 Proyecto final 30% </t>
  </si>
  <si>
    <t>Aula virtual Chat GPT, Copilot.
LMS - Canvas, Genially, Cubos OLAP, Cubos SISPRO. Web Service</t>
  </si>
  <si>
    <t>	Marta Montenegro Rueda, &amp; José Fernández Cerero. (2021). TIC Y DIVERSIDAD FUNCIONAL: FORMACIÓN DEL PROFESORADO EN ARAGÓN. En Teoría y práctica en investigación educativa: una perspectiva internacional (1.a, 4/14/21 ed., pp. 20-). Dykinson. https://doi.org/10.2307/j.ctv2gz3t39.3
	Areitio Bertolín, J. (2008). Seguridad de la información : redes, informática y sistemas de información. Paraninfo.
	Arteta, M. E., &amp; Camargo, F. (2007). El Ssistema Integral de Información de la Protección Social -SISPRO. Revista Colombiana de Telecomunicaciones.</t>
  </si>
  <si>
    <t>Bibliografía Complementaria
	Óscar Bernal Acevedo, Juan Camilo Forero Camacho, Luis Jorge Hernández, Leonardo J. León, Óscar Bernal, &amp; Catalina Gutiérrez. (2012). Sistemas de información en el sector salud en Colombia. En La salud en Colombia (1.a ed., pp. 475-). Universidad de los Andes, Colombia.
	Health, P. A. (1997). Sistemas de información de gestión de la salud. In Datos de Inmunización: Evidencia para la Acción. Pan American Health Organization (PAHO).
	OECD. (2016). Capítulo 2. Fortalecer la rectoría para construir un sistema de salud centrado en la persona y orientado al uso de la información. In Estudios de la OCDE sobre los Sistemas de Salud: México 2016. OECD Publishing.
	Buxarrais, M. R., Prats, E., &amp; Tey, A. (2004). Ética de la información. Editorial UOC.
	Arteta, M. E., &amp; Camargo, F. (2007). El Ssistema Integral de Información de la Protección Social -SISPRO. Revista Colombiana de Telecomunicaciones.</t>
  </si>
  <si>
    <t>SIMULACIÓN GERENCIAL</t>
  </si>
  <si>
    <t>Numerosos expertos consideran que la Administración de Empresas es una disciplina que combina aspectos de las ciencias sociales y técnicas, dedicada a planificar, organizar, dirigir y controlar los recursos de una organización (humanos, financieros, materiales, tecnológicos, conocimiento, entre otros) con el objetivo de maximizar los beneficios obtenidos. Estos beneficios pueden ser de índole económica o social, dependiendo de los objetivos establecidos por la organización.
El avance de cualquier disciplina científica se sustenta en el método científico, entendido como un conjunto de pasos previamente definidos que permiten alcanzar conocimientos válidos mediante herramientas confiables. Este método incluye etapas como la observación, el análisis, la experimentación y la formulación de teorías, siendo la experimentación una fase clave del proceso.
En este contexto, la Simulación Gerencial se aproxima a las prácticas científicas al servir como un puente entre las competencias de observación y análisis y las habilidades prácticas necesarias para la gestión empresarial. Más que una simple teoría, la simulación es una metodología orientada a la resolución de problemas.</t>
  </si>
  <si>
    <t>Desarrolla decisiones gerenciales mediante casos empresariales y entornos simulados para fortalecer los procesos de análisis y toma de decisiones apoyadas en investigación directa en campo, los hechos documentados y las estadísticas.</t>
  </si>
  <si>
    <t>Hito.Debate Coyuntura País
de Ruta de Acción Estratégica .
Emprendimiento Sostenible
Organización intervenida.
Modificación VELÁZQUEZ</t>
  </si>
  <si>
    <t xml:space="preserve">Esquema de Calificación: (Asignación puntajes, notas y ponderación que tienen las actividades desarrolladas en la Unidad de Estudio).
Nota única 100%
Con porcentajes obtenidos en cada corte académico a través de:
Talleres/ 
Actividades académicas extra (visita empresa, conferencias, congresos, etc.)
Prueba objetiva
Foros
Encuentro (intermedio/prueba supletoria) Solo si aplica
Encuentro (final/prueba extemporánea) Solo si aplica
Parciales
Exposiciones
Proyecto final
</t>
  </si>
  <si>
    <t>Aula virtual
Plataforma Cesim para Juego Gerencial
Herramientas digitales como Canva, Geneally y demás aplicativos para la producción de videos y/o podcast
Bases de Datos – EMIS
Libros electrónicos disponible en la Biblioteca de la Universidad de los campos de conocimiento de Gerencia Estratégica, EmprendimientoPlataforma Universidad Ean Canva, Webex 
Herramientas libres: Piktochart, Prezi, Powtoon, Menti, entre otras</t>
  </si>
  <si>
    <t>1. Brealey, R. (2020). Principios de Finanzas Corporativas. México: Mc Graw Hill.
2. Fred R., David; Forest R., David; Meredith E., David (2023). Conceptos de administración estratégica. Pearson Educación
3. Robbins, Stephen P.; Coulter, Mary (2023). Administración. Pearson Educación. Disponible en BD Pearson
https://www-ebooks7-24-com.bdbiblioteca.universidadean.edu.co/?il=32870&amp;pg=1)
4. Wheelen, T., &amp; Hunger, D. (2013). Administración Estratégica y Política de Negocios (Conceptos y Casos), Bogotá: Pearson.
5. Hill, Ch. (2009). Administración Estratégica. México: Mc Graw Hill.</t>
  </si>
  <si>
    <t>Bibliografía Complementaria
Thompson, A. (2012). Crafting and executing strategy: the quest for competitive advantage: concepts and cases. New York: McGraw-Hill.
Dess G., Lumpikin, T. &amp; Eisner, A. (2010). Strategic Management Creating Competitive Advantages. New York: McGraw-Hill.
Toro, F. (2014). Gestión de Proyectos con enfoque PMI. Bogotá: Ecoe Ediciones.
Van, J. (2010). Fundamentos de Administración Financiera. México: Pearson.
Fuente: páginas y direcciones electrónicas
Páginas de Ministerios, otras instituciones, organismos multilaterales, periódicos nacionales e internacionales.
Plataforma CESIM</t>
  </si>
  <si>
    <t>05/09/2024</t>
  </si>
  <si>
    <t>Sandra Ximena Diaz</t>
  </si>
  <si>
    <t>Jose E Alba</t>
  </si>
  <si>
    <t>Modificación Syllabus</t>
  </si>
  <si>
    <t>GESTIÓN DE LA SEGURIDAD Y SALUD EN EL TRABAJO</t>
  </si>
  <si>
    <t>El propósito de esta unidad es proporcionar a los estudiantes los conocimientos y habilidades necesarios para identificar, evaluar y gestionar los riesgos relacionados con la seguridad y salud en el trabajo, promoviendo un ambiente laboral seguro y saludable.</t>
  </si>
  <si>
    <t>Diseñar e implementar un plan de gestión de seguridad y salud en el trabajo, basado en la normativa vigente y las mejores prácticas del sector</t>
  </si>
  <si>
    <t>Introducción a la Seguridad y Salud en el Trabajo. La seguridad y salud en el trabajo busca prevenir riesgos y promover condiciones laborales seguras. El entorno laboral, incluyendo aspectos físicos, sociales y culturales, influye en el bienestar y productividad. De otra parte, enlazar el marco normativo en salud y trabajador a nivel mundial y en Colombia. Identificación y Evaluación de Riesgo. Este hito aborda los conceptos fundamentales relacionados con la identificación y evaluación de los riesgos que afectan la salud y seguridad de los trabajadores en diversos entornos laborales. Se exploran los tipos de riesgos (físicos, químicos, biológicos, psicosociales, ergonómicos y mecánicos), así como las metodologías y herramientas utilizadas para su detección, análisis y valoración. Asimismo,</t>
  </si>
  <si>
    <t xml:space="preserve">Esquema de Calificación: (Asignación puntajes, notas y ponderación que tienen las actividades desarrolladas en la Unidad de Estudio).
 Participación en foros y actividades interactivas  20% 
 Mapa mental relación entorno y trabajo  15% 
 Proyecto Caso de estudio y planes de emergencia.  15% 
 Taller de indicadores de evaluación y seguimiento  20% 
 Proyecto final 30% </t>
  </si>
  <si>
    <t>	Cifuentes Olarte, A., Ceballos, C. A., &amp; Cifuentes Giraldo, O. L. (2020). Sistema de gestión de la seguridad y salud en el trabajo : lineamientos jurídicos y técnicos para el diseño e implementación de SGSST con los Estándares Mínimos. Guías metodológicas del MinTrabajo (2a edición). Ediciones de la U.
	Bedoya Marrugo, E. A. (2018). Guía práctica del sistema de gestión de la seguridad y salud en el trabajo (1a edición). Alfaomega.
	Gomero Cuadra, R., Palomino Baldeon, J., &amp; Llap Yesan, C. (2012). Los programas de vigilancia médica ocupacional en los centros de trabajo. Revista médica herediana, 17(2), 115-. https://doi.org/10.20453/rmh.v17i2.917</t>
  </si>
  <si>
    <t>Bibliografía Complementaria
	Cifuentes Olarte, A., &amp; Cifuentes Giraldo, O. L. (2017). Normas legales en Seguridad y Salud en el Trabajo : incluye Resolución 1111 de 2017 definición de Estándares Mínimos (2a edición). Ediciones de la U.
	Lozada, M. A., Universidad Nacional de Colombia. Maestría de Salud y Seguridad en el Trabajo., &amp; Universidad Nacional de Colombia. Grupo de Investigación Salud-Trabajo. (2012). Experiencias de investigación en salud y seguridad en el trabajo (M. A. Lozada, Ed.). Universidad Nacional de Colombia, Vicerrectoría de Investigación, Dirección de Investigación-Sede Bogotá.</t>
  </si>
  <si>
    <t>HOSPITALES VERDES Y SOSTENIBLES</t>
  </si>
  <si>
    <t>Esta unidad tiene como propósito desarrollar en los estudiantes la comprensión crítica y aplicada de los principios de sostenibilidad ambiental en el entorno hospitalario. A partir del marco propuesto por la Organización Mundial de la Salud sobre hospitales verdes y seguros, los estudiantes analizarán e identificarán prácticas sostenibles en la infraestructura, operación y gestión de servicios hospitalarios, con miras a minimizar los impactos ambientales, mejorar la resiliencia ante el cambio climático y promover la salud integral.</t>
  </si>
  <si>
    <t>Analizan los principios y componentes clave del enfoque de hospitales verdes y sostenibles, relacionándolos con la estrategia global de sostenibilidad ambiental en salud propuesta por la OMS.</t>
  </si>
  <si>
    <t>Introducción a los Hospitales Verdes y Sostenibles. Este hito permite a los estudiantes adentrarse en el concepto de hospitales verdes y sostenibles, entendido como una estrategia integral para mejorar la salud de las personas y del planeta. Se parte del reconocimiento del impacto ambiental significativo que tienen las instituciones de salud, y de la necesidad de transformar su funcionamiento hacia modelos que minimicen su huella ecológica y fortalezcan su capacidad de respuesta ante fenómenos como el cambio climático. Gestión eficiente de recursos y reducción de impactos. En esta sesión se estudian prácticas para reducir el impacto ambiental de los hospitales mediante el uso eficiente de energía, agua y la correcta gestión de residuos. Se revisan medidas como la instalación de sistemas de</t>
  </si>
  <si>
    <t xml:space="preserve">Esquema de Calificación: (Asignación puntajes, notas y ponderación que tienen las actividades desarrolladas en la Unidad de Estudio).
 Participación en foros y actividades interactivas  10% 
 Diseño de Plan de Mejora Continua para una organización de salud  40% 
 Evaluación final integradora: interpretación de indicadores y propuesta de seguimiento: 20% 
 Análisis de Caso  "Evaluación del modelo de calidad en una organización internacional de salud ": 20% </t>
  </si>
  <si>
    <t xml:space="preserve">Aula virtual
Chat GPT, Copilot, Figma. 
LMS - Canvas, Genially, Bases de Datos Biblioteca. </t>
  </si>
  <si>
    <t>	Organización Mundial de la Salud. (2015). Hospitales seguros y verdes: Guía para fortalecer la resiliencia de los establecimientos de salud al cambio climático. OMS/OPS. https://iris.paho.org/handle/10665.2/7737
	Organización Panamericana de la Salud. (2010). Hospitales seguros frente a desastres: Desafíos para la sostenibilidad. OPS. https://iris.paho.org/handle/10665.2/3536</t>
  </si>
  <si>
    <t>Bibliografía Complementaria
	Organización Mundial de la Salud. (2015). Hospitales seguros y verdes: Guía para fortalecer la resiliencia de los establecimientos de salud al cambio climático. OMS/OPS. https://iris.paho.org/handle/10665.2/7737
	Organización Panamericana de la Salud. (2010). Hospitales seguros frente a desastres: Desafíos para la sostenibilidad. OPS. https://iris.paho.org/handle/10665.2/3536</t>
  </si>
  <si>
    <t>24/24/2025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</si>
</sst>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yyyy\-mm\-dd\ h:mm:ss"/>
  </numFmts>
  <fonts count="6">
    <font>
      <sz val="11"/>
      <color theme="1"/>
      <name val="Calibri"/>
      <family val="2"/>
      <charset val="1"/>
    </font>
    <font>
      <sz val="10"/>
      <color theme="1"/>
      <name val="Calibri"/>
      <family val="2"/>
      <charset val="1"/>
    </font>
    <font>
      <b/>
      <sz val="10"/>
      <color theme="1"/>
      <name val="Arial Narrow"/>
      <family val="2"/>
      <charset val="1"/>
    </font>
    <font>
      <b/>
      <sz val="11"/>
      <color rgb="FF3D7357"/>
      <name val="Arial Narrow"/>
      <family val="2"/>
      <charset val="1"/>
    </font>
    <font>
      <b/>
      <sz val="11"/>
      <color theme="1"/>
      <name val="Calibri"/>
      <family val="2"/>
      <charset val="1"/>
    </font>
    <font>
      <sz val="10"/>
      <color rgb="FF231F20"/>
      <name val="Arial"/>
      <family val="2"/>
      <charset val="1"/>
    </font>
  </fonts>
  <fills count="5">
    <fill>
      <patternFill patternType="none"/>
    </fill>
    <fill>
      <patternFill patternType="gray125"/>
    </fill>
    <fill>
      <patternFill patternType="solid">
        <fgColor theme="0"/>
        <bgColor rgb="FFFFFFCC"/>
      </patternFill>
    </fill>
    <fill>
      <patternFill patternType="solid">
        <fgColor rgb="FFFF0000"/>
        <bgColor rgb="FF993300"/>
      </patternFill>
    </fill>
    <fill>
      <patternFill patternType="solid">
        <fgColor rgb="FFFFFF00"/>
        <bgColor indexed="64"/>
      </patternFill>
    </fill>
  </fills>
  <borders count="23">
    <border>
      <left/>
      <right/>
      <top/>
      <bottom/>
      <diagonal/>
    </border>
    <border>
      <left/>
      <right/>
      <top/>
      <bottom style="double">
        <color auto="1"/>
      </bottom>
      <diagonal/>
    </border>
    <border>
      <left style="double">
        <color auto="1"/>
      </left>
      <right style="dashed">
        <color auto="1"/>
      </right>
      <top style="double">
        <color auto="1"/>
      </top>
      <bottom style="dashed">
        <color auto="1"/>
      </bottom>
      <diagonal/>
    </border>
    <border>
      <left style="dashed">
        <color auto="1"/>
      </left>
      <right style="dashed">
        <color auto="1"/>
      </right>
      <top style="double">
        <color auto="1"/>
      </top>
      <bottom style="dashed">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uble">
        <color auto="1"/>
      </left>
      <right/>
      <top style="dashed">
        <color auto="1"/>
      </top>
      <bottom style="double">
        <color auto="1"/>
      </bottom>
      <diagonal/>
    </border>
    <border>
      <left style="dotted">
        <color auto="1"/>
      </left>
      <right style="double">
        <color auto="1"/>
      </right>
      <top style="dashed">
        <color auto="1"/>
      </top>
      <bottom style="double">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84">
    <xf numFmtId="0" fontId="0" fillId="0" borderId="0" xfId="0"/>
    <xf numFmtId="0" fontId="0" fillId="0" borderId="8" xfId="0" applyBorder="1" applyAlignment="1">
      <alignment horizontal="center" vertical="center"/>
    </xf>
    <xf numFmtId="0" fontId="4" fillId="0" borderId="10" xfId="0" applyFont="1" applyBorder="1" applyAlignment="1">
      <alignment horizontal="center" vertical="center"/>
    </xf>
    <xf numFmtId="0" fontId="0" fillId="2" borderId="0" xfId="0" applyFill="1"/>
    <xf numFmtId="0" fontId="0" fillId="2" borderId="1" xfId="0" applyFill="1" applyBorder="1"/>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0" fontId="0" fillId="0" borderId="8" xfId="0" applyBorder="1"/>
    <xf numFmtId="0" fontId="4" fillId="0" borderId="8" xfId="0" applyFont="1" applyBorder="1" applyAlignment="1">
      <alignment horizontal="center"/>
    </xf>
    <xf numFmtId="0" fontId="4" fillId="2" borderId="8" xfId="0" applyFont="1" applyFill="1" applyBorder="1" applyAlignment="1">
      <alignment horizontal="center" vertical="center"/>
    </xf>
    <xf numFmtId="0" fontId="0" fillId="0" borderId="8" xfId="0" applyBorder="1" applyAlignment="1">
      <alignment wrapText="1"/>
    </xf>
    <xf numFmtId="0" fontId="4" fillId="3" borderId="8" xfId="0" applyFont="1" applyFill="1" applyBorder="1" applyAlignment="1">
      <alignment horizontal="center" vertical="center" wrapText="1"/>
    </xf>
    <xf numFmtId="0" fontId="0" fillId="3" borderId="8" xfId="0" applyFill="1" applyBorder="1" applyAlignment="1">
      <alignment horizontal="center" vertical="center"/>
    </xf>
    <xf numFmtId="0" fontId="0" fillId="0" borderId="8" xfId="0" applyBorder="1" applyAlignment="1">
      <alignment horizontal="center" vertical="center" wrapText="1"/>
    </xf>
    <xf numFmtId="0" fontId="4" fillId="0" borderId="11" xfId="0" applyFont="1" applyBorder="1" applyAlignment="1">
      <alignment horizontal="center" vertical="center"/>
    </xf>
    <xf numFmtId="0" fontId="0" fillId="0" borderId="12" xfId="0" applyBorder="1" applyAlignment="1">
      <alignment horizontal="center" vertical="center"/>
    </xf>
    <xf numFmtId="0" fontId="4" fillId="2" borderId="11" xfId="0" applyFont="1" applyFill="1" applyBorder="1" applyAlignment="1">
      <alignment horizontal="center" vertical="center" wrapText="1"/>
    </xf>
    <xf numFmtId="0" fontId="0" fillId="2" borderId="8" xfId="0" applyFill="1" applyBorder="1" applyAlignment="1">
      <alignment horizontal="center" vertical="center"/>
    </xf>
    <xf numFmtId="0" fontId="4" fillId="0" borderId="13" xfId="0" applyFont="1" applyBorder="1" applyAlignment="1">
      <alignment horizontal="center" vertical="center" wrapText="1"/>
    </xf>
    <xf numFmtId="0" fontId="0" fillId="0" borderId="14" xfId="0" applyBorder="1" applyAlignment="1">
      <alignment horizontal="center" vertical="center"/>
    </xf>
    <xf numFmtId="0" fontId="4" fillId="0" borderId="14" xfId="0" applyFont="1" applyBorder="1" applyAlignment="1">
      <alignment horizontal="center" vertical="center" wrapText="1"/>
    </xf>
    <xf numFmtId="0" fontId="0" fillId="0" borderId="15" xfId="0" applyBorder="1" applyAlignment="1">
      <alignment horizontal="center" vertical="center"/>
    </xf>
    <xf numFmtId="0" fontId="4" fillId="0" borderId="17" xfId="0" applyFont="1" applyBorder="1" applyAlignment="1">
      <alignment horizontal="center" vertical="center"/>
    </xf>
    <xf numFmtId="0" fontId="4" fillId="2" borderId="10" xfId="0" applyFont="1" applyFill="1" applyBorder="1" applyAlignment="1">
      <alignment horizontal="center" vertical="center"/>
    </xf>
    <xf numFmtId="0" fontId="4" fillId="0" borderId="22" xfId="0" applyFont="1" applyBorder="1" applyAlignment="1">
      <alignment horizontal="center" vertical="center"/>
    </xf>
    <xf numFmtId="0" fontId="0" fillId="0" borderId="21" xfId="0" applyBorder="1"/>
    <xf numFmtId="0" fontId="4" fillId="0" borderId="11" xfId="0" applyFont="1" applyBorder="1" applyAlignment="1">
      <alignment horizontal="center"/>
    </xf>
    <xf numFmtId="0" fontId="0" fillId="0" borderId="11" xfId="0" applyBorder="1" applyAlignment="1">
      <alignment wrapText="1"/>
    </xf>
    <xf numFmtId="0" fontId="0" fillId="0" borderId="13" xfId="0" applyBorder="1" applyAlignment="1">
      <alignment wrapText="1"/>
    </xf>
    <xf numFmtId="0" fontId="0" fillId="0" borderId="14" xfId="0" applyBorder="1" applyAlignment="1">
      <alignment wrapText="1"/>
    </xf>
    <xf numFmtId="9" fontId="0" fillId="2" borderId="0" xfId="0" applyNumberFormat="1" applyFill="1"/>
    <xf numFmtId="164" fontId="0" fillId="2" borderId="0" xfId="0" applyNumberFormat="1" applyFill="1"/>
    <xf numFmtId="165" fontId="0" fillId="0" borderId="8" xfId="0" applyNumberFormat="1" applyBorder="1" applyAlignment="1">
      <alignment wrapText="1"/>
    </xf>
    <xf numFmtId="9" fontId="0" fillId="0" borderId="21" xfId="0" applyNumberFormat="1" applyBorder="1"/>
    <xf numFmtId="0" fontId="0" fillId="0" borderId="14" xfId="0" applyBorder="1" applyAlignment="1">
      <alignment horizontal="center" wrapText="1"/>
    </xf>
    <xf numFmtId="0" fontId="0" fillId="0" borderId="8" xfId="0" applyBorder="1" applyAlignment="1">
      <alignment horizontal="center" wrapText="1"/>
    </xf>
    <xf numFmtId="0" fontId="4" fillId="0" borderId="10" xfId="0" applyFont="1" applyBorder="1" applyAlignment="1">
      <alignment horizontal="center"/>
    </xf>
    <xf numFmtId="0" fontId="4" fillId="0" borderId="13" xfId="0" applyFont="1" applyBorder="1" applyAlignment="1">
      <alignment horizontal="center" vertical="top" wrapText="1"/>
    </xf>
    <xf numFmtId="0" fontId="4" fillId="0" borderId="15" xfId="0" applyFont="1" applyBorder="1" applyAlignment="1">
      <alignment horizontal="center" vertical="top" wrapText="1"/>
    </xf>
    <xf numFmtId="0" fontId="4" fillId="0" borderId="8" xfId="0" applyFont="1" applyBorder="1" applyAlignment="1">
      <alignment horizontal="center"/>
    </xf>
    <xf numFmtId="0" fontId="4" fillId="0" borderId="19" xfId="0" applyFont="1" applyBorder="1" applyAlignment="1">
      <alignment horizontal="center"/>
    </xf>
    <xf numFmtId="0" fontId="0" fillId="0" borderId="16" xfId="0" applyBorder="1" applyAlignment="1">
      <alignment horizontal="center" vertical="top" wrapText="1"/>
    </xf>
    <xf numFmtId="0" fontId="4" fillId="0" borderId="20" xfId="0" applyFont="1" applyBorder="1" applyAlignment="1">
      <alignment horizontal="center" vertical="top" wrapText="1"/>
    </xf>
    <xf numFmtId="0" fontId="4" fillId="0" borderId="21" xfId="0" applyFont="1" applyBorder="1" applyAlignment="1">
      <alignment horizontal="center" vertical="top" wrapText="1"/>
    </xf>
    <xf numFmtId="0" fontId="4" fillId="0" borderId="20" xfId="0" applyFont="1" applyBorder="1" applyAlignment="1">
      <alignment horizontal="center" vertical="center"/>
    </xf>
    <xf numFmtId="0" fontId="0" fillId="0" borderId="22" xfId="0" applyBorder="1" applyAlignment="1">
      <alignment horizontal="center"/>
    </xf>
    <xf numFmtId="0" fontId="4" fillId="0" borderId="17" xfId="0" applyFont="1" applyBorder="1" applyAlignment="1">
      <alignment horizontal="center" vertical="center"/>
    </xf>
    <xf numFmtId="0" fontId="4" fillId="2" borderId="17" xfId="0" applyFont="1" applyFill="1" applyBorder="1" applyAlignment="1">
      <alignment horizontal="center" vertical="center"/>
    </xf>
    <xf numFmtId="0" fontId="4" fillId="0" borderId="18" xfId="0" applyFont="1" applyBorder="1" applyAlignment="1">
      <alignment horizontal="center" vertical="top"/>
    </xf>
    <xf numFmtId="0" fontId="4" fillId="2" borderId="18" xfId="0" applyFont="1" applyFill="1" applyBorder="1" applyAlignment="1">
      <alignment horizontal="center" vertical="center"/>
    </xf>
    <xf numFmtId="0" fontId="4" fillId="0" borderId="13" xfId="0" applyFont="1" applyBorder="1" applyAlignment="1">
      <alignment horizontal="center" wrapText="1"/>
    </xf>
    <xf numFmtId="0" fontId="0" fillId="0" borderId="15" xfId="0" applyBorder="1" applyAlignment="1">
      <alignment horizontal="center"/>
    </xf>
    <xf numFmtId="0" fontId="0" fillId="0" borderId="11" xfId="0" applyBorder="1" applyAlignment="1">
      <alignment horizontal="center" wrapText="1"/>
    </xf>
    <xf numFmtId="0" fontId="4" fillId="0" borderId="16" xfId="0" applyFont="1" applyBorder="1" applyAlignment="1">
      <alignment horizontal="center" vertical="top"/>
    </xf>
    <xf numFmtId="0" fontId="4" fillId="0" borderId="12" xfId="0" applyFont="1"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4" fillId="0" borderId="11" xfId="0" applyFont="1" applyBorder="1" applyAlignment="1">
      <alignment horizontal="center" wrapText="1"/>
    </xf>
    <xf numFmtId="0" fontId="4" fillId="0" borderId="12" xfId="0" applyFont="1" applyBorder="1" applyAlignment="1">
      <alignment horizontal="center"/>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3" fillId="0" borderId="6"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left" vertical="top"/>
    </xf>
    <xf numFmtId="0" fontId="0" fillId="0" borderId="8" xfId="0" applyBorder="1" applyAlignment="1">
      <alignment horizontal="left" vertical="top" wrapText="1"/>
    </xf>
    <xf numFmtId="0" fontId="4" fillId="0" borderId="8" xfId="0" applyFont="1" applyBorder="1" applyAlignment="1">
      <alignment horizontal="center" vertical="center"/>
    </xf>
    <xf numFmtId="0" fontId="0" fillId="0" borderId="8" xfId="0" applyBorder="1" applyAlignment="1">
      <alignment horizontal="center"/>
    </xf>
    <xf numFmtId="0" fontId="4"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0" borderId="8" xfId="0" applyFont="1" applyBorder="1" applyAlignment="1">
      <alignment horizontal="center" wrapText="1"/>
    </xf>
    <xf numFmtId="0" fontId="4" fillId="3" borderId="8" xfId="0" applyFont="1" applyFill="1" applyBorder="1" applyAlignment="1">
      <alignment horizontal="left" vertical="top"/>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0" fillId="3" borderId="8" xfId="0" applyFill="1" applyBorder="1" applyAlignment="1">
      <alignment horizontal="center"/>
    </xf>
    <xf numFmtId="0" fontId="4" fillId="3" borderId="8" xfId="0" applyFont="1" applyFill="1" applyBorder="1" applyAlignment="1">
      <alignment horizontal="center" wrapText="1"/>
    </xf>
    <xf numFmtId="0" fontId="4" fillId="0" borderId="15" xfId="0" applyFont="1" applyBorder="1" applyAlignment="1">
      <alignment horizontal="center" vertical="top"/>
    </xf>
    <xf numFmtId="0" fontId="4" fillId="0" borderId="21" xfId="0" applyFont="1" applyBorder="1" applyAlignment="1">
      <alignment horizontal="center" vertical="top"/>
    </xf>
    <xf numFmtId="0" fontId="4" fillId="0" borderId="18" xfId="0" applyFont="1" applyBorder="1" applyAlignment="1">
      <alignment horizontal="center" vertical="top" wrapText="1"/>
    </xf>
    <xf numFmtId="0" fontId="4" fillId="0" borderId="12" xfId="0" applyFont="1" applyBorder="1" applyAlignment="1">
      <alignment horizontal="center" wrapText="1"/>
    </xf>
    <xf numFmtId="0" fontId="0" fillId="4" borderId="14" xfId="0"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D7357"/>
      <rgbColor rgb="FF003300"/>
      <rgbColor rgb="FF333300"/>
      <rgbColor rgb="FF993300"/>
      <rgbColor rgb="FF993366"/>
      <rgbColor rgb="FF333399"/>
      <rgbColor rgb="FF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1004400</xdr:colOff>
      <xdr:row>2</xdr:row>
      <xdr:rowOff>173160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4920" y="303120"/>
          <a:ext cx="923760" cy="346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1004400</xdr:colOff>
      <xdr:row>2</xdr:row>
      <xdr:rowOff>173160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04920" y="303120"/>
          <a:ext cx="923760" cy="346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1004400</xdr:colOff>
      <xdr:row>2</xdr:row>
      <xdr:rowOff>173160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304920" y="303120"/>
          <a:ext cx="923760" cy="34632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5"/>
  <cols>
    <col min="1" max="1" width="3.140625" style="3" customWidth="1"/>
    <col min="2" max="2" width="14.28515625" style="3" customWidth="1"/>
    <col min="3" max="3" width="9.710937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1</v>
      </c>
    </row>
    <row r="3" spans="2:9" ht="20.25" customHeight="1">
      <c r="B3" s="62"/>
      <c r="C3" s="63"/>
      <c r="D3" s="63"/>
      <c r="E3" s="63"/>
      <c r="F3" s="63"/>
      <c r="G3" s="63"/>
      <c r="H3" s="63"/>
      <c r="I3" s="6" t="s">
        <v>2</v>
      </c>
    </row>
    <row r="4" spans="2:9" ht="21" customHeight="1">
      <c r="B4" s="64" t="s">
        <v>3</v>
      </c>
      <c r="C4" s="64"/>
      <c r="D4" s="64"/>
      <c r="E4" s="64"/>
      <c r="F4" s="64"/>
      <c r="G4" s="64"/>
      <c r="H4" s="64"/>
      <c r="I4" s="7" t="s">
        <v>4</v>
      </c>
    </row>
    <row r="5" spans="2:9" ht="15" customHeight="1">
      <c r="B5" s="69"/>
      <c r="C5" s="69"/>
      <c r="D5" s="69"/>
      <c r="E5" s="69"/>
      <c r="F5" s="69"/>
      <c r="G5" s="69"/>
      <c r="H5" s="69"/>
      <c r="I5" s="69"/>
    </row>
    <row r="6" spans="2:9" ht="14.25" customHeight="1">
      <c r="B6" s="69" t="s">
        <v>5</v>
      </c>
      <c r="C6" s="69"/>
      <c r="D6" s="69"/>
      <c r="E6" s="69"/>
      <c r="F6" s="69"/>
      <c r="G6" s="69"/>
      <c r="H6" s="69"/>
      <c r="I6" s="69"/>
    </row>
    <row r="7" spans="2:9" ht="43.5" customHeight="1">
      <c r="B7" s="8" t="s">
        <v>6</v>
      </c>
      <c r="C7" s="1"/>
      <c r="D7" s="9" t="s">
        <v>7</v>
      </c>
      <c r="E7" s="1"/>
      <c r="F7" s="9" t="s">
        <v>8</v>
      </c>
      <c r="G7" s="1"/>
      <c r="H7" s="9" t="s">
        <v>9</v>
      </c>
      <c r="I7" s="1"/>
    </row>
    <row r="8" spans="2:9" ht="43.5" customHeight="1">
      <c r="B8" s="9" t="s">
        <v>10</v>
      </c>
      <c r="C8" s="1"/>
      <c r="D8" s="8" t="s">
        <v>11</v>
      </c>
      <c r="E8" s="58"/>
      <c r="F8" s="58"/>
      <c r="G8" s="9" t="s">
        <v>12</v>
      </c>
      <c r="H8" s="58"/>
      <c r="I8" s="58"/>
    </row>
    <row r="9" spans="2:9" ht="28.5" customHeight="1">
      <c r="B9" s="9" t="s">
        <v>13</v>
      </c>
      <c r="C9" s="10"/>
      <c r="D9" s="9" t="s">
        <v>14</v>
      </c>
      <c r="E9" s="10"/>
      <c r="F9" s="9" t="s">
        <v>15</v>
      </c>
      <c r="G9" s="10"/>
      <c r="H9" s="9" t="s">
        <v>16</v>
      </c>
      <c r="I9" s="10">
        <f>E9+G9</f>
        <v>0</v>
      </c>
    </row>
    <row r="10" spans="2:9" ht="14.25" customHeight="1">
      <c r="B10" s="73" t="s">
        <v>17</v>
      </c>
      <c r="C10" s="73"/>
      <c r="D10" s="73"/>
      <c r="E10" s="73"/>
      <c r="F10" s="73"/>
      <c r="G10" s="73"/>
      <c r="H10" s="73"/>
      <c r="I10" s="73"/>
    </row>
    <row r="11" spans="2:9" ht="14.25" customHeight="1">
      <c r="B11" s="73" t="s">
        <v>18</v>
      </c>
      <c r="C11" s="73"/>
      <c r="D11" s="69" t="s">
        <v>19</v>
      </c>
      <c r="E11" s="70"/>
      <c r="F11" s="70"/>
      <c r="G11" s="69" t="s">
        <v>20</v>
      </c>
      <c r="H11" s="70"/>
      <c r="I11" s="70"/>
    </row>
    <row r="12" spans="2:9" ht="14.25" customHeight="1">
      <c r="B12" s="73"/>
      <c r="C12" s="73"/>
      <c r="D12" s="69"/>
      <c r="E12" s="70"/>
      <c r="F12" s="70"/>
      <c r="G12" s="69"/>
      <c r="H12" s="70"/>
      <c r="I12" s="70"/>
    </row>
    <row r="13" spans="2:9" ht="14.25" customHeight="1">
      <c r="B13" s="42" t="s">
        <v>21</v>
      </c>
      <c r="C13" s="42"/>
      <c r="D13" s="42"/>
      <c r="E13" s="42"/>
      <c r="F13" s="42"/>
      <c r="G13" s="42"/>
      <c r="H13" s="42"/>
      <c r="I13" s="42"/>
    </row>
    <row r="14" spans="2:9" ht="14.25" customHeight="1">
      <c r="B14" s="8" t="s">
        <v>22</v>
      </c>
      <c r="C14" s="58"/>
      <c r="D14" s="58"/>
      <c r="E14" s="8" t="s">
        <v>23</v>
      </c>
      <c r="F14" s="1"/>
      <c r="G14" s="8" t="s">
        <v>24</v>
      </c>
      <c r="H14" s="58"/>
      <c r="I14" s="58"/>
    </row>
    <row r="15" spans="2:9" ht="14.25" customHeight="1">
      <c r="B15" s="42" t="s">
        <v>25</v>
      </c>
      <c r="C15" s="42"/>
      <c r="D15" s="42"/>
      <c r="E15" s="42"/>
      <c r="F15" s="42"/>
      <c r="G15" s="42"/>
      <c r="H15" s="42"/>
      <c r="I15" s="42"/>
    </row>
    <row r="16" spans="2:9" ht="14.25" customHeight="1">
      <c r="B16" s="73" t="s">
        <v>26</v>
      </c>
      <c r="C16" s="73"/>
      <c r="D16" s="70"/>
      <c r="E16" s="70"/>
      <c r="F16" s="70"/>
      <c r="G16" s="70"/>
      <c r="H16" s="70"/>
      <c r="I16" s="70"/>
    </row>
    <row r="17" spans="2:9" ht="14.25" customHeight="1">
      <c r="B17" s="73"/>
      <c r="C17" s="73"/>
      <c r="D17" s="70"/>
      <c r="E17" s="70"/>
      <c r="F17" s="70"/>
      <c r="G17" s="70"/>
      <c r="H17" s="70"/>
      <c r="I17" s="70"/>
    </row>
    <row r="18" spans="2:9" ht="14.25" customHeight="1">
      <c r="B18" s="73" t="s">
        <v>27</v>
      </c>
      <c r="C18" s="73"/>
      <c r="D18" s="70"/>
      <c r="E18" s="70"/>
      <c r="F18" s="70"/>
      <c r="G18" s="70"/>
      <c r="H18" s="70"/>
      <c r="I18" s="70"/>
    </row>
    <row r="19" spans="2:9" ht="14.25" customHeight="1">
      <c r="B19" s="73" t="s">
        <v>28</v>
      </c>
      <c r="C19" s="73"/>
      <c r="D19" s="70"/>
      <c r="E19" s="70"/>
      <c r="F19" s="70"/>
      <c r="G19" s="70"/>
      <c r="H19" s="70"/>
      <c r="I19" s="70"/>
    </row>
    <row r="20" spans="2:9" ht="14.25" customHeight="1">
      <c r="B20" s="73"/>
      <c r="C20" s="73"/>
      <c r="D20" s="70"/>
      <c r="E20" s="70"/>
      <c r="F20" s="70"/>
      <c r="G20" s="70"/>
      <c r="H20" s="70"/>
      <c r="I20" s="70"/>
    </row>
    <row r="21" spans="2:9" ht="14.25" customHeight="1">
      <c r="B21" s="73" t="s">
        <v>29</v>
      </c>
      <c r="C21" s="73"/>
      <c r="D21" s="70"/>
      <c r="E21" s="70"/>
      <c r="F21" s="70"/>
      <c r="G21" s="70"/>
      <c r="H21" s="70"/>
      <c r="I21" s="70"/>
    </row>
    <row r="22" spans="2:9" ht="14.25" customHeight="1">
      <c r="B22" s="73"/>
      <c r="C22" s="73"/>
      <c r="D22" s="70"/>
      <c r="E22" s="70"/>
      <c r="F22" s="70"/>
      <c r="G22" s="70"/>
      <c r="H22" s="70"/>
      <c r="I22" s="70"/>
    </row>
    <row r="23" spans="2:9" ht="14.25" customHeight="1">
      <c r="B23" s="69" t="s">
        <v>30</v>
      </c>
      <c r="C23" s="69"/>
      <c r="D23" s="70" t="s">
        <v>31</v>
      </c>
      <c r="E23" s="70"/>
      <c r="F23" s="70"/>
      <c r="G23" s="70"/>
      <c r="H23" s="70"/>
      <c r="I23" s="70"/>
    </row>
    <row r="24" spans="2:9" ht="14.25" customHeight="1">
      <c r="B24" s="69"/>
      <c r="C24" s="69"/>
      <c r="D24" s="70" t="s">
        <v>32</v>
      </c>
      <c r="E24" s="70"/>
      <c r="F24" s="70"/>
      <c r="G24" s="70"/>
      <c r="H24" s="70"/>
      <c r="I24" s="70"/>
    </row>
    <row r="25" spans="2:9" ht="14.25" customHeight="1">
      <c r="B25" s="69"/>
      <c r="C25" s="69"/>
      <c r="D25" s="70" t="s">
        <v>33</v>
      </c>
      <c r="E25" s="70"/>
      <c r="F25" s="70"/>
      <c r="G25" s="70"/>
      <c r="H25" s="70"/>
      <c r="I25" s="70"/>
    </row>
    <row r="26" spans="2:9" ht="14.25" customHeight="1">
      <c r="B26" s="69"/>
      <c r="C26" s="69"/>
      <c r="D26" s="70" t="s">
        <v>34</v>
      </c>
      <c r="E26" s="70"/>
      <c r="F26" s="70"/>
      <c r="G26" s="70"/>
      <c r="H26" s="70"/>
      <c r="I26" s="70"/>
    </row>
    <row r="27" spans="2:9" ht="14.25" customHeight="1">
      <c r="B27" s="71" t="s">
        <v>35</v>
      </c>
      <c r="C27" s="71"/>
      <c r="D27" s="8" t="s">
        <v>36</v>
      </c>
      <c r="E27" s="1"/>
      <c r="F27" s="8" t="s">
        <v>37</v>
      </c>
      <c r="G27" s="1"/>
      <c r="H27" s="8" t="s">
        <v>38</v>
      </c>
      <c r="I27" s="1"/>
    </row>
    <row r="28" spans="2:9" ht="14.25" customHeight="1">
      <c r="B28" s="71"/>
      <c r="C28" s="71"/>
      <c r="D28" s="12" t="s">
        <v>39</v>
      </c>
      <c r="E28" s="1"/>
      <c r="F28" s="8" t="s">
        <v>40</v>
      </c>
      <c r="G28" s="1"/>
      <c r="H28" s="8" t="s">
        <v>41</v>
      </c>
      <c r="I28" s="1"/>
    </row>
    <row r="29" spans="2:9" ht="14.25" customHeight="1">
      <c r="B29" s="71"/>
      <c r="C29" s="71"/>
      <c r="D29" s="8" t="s">
        <v>42</v>
      </c>
      <c r="E29" s="1"/>
      <c r="F29" s="8" t="s">
        <v>43</v>
      </c>
      <c r="G29" s="1"/>
      <c r="H29" s="8" t="s">
        <v>44</v>
      </c>
      <c r="I29" s="1"/>
    </row>
    <row r="30" spans="2:9" ht="14.25" customHeight="1">
      <c r="B30" s="72" t="s">
        <v>45</v>
      </c>
      <c r="C30" s="72"/>
      <c r="D30" s="72"/>
      <c r="E30" s="72"/>
      <c r="F30" s="72"/>
      <c r="G30" s="72"/>
      <c r="H30" s="72"/>
      <c r="I30" s="72"/>
    </row>
    <row r="31" spans="2:9" ht="14.25" customHeight="1">
      <c r="B31" s="72"/>
      <c r="C31" s="72"/>
      <c r="D31" s="72"/>
      <c r="E31" s="72"/>
      <c r="F31" s="72"/>
      <c r="G31" s="72"/>
      <c r="H31" s="72"/>
      <c r="I31" s="72"/>
    </row>
    <row r="32" spans="2:9" ht="14.25" customHeight="1">
      <c r="B32" s="72"/>
      <c r="C32" s="72"/>
      <c r="D32" s="72"/>
      <c r="E32" s="72"/>
      <c r="F32" s="72"/>
      <c r="G32" s="72"/>
      <c r="H32" s="72"/>
      <c r="I32" s="72"/>
    </row>
    <row r="33" spans="2:9" ht="14.25" customHeight="1">
      <c r="B33" s="72"/>
      <c r="C33" s="72"/>
      <c r="D33" s="72"/>
      <c r="E33" s="72"/>
      <c r="F33" s="72"/>
      <c r="G33" s="72"/>
      <c r="H33" s="72"/>
      <c r="I33" s="72"/>
    </row>
    <row r="34" spans="2:9" ht="14.25" customHeight="1">
      <c r="B34" s="72"/>
      <c r="C34" s="72"/>
      <c r="D34" s="72"/>
      <c r="E34" s="72"/>
      <c r="F34" s="72"/>
      <c r="G34" s="72"/>
      <c r="H34" s="72"/>
      <c r="I34" s="72"/>
    </row>
    <row r="35" spans="2:9" ht="14.25" customHeight="1">
      <c r="B35" s="42" t="s">
        <v>46</v>
      </c>
      <c r="C35" s="42"/>
      <c r="D35" s="42"/>
      <c r="E35" s="42"/>
      <c r="F35" s="42"/>
      <c r="G35" s="42"/>
      <c r="H35" s="42"/>
      <c r="I35" s="42"/>
    </row>
    <row r="36" spans="2:9" ht="14.25" customHeight="1">
      <c r="B36" s="38" t="s">
        <v>47</v>
      </c>
      <c r="C36" s="38"/>
      <c r="D36" s="38"/>
      <c r="E36" s="38"/>
      <c r="F36" s="38"/>
      <c r="G36" s="38"/>
      <c r="H36" s="38"/>
      <c r="I36" s="38"/>
    </row>
    <row r="37" spans="2:9" ht="14.25" customHeight="1">
      <c r="B37" s="38"/>
      <c r="C37" s="38"/>
      <c r="D37" s="38"/>
      <c r="E37" s="38"/>
      <c r="F37" s="38"/>
      <c r="G37" s="38"/>
      <c r="H37" s="38"/>
      <c r="I37" s="38"/>
    </row>
    <row r="38" spans="2:9" ht="14.25" customHeight="1">
      <c r="B38" s="38"/>
      <c r="C38" s="38"/>
      <c r="D38" s="38"/>
      <c r="E38" s="38"/>
      <c r="F38" s="38"/>
      <c r="G38" s="38"/>
      <c r="H38" s="38"/>
      <c r="I38" s="38"/>
    </row>
    <row r="39" spans="2:9" ht="14.25" customHeight="1">
      <c r="B39" s="67" t="s">
        <v>48</v>
      </c>
      <c r="C39" s="67"/>
      <c r="D39" s="67"/>
      <c r="E39" s="67"/>
      <c r="F39" s="67" t="s">
        <v>49</v>
      </c>
      <c r="G39" s="67"/>
      <c r="H39" s="67"/>
      <c r="I39" s="67"/>
    </row>
    <row r="40" spans="2:9" ht="14.25" customHeight="1">
      <c r="B40" s="67"/>
      <c r="C40" s="67"/>
      <c r="D40" s="67"/>
      <c r="E40" s="67"/>
      <c r="F40" s="67"/>
      <c r="G40" s="67"/>
      <c r="H40" s="67"/>
      <c r="I40" s="67"/>
    </row>
    <row r="41" spans="2:9" ht="14.25" customHeight="1">
      <c r="B41" s="67"/>
      <c r="C41" s="67"/>
      <c r="D41" s="67"/>
      <c r="E41" s="67"/>
      <c r="F41" s="67"/>
      <c r="G41" s="67"/>
      <c r="H41" s="67"/>
      <c r="I41" s="67"/>
    </row>
    <row r="42" spans="2:9" ht="14.25" customHeight="1">
      <c r="B42" s="67"/>
      <c r="C42" s="67"/>
      <c r="D42" s="67"/>
      <c r="E42" s="67"/>
      <c r="F42" s="67"/>
      <c r="G42" s="67"/>
      <c r="H42" s="67"/>
      <c r="I42" s="67"/>
    </row>
    <row r="43" spans="2:9" ht="14.25" customHeight="1">
      <c r="B43" s="67"/>
      <c r="C43" s="67"/>
      <c r="D43" s="67"/>
      <c r="E43" s="67"/>
      <c r="F43" s="67"/>
      <c r="G43" s="67"/>
      <c r="H43" s="67"/>
      <c r="I43" s="67"/>
    </row>
    <row r="44" spans="2:9" ht="14.25" customHeight="1">
      <c r="B44" s="67"/>
      <c r="C44" s="67"/>
      <c r="D44" s="67"/>
      <c r="E44" s="67"/>
      <c r="F44" s="67"/>
      <c r="G44" s="67"/>
      <c r="H44" s="67"/>
      <c r="I44" s="67"/>
    </row>
    <row r="45" spans="2:9" ht="14.25" customHeight="1">
      <c r="B45" s="67"/>
      <c r="C45" s="67"/>
      <c r="D45" s="67"/>
      <c r="E45" s="67"/>
      <c r="F45" s="67"/>
      <c r="G45" s="67"/>
      <c r="H45" s="67"/>
      <c r="I45" s="67"/>
    </row>
    <row r="46" spans="2:9" ht="14.25" customHeight="1">
      <c r="B46" s="67"/>
      <c r="C46" s="67"/>
      <c r="D46" s="67"/>
      <c r="E46" s="67"/>
      <c r="F46" s="67"/>
      <c r="G46" s="67"/>
      <c r="H46" s="67"/>
      <c r="I46" s="67"/>
    </row>
    <row r="47" spans="2:9" ht="14.25" customHeight="1">
      <c r="B47" s="67"/>
      <c r="C47" s="67"/>
      <c r="D47" s="67"/>
      <c r="E47" s="67"/>
      <c r="F47" s="67"/>
      <c r="G47" s="67"/>
      <c r="H47" s="67"/>
      <c r="I47" s="67"/>
    </row>
    <row r="48" spans="2:9" ht="14.25" customHeight="1">
      <c r="B48" s="42" t="s">
        <v>50</v>
      </c>
      <c r="C48" s="42"/>
      <c r="D48" s="42"/>
      <c r="E48" s="42"/>
      <c r="F48" s="42"/>
      <c r="G48" s="42"/>
      <c r="H48" s="42"/>
      <c r="I48" s="42"/>
    </row>
    <row r="49" spans="2:9" ht="14.25" customHeight="1">
      <c r="B49" s="68" t="s">
        <v>51</v>
      </c>
      <c r="C49" s="68"/>
      <c r="D49" s="68"/>
      <c r="E49" s="68"/>
      <c r="F49" s="67" t="s">
        <v>52</v>
      </c>
      <c r="G49" s="67"/>
      <c r="H49" s="67"/>
      <c r="I49" s="67"/>
    </row>
    <row r="50" spans="2:9" ht="14.25" customHeight="1">
      <c r="B50" s="68"/>
      <c r="C50" s="68"/>
      <c r="D50" s="68"/>
      <c r="E50" s="68"/>
      <c r="F50" s="67"/>
      <c r="G50" s="67"/>
      <c r="H50" s="67"/>
      <c r="I50" s="67"/>
    </row>
    <row r="51" spans="2:9" ht="14.25" customHeight="1">
      <c r="B51" s="68"/>
      <c r="C51" s="68"/>
      <c r="D51" s="68"/>
      <c r="E51" s="68"/>
      <c r="F51" s="67"/>
      <c r="G51" s="67"/>
      <c r="H51" s="67"/>
      <c r="I51" s="67"/>
    </row>
    <row r="52" spans="2:9" ht="14.25" customHeight="1">
      <c r="B52" s="68"/>
      <c r="C52" s="68"/>
      <c r="D52" s="68"/>
      <c r="E52" s="68"/>
      <c r="F52" s="67"/>
      <c r="G52" s="67"/>
      <c r="H52" s="67"/>
      <c r="I52" s="67"/>
    </row>
    <row r="53" spans="2:9" ht="14.25" customHeight="1">
      <c r="B53" s="68"/>
      <c r="C53" s="68"/>
      <c r="D53" s="68"/>
      <c r="E53" s="68"/>
      <c r="F53" s="67"/>
      <c r="G53" s="67"/>
      <c r="H53" s="67"/>
      <c r="I53" s="67"/>
    </row>
    <row r="54" spans="2:9" ht="14.25" customHeight="1">
      <c r="B54" s="68"/>
      <c r="C54" s="68"/>
      <c r="D54" s="68"/>
      <c r="E54" s="68"/>
      <c r="F54" s="67"/>
      <c r="G54" s="67"/>
      <c r="H54" s="67"/>
      <c r="I54" s="67"/>
    </row>
    <row r="55" spans="2:9" ht="14.25" customHeight="1">
      <c r="B55" s="68"/>
      <c r="C55" s="68"/>
      <c r="D55" s="68"/>
      <c r="E55" s="68"/>
      <c r="F55" s="67"/>
      <c r="G55" s="67"/>
      <c r="H55" s="67"/>
      <c r="I55" s="67"/>
    </row>
    <row r="56" spans="2:9" ht="14.25" customHeight="1">
      <c r="B56" s="68"/>
      <c r="C56" s="68"/>
      <c r="D56" s="68"/>
      <c r="E56" s="68"/>
      <c r="F56" s="67"/>
      <c r="G56" s="67"/>
      <c r="H56" s="67"/>
      <c r="I56" s="67"/>
    </row>
    <row r="57" spans="2:9" ht="14.25" customHeight="1">
      <c r="B57" s="68"/>
      <c r="C57" s="68"/>
      <c r="D57" s="68"/>
      <c r="E57" s="68"/>
      <c r="F57" s="67"/>
      <c r="G57" s="67"/>
      <c r="H57" s="67"/>
      <c r="I57" s="67"/>
    </row>
    <row r="58" spans="2:9" ht="14.25" customHeight="1">
      <c r="B58" s="68"/>
      <c r="C58" s="68"/>
      <c r="D58" s="68"/>
      <c r="E58" s="68"/>
      <c r="F58" s="67"/>
      <c r="G58" s="67"/>
      <c r="H58" s="67"/>
      <c r="I58" s="67"/>
    </row>
    <row r="59" spans="2:9" ht="14.25" customHeight="1">
      <c r="B59" s="68"/>
      <c r="C59" s="68"/>
      <c r="D59" s="68"/>
      <c r="E59" s="68"/>
      <c r="F59" s="67"/>
      <c r="G59" s="67"/>
      <c r="H59" s="67"/>
      <c r="I59" s="67"/>
    </row>
    <row r="60" spans="2:9" ht="14.25" customHeight="1">
      <c r="B60" s="69" t="s">
        <v>53</v>
      </c>
      <c r="C60" s="69"/>
      <c r="D60" s="69"/>
      <c r="E60" s="69"/>
      <c r="F60" s="70"/>
      <c r="G60" s="70"/>
      <c r="H60" s="69" t="s">
        <v>54</v>
      </c>
      <c r="I60" s="10"/>
    </row>
    <row r="61" spans="2:9" ht="14.25" customHeight="1">
      <c r="B61" s="69"/>
      <c r="C61" s="69"/>
      <c r="D61" s="69"/>
      <c r="E61" s="69"/>
      <c r="F61" s="70"/>
      <c r="G61" s="70"/>
      <c r="H61" s="69"/>
      <c r="I61" s="10"/>
    </row>
    <row r="62" spans="2:9" ht="14.25" customHeight="1">
      <c r="B62" s="69"/>
      <c r="C62" s="69"/>
      <c r="D62" s="69"/>
      <c r="E62" s="69"/>
      <c r="F62" s="70"/>
      <c r="G62" s="70"/>
      <c r="H62" s="69"/>
      <c r="I62" s="10"/>
    </row>
    <row r="63" spans="2:9" ht="14.25" customHeight="1">
      <c r="B63" s="69"/>
      <c r="C63" s="69"/>
      <c r="D63" s="69"/>
      <c r="E63" s="69"/>
      <c r="F63" s="70"/>
      <c r="G63" s="70"/>
      <c r="H63" s="69"/>
      <c r="I63" s="10"/>
    </row>
    <row r="64" spans="2:9" ht="14.25" customHeight="1">
      <c r="B64" s="69"/>
      <c r="C64" s="69"/>
      <c r="D64" s="69"/>
      <c r="E64" s="69"/>
      <c r="F64" s="70"/>
      <c r="G64" s="70"/>
      <c r="H64" s="69"/>
      <c r="I64" s="10"/>
    </row>
    <row r="65" spans="2:9" ht="14.25" customHeight="1">
      <c r="B65" s="42" t="s">
        <v>55</v>
      </c>
      <c r="C65" s="42"/>
      <c r="D65" s="42"/>
      <c r="E65" s="42"/>
      <c r="F65" s="42"/>
      <c r="G65" s="42"/>
      <c r="H65" s="42"/>
      <c r="I65" s="42"/>
    </row>
    <row r="66" spans="2:9" ht="14.25" customHeight="1">
      <c r="B66" s="67" t="s">
        <v>56</v>
      </c>
      <c r="C66" s="67"/>
      <c r="D66" s="67"/>
      <c r="E66" s="67"/>
      <c r="F66" s="67" t="s">
        <v>57</v>
      </c>
      <c r="G66" s="67"/>
      <c r="H66" s="67"/>
      <c r="I66" s="67"/>
    </row>
    <row r="67" spans="2:9" ht="14.25" customHeight="1">
      <c r="B67" s="67"/>
      <c r="C67" s="67"/>
      <c r="D67" s="67"/>
      <c r="E67" s="67"/>
      <c r="F67" s="67"/>
      <c r="G67" s="67"/>
      <c r="H67" s="67"/>
      <c r="I67" s="67"/>
    </row>
    <row r="68" spans="2:9" ht="14.25" customHeight="1">
      <c r="B68" s="67"/>
      <c r="C68" s="67"/>
      <c r="D68" s="67"/>
      <c r="E68" s="67"/>
      <c r="F68" s="67"/>
      <c r="G68" s="67"/>
      <c r="H68" s="67"/>
      <c r="I68" s="67"/>
    </row>
    <row r="69" spans="2:9" ht="14.25" customHeight="1">
      <c r="B69" s="67"/>
      <c r="C69" s="67"/>
      <c r="D69" s="67"/>
      <c r="E69" s="67"/>
      <c r="F69" s="67"/>
      <c r="G69" s="67"/>
      <c r="H69" s="67"/>
      <c r="I69" s="67"/>
    </row>
    <row r="70" spans="2:9" ht="14.25" customHeight="1">
      <c r="B70" s="67"/>
      <c r="C70" s="67"/>
      <c r="D70" s="67"/>
      <c r="E70" s="67"/>
      <c r="F70" s="67"/>
      <c r="G70" s="67"/>
      <c r="H70" s="67"/>
      <c r="I70" s="67"/>
    </row>
    <row r="71" spans="2:9" ht="14.25" customHeight="1">
      <c r="B71" s="67"/>
      <c r="C71" s="67"/>
      <c r="D71" s="67"/>
      <c r="E71" s="67"/>
      <c r="F71" s="67"/>
      <c r="G71" s="67"/>
      <c r="H71" s="67"/>
      <c r="I71" s="67"/>
    </row>
    <row r="72" spans="2:9" ht="14.25" customHeight="1">
      <c r="B72" s="67"/>
      <c r="C72" s="67"/>
      <c r="D72" s="67"/>
      <c r="E72" s="67"/>
      <c r="F72" s="67"/>
      <c r="G72" s="67"/>
      <c r="H72" s="67"/>
      <c r="I72" s="67"/>
    </row>
    <row r="73" spans="2:9" ht="14.25" customHeight="1">
      <c r="B73" s="67"/>
      <c r="C73" s="67"/>
      <c r="D73" s="67"/>
      <c r="E73" s="67"/>
      <c r="F73" s="67"/>
      <c r="G73" s="67"/>
      <c r="H73" s="67"/>
      <c r="I73" s="67"/>
    </row>
    <row r="74" spans="2:9" ht="14.25" customHeight="1">
      <c r="B74" s="67"/>
      <c r="C74" s="67"/>
      <c r="D74" s="67"/>
      <c r="E74" s="67"/>
      <c r="F74" s="67"/>
      <c r="G74" s="67"/>
      <c r="H74" s="67"/>
      <c r="I74" s="67"/>
    </row>
    <row r="75" spans="2:9" ht="14.25" customHeight="1">
      <c r="B75" s="67"/>
      <c r="C75" s="67"/>
      <c r="D75" s="67"/>
      <c r="E75" s="67"/>
      <c r="F75" s="67"/>
      <c r="G75" s="67"/>
      <c r="H75" s="67"/>
      <c r="I75" s="67"/>
    </row>
    <row r="76" spans="2:9" ht="14.25" customHeight="1">
      <c r="B76" s="67"/>
      <c r="C76" s="67"/>
      <c r="D76" s="67"/>
      <c r="E76" s="67"/>
      <c r="F76" s="67"/>
      <c r="G76" s="67"/>
      <c r="H76" s="67"/>
      <c r="I76" s="67"/>
    </row>
    <row r="77" spans="2:9" ht="14.25" customHeight="1">
      <c r="B77" s="67"/>
      <c r="C77" s="67"/>
      <c r="D77" s="67"/>
      <c r="E77" s="67"/>
      <c r="F77" s="67"/>
      <c r="G77" s="67"/>
      <c r="H77" s="67"/>
      <c r="I77" s="67"/>
    </row>
    <row r="78" spans="2:9" ht="14.25" customHeight="1">
      <c r="B78" s="67"/>
      <c r="C78" s="67"/>
      <c r="D78" s="67"/>
      <c r="E78" s="67"/>
      <c r="F78" s="67"/>
      <c r="G78" s="67"/>
      <c r="H78" s="67"/>
      <c r="I78" s="67"/>
    </row>
    <row r="79" spans="2:9" ht="14.25" customHeight="1">
      <c r="B79" s="67"/>
      <c r="C79" s="67"/>
      <c r="D79" s="67"/>
      <c r="E79" s="67"/>
      <c r="F79" s="67"/>
      <c r="G79" s="67"/>
      <c r="H79" s="67"/>
      <c r="I79" s="67"/>
    </row>
    <row r="80" spans="2:9" ht="14.25" customHeight="1">
      <c r="B80" s="67"/>
      <c r="C80" s="67"/>
      <c r="D80" s="67"/>
      <c r="E80" s="67"/>
      <c r="F80" s="67"/>
      <c r="G80" s="67"/>
      <c r="H80" s="67"/>
      <c r="I80" s="67"/>
    </row>
    <row r="81" spans="2:9" ht="14.25" customHeight="1">
      <c r="B81" s="42" t="s">
        <v>58</v>
      </c>
      <c r="C81" s="42"/>
      <c r="D81" s="42"/>
      <c r="E81" s="42"/>
      <c r="F81" s="42"/>
      <c r="G81" s="42"/>
      <c r="H81" s="42"/>
      <c r="I81" s="42"/>
    </row>
    <row r="82" spans="2:9" ht="14.25" customHeight="1">
      <c r="B82" s="11" t="s">
        <v>59</v>
      </c>
      <c r="C82" s="11" t="s">
        <v>60</v>
      </c>
      <c r="D82" s="11" t="s">
        <v>61</v>
      </c>
      <c r="E82" s="11" t="s">
        <v>62</v>
      </c>
      <c r="F82" s="11" t="s">
        <v>63</v>
      </c>
      <c r="G82" s="42" t="s">
        <v>64</v>
      </c>
      <c r="H82" s="42"/>
      <c r="I82" s="42"/>
    </row>
    <row r="83" spans="2:9" ht="14.25" customHeight="1">
      <c r="B83" s="13"/>
      <c r="C83" s="13"/>
      <c r="D83" s="13"/>
      <c r="E83" s="13"/>
      <c r="F83" s="13"/>
      <c r="G83" s="38"/>
      <c r="H83" s="38"/>
      <c r="I83" s="38"/>
    </row>
    <row r="84" spans="2:9" ht="14.25" customHeight="1">
      <c r="B84" s="13"/>
      <c r="C84" s="13"/>
      <c r="D84" s="13"/>
      <c r="E84" s="13"/>
      <c r="F84" s="13"/>
      <c r="G84" s="38"/>
      <c r="H84" s="38"/>
      <c r="I84" s="38"/>
    </row>
    <row r="85" spans="2:9" ht="14.25" customHeight="1">
      <c r="B85" s="13"/>
      <c r="C85" s="13"/>
      <c r="D85" s="13"/>
      <c r="E85" s="13"/>
      <c r="F85" s="13"/>
      <c r="G85" s="38"/>
      <c r="H85" s="38"/>
      <c r="I85" s="38"/>
    </row>
    <row r="86" spans="2:9" ht="14.25" customHeight="1">
      <c r="B86" s="13"/>
      <c r="C86" s="13"/>
      <c r="D86" s="13"/>
      <c r="E86" s="13"/>
      <c r="F86" s="13"/>
      <c r="G86" s="38"/>
      <c r="H86" s="38"/>
      <c r="I86" s="38"/>
    </row>
    <row r="87" spans="2:9" ht="14.25" customHeight="1">
      <c r="B87" s="13"/>
      <c r="C87" s="13"/>
      <c r="D87" s="13"/>
      <c r="E87" s="13"/>
      <c r="F87" s="13"/>
      <c r="G87" s="38"/>
      <c r="H87" s="38"/>
      <c r="I87" s="38"/>
    </row>
    <row r="88" spans="2:9" ht="14.25" customHeight="1">
      <c r="B88" s="13"/>
      <c r="C88" s="13"/>
      <c r="D88" s="13"/>
      <c r="E88" s="13"/>
      <c r="F88" s="13"/>
      <c r="G88" s="38"/>
      <c r="H88" s="38"/>
      <c r="I88" s="38"/>
    </row>
  </sheetData>
  <mergeCells count="57">
    <mergeCell ref="B2:B3"/>
    <mergeCell ref="C2:H3"/>
    <mergeCell ref="B4:H4"/>
    <mergeCell ref="B5:I5"/>
    <mergeCell ref="B6:I6"/>
    <mergeCell ref="E8:F8"/>
    <mergeCell ref="H8:I8"/>
    <mergeCell ref="B10:I10"/>
    <mergeCell ref="B11:C12"/>
    <mergeCell ref="D11:D12"/>
    <mergeCell ref="E11:F12"/>
    <mergeCell ref="G11:G12"/>
    <mergeCell ref="H11:I12"/>
    <mergeCell ref="B13:I13"/>
    <mergeCell ref="C14:D14"/>
    <mergeCell ref="H14:I14"/>
    <mergeCell ref="B15:I15"/>
    <mergeCell ref="B16:C17"/>
    <mergeCell ref="D16:I17"/>
    <mergeCell ref="B18:C18"/>
    <mergeCell ref="D18:I18"/>
    <mergeCell ref="B19:C20"/>
    <mergeCell ref="D19:I20"/>
    <mergeCell ref="B21:C22"/>
    <mergeCell ref="D21:I22"/>
    <mergeCell ref="B23:C26"/>
    <mergeCell ref="D23:I23"/>
    <mergeCell ref="D24:I24"/>
    <mergeCell ref="D25:I25"/>
    <mergeCell ref="D26:I26"/>
    <mergeCell ref="B27:C29"/>
    <mergeCell ref="B30:I34"/>
    <mergeCell ref="B35:I35"/>
    <mergeCell ref="B36:I38"/>
    <mergeCell ref="B39:E47"/>
    <mergeCell ref="F39:I47"/>
    <mergeCell ref="B48:I48"/>
    <mergeCell ref="B49:E59"/>
    <mergeCell ref="F49:I59"/>
    <mergeCell ref="B60:E64"/>
    <mergeCell ref="F60:G60"/>
    <mergeCell ref="H60:H64"/>
    <mergeCell ref="F61:G61"/>
    <mergeCell ref="F62:G62"/>
    <mergeCell ref="F63:G63"/>
    <mergeCell ref="F64:G64"/>
    <mergeCell ref="B65:I65"/>
    <mergeCell ref="B66:E80"/>
    <mergeCell ref="F66:I80"/>
    <mergeCell ref="B81:I81"/>
    <mergeCell ref="G82:I82"/>
    <mergeCell ref="G88:I88"/>
    <mergeCell ref="G83:I83"/>
    <mergeCell ref="G84:I84"/>
    <mergeCell ref="G85:I85"/>
    <mergeCell ref="G86:I86"/>
    <mergeCell ref="G87:I87"/>
  </mergeCells>
  <pageMargins left="0.25" right="0.25"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5"/>
  <cols>
    <col min="1" max="1" width="3.140625" style="3" customWidth="1"/>
    <col min="2" max="2" width="14.28515625" style="3" customWidth="1"/>
    <col min="3" max="3" width="9.710937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11" ht="15" customHeight="1">
      <c r="C1" s="4"/>
      <c r="D1" s="4"/>
      <c r="E1" s="4"/>
      <c r="F1" s="4"/>
      <c r="G1" s="4"/>
      <c r="H1" s="4"/>
    </row>
    <row r="2" spans="2:11" ht="22.5" customHeight="1">
      <c r="B2" s="62"/>
      <c r="C2" s="63" t="s">
        <v>0</v>
      </c>
      <c r="D2" s="63"/>
      <c r="E2" s="63"/>
      <c r="F2" s="63"/>
      <c r="G2" s="63"/>
      <c r="H2" s="63"/>
      <c r="I2" s="5" t="s">
        <v>1</v>
      </c>
    </row>
    <row r="3" spans="2:11" ht="20.25" customHeight="1">
      <c r="B3" s="62"/>
      <c r="C3" s="63"/>
      <c r="D3" s="63"/>
      <c r="E3" s="63"/>
      <c r="F3" s="63"/>
      <c r="G3" s="63"/>
      <c r="H3" s="63"/>
      <c r="I3" s="6" t="s">
        <v>2</v>
      </c>
    </row>
    <row r="4" spans="2:11" ht="21" customHeight="1">
      <c r="B4" s="64" t="s">
        <v>3</v>
      </c>
      <c r="C4" s="64"/>
      <c r="D4" s="64"/>
      <c r="E4" s="64"/>
      <c r="F4" s="64"/>
      <c r="G4" s="64"/>
      <c r="H4" s="64"/>
      <c r="I4" s="7" t="s">
        <v>4</v>
      </c>
    </row>
    <row r="5" spans="2:11" ht="15" customHeight="1">
      <c r="B5" s="69"/>
      <c r="C5" s="69"/>
      <c r="D5" s="69"/>
      <c r="E5" s="69"/>
      <c r="F5" s="69"/>
      <c r="G5" s="69"/>
      <c r="H5" s="69"/>
      <c r="I5" s="69"/>
    </row>
    <row r="6" spans="2:11" ht="14.25" customHeight="1">
      <c r="B6" s="69" t="s">
        <v>5</v>
      </c>
      <c r="C6" s="69"/>
      <c r="D6" s="69"/>
      <c r="E6" s="69"/>
      <c r="F6" s="69"/>
      <c r="G6" s="69"/>
      <c r="H6" s="69"/>
      <c r="I6" s="69"/>
    </row>
    <row r="7" spans="2:11" ht="43.5" customHeight="1">
      <c r="B7" s="8" t="s">
        <v>6</v>
      </c>
      <c r="C7" s="1"/>
      <c r="D7" s="9" t="s">
        <v>7</v>
      </c>
      <c r="E7" s="1"/>
      <c r="F7" s="9" t="s">
        <v>8</v>
      </c>
      <c r="G7" s="1"/>
      <c r="H7" s="9" t="s">
        <v>9</v>
      </c>
      <c r="I7" s="1"/>
    </row>
    <row r="8" spans="2:11" ht="43.5" customHeight="1">
      <c r="B8" s="14" t="s">
        <v>10</v>
      </c>
      <c r="C8" s="15"/>
      <c r="D8" s="8" t="s">
        <v>65</v>
      </c>
      <c r="E8" s="58"/>
      <c r="F8" s="58"/>
      <c r="G8" s="9" t="s">
        <v>12</v>
      </c>
      <c r="H8" s="58"/>
      <c r="I8" s="58"/>
      <c r="K8" s="3" t="s">
        <v>66</v>
      </c>
    </row>
    <row r="9" spans="2:11" ht="28.5" customHeight="1">
      <c r="B9" s="9" t="s">
        <v>13</v>
      </c>
      <c r="C9" s="10">
        <v>3</v>
      </c>
      <c r="D9" s="9" t="s">
        <v>14</v>
      </c>
      <c r="E9" s="10">
        <v>54</v>
      </c>
      <c r="F9" s="9" t="s">
        <v>15</v>
      </c>
      <c r="G9" s="10">
        <v>90</v>
      </c>
      <c r="H9" s="9" t="s">
        <v>16</v>
      </c>
      <c r="I9" s="10">
        <f>E9+G9</f>
        <v>144</v>
      </c>
      <c r="K9" s="3" t="s">
        <v>67</v>
      </c>
    </row>
    <row r="10" spans="2:11" ht="14.25" customHeight="1">
      <c r="B10" s="73" t="s">
        <v>17</v>
      </c>
      <c r="C10" s="73"/>
      <c r="D10" s="73"/>
      <c r="E10" s="73"/>
      <c r="F10" s="73"/>
      <c r="G10" s="73"/>
      <c r="H10" s="73"/>
      <c r="I10" s="73"/>
    </row>
    <row r="11" spans="2:11" ht="14.25" customHeight="1">
      <c r="B11" s="73" t="s">
        <v>18</v>
      </c>
      <c r="C11" s="73"/>
      <c r="D11" s="69" t="s">
        <v>19</v>
      </c>
      <c r="E11" s="70"/>
      <c r="F11" s="70"/>
      <c r="G11" s="69" t="s">
        <v>20</v>
      </c>
      <c r="H11" s="70"/>
      <c r="I11" s="70"/>
    </row>
    <row r="12" spans="2:11" ht="14.25" customHeight="1">
      <c r="B12" s="73"/>
      <c r="C12" s="73"/>
      <c r="D12" s="69"/>
      <c r="E12" s="70"/>
      <c r="F12" s="70"/>
      <c r="G12" s="69"/>
      <c r="H12" s="70"/>
      <c r="I12" s="70"/>
    </row>
    <row r="13" spans="2:11" ht="14.25" customHeight="1">
      <c r="B13" s="42" t="s">
        <v>21</v>
      </c>
      <c r="C13" s="42"/>
      <c r="D13" s="42"/>
      <c r="E13" s="42"/>
      <c r="F13" s="42"/>
      <c r="G13" s="42"/>
      <c r="H13" s="42"/>
      <c r="I13" s="42"/>
    </row>
    <row r="14" spans="2:11" ht="14.25" customHeight="1">
      <c r="B14" s="8" t="s">
        <v>22</v>
      </c>
      <c r="C14" s="58"/>
      <c r="D14" s="58"/>
      <c r="E14" s="8" t="s">
        <v>23</v>
      </c>
      <c r="F14" s="1"/>
      <c r="G14" s="8" t="s">
        <v>24</v>
      </c>
      <c r="H14" s="58"/>
      <c r="I14" s="58"/>
    </row>
    <row r="15" spans="2:11" ht="14.25" customHeight="1">
      <c r="B15" s="42" t="s">
        <v>25</v>
      </c>
      <c r="C15" s="42"/>
      <c r="D15" s="42"/>
      <c r="E15" s="42"/>
      <c r="F15" s="42"/>
      <c r="G15" s="42"/>
      <c r="H15" s="42"/>
      <c r="I15" s="42"/>
    </row>
    <row r="16" spans="2:11" ht="14.25" customHeight="1">
      <c r="B16" s="73" t="s">
        <v>26</v>
      </c>
      <c r="C16" s="73"/>
      <c r="D16" s="70" t="s">
        <v>68</v>
      </c>
      <c r="E16" s="70"/>
      <c r="F16" s="70"/>
      <c r="G16" s="70"/>
      <c r="H16" s="70"/>
      <c r="I16" s="70"/>
    </row>
    <row r="17" spans="2:12" ht="14.25" customHeight="1">
      <c r="B17" s="73"/>
      <c r="C17" s="73"/>
      <c r="D17" s="70"/>
      <c r="E17" s="70"/>
      <c r="F17" s="70"/>
      <c r="G17" s="70"/>
      <c r="H17" s="70"/>
      <c r="I17" s="70"/>
    </row>
    <row r="18" spans="2:12" ht="14.25" customHeight="1">
      <c r="B18" s="78" t="s">
        <v>27</v>
      </c>
      <c r="C18" s="78"/>
      <c r="D18" s="77"/>
      <c r="E18" s="77"/>
      <c r="F18" s="77"/>
      <c r="G18" s="77"/>
      <c r="H18" s="77"/>
      <c r="I18" s="77"/>
    </row>
    <row r="19" spans="2:12" ht="14.25" customHeight="1">
      <c r="B19" s="78" t="s">
        <v>28</v>
      </c>
      <c r="C19" s="78"/>
      <c r="D19" s="77"/>
      <c r="E19" s="77"/>
      <c r="F19" s="77"/>
      <c r="G19" s="77"/>
      <c r="H19" s="77"/>
      <c r="I19" s="77"/>
    </row>
    <row r="20" spans="2:12" ht="14.25" customHeight="1">
      <c r="B20" s="78"/>
      <c r="C20" s="78"/>
      <c r="D20" s="77"/>
      <c r="E20" s="77"/>
      <c r="F20" s="77"/>
      <c r="G20" s="77"/>
      <c r="H20" s="77"/>
      <c r="I20" s="77"/>
    </row>
    <row r="21" spans="2:12" ht="14.25" customHeight="1">
      <c r="B21" s="78" t="s">
        <v>29</v>
      </c>
      <c r="C21" s="78"/>
      <c r="D21" s="77" t="s">
        <v>69</v>
      </c>
      <c r="E21" s="77"/>
      <c r="F21" s="77"/>
      <c r="G21" s="77"/>
      <c r="H21" s="77"/>
      <c r="I21" s="77"/>
    </row>
    <row r="22" spans="2:12" ht="14.25" customHeight="1">
      <c r="B22" s="78"/>
      <c r="C22" s="78"/>
      <c r="D22" s="77"/>
      <c r="E22" s="77"/>
      <c r="F22" s="77"/>
      <c r="G22" s="77"/>
      <c r="H22" s="77"/>
      <c r="I22" s="77"/>
    </row>
    <row r="23" spans="2:12" ht="14.25" customHeight="1">
      <c r="B23" s="76" t="s">
        <v>30</v>
      </c>
      <c r="C23" s="76"/>
      <c r="D23" s="77" t="s">
        <v>31</v>
      </c>
      <c r="E23" s="77"/>
      <c r="F23" s="77"/>
      <c r="G23" s="77"/>
      <c r="H23" s="77"/>
      <c r="I23" s="77"/>
    </row>
    <row r="24" spans="2:12" ht="14.25" customHeight="1">
      <c r="B24" s="76"/>
      <c r="C24" s="76"/>
      <c r="D24" s="77" t="s">
        <v>32</v>
      </c>
      <c r="E24" s="77"/>
      <c r="F24" s="77"/>
      <c r="G24" s="77"/>
      <c r="H24" s="77"/>
      <c r="I24" s="77"/>
    </row>
    <row r="25" spans="2:12" ht="14.25" customHeight="1">
      <c r="B25" s="76"/>
      <c r="C25" s="76"/>
      <c r="D25" s="77" t="s">
        <v>33</v>
      </c>
      <c r="E25" s="77"/>
      <c r="F25" s="77"/>
      <c r="G25" s="77"/>
      <c r="H25" s="77"/>
      <c r="I25" s="77"/>
    </row>
    <row r="26" spans="2:12" ht="14.25" customHeight="1">
      <c r="B26" s="76"/>
      <c r="C26" s="76"/>
      <c r="D26" s="77" t="s">
        <v>34</v>
      </c>
      <c r="E26" s="77"/>
      <c r="F26" s="77"/>
      <c r="G26" s="77"/>
      <c r="H26" s="77"/>
      <c r="I26" s="77"/>
    </row>
    <row r="27" spans="2:12" ht="99" customHeight="1">
      <c r="B27" s="71" t="s">
        <v>70</v>
      </c>
      <c r="C27" s="71"/>
      <c r="D27" s="69" t="s">
        <v>71</v>
      </c>
      <c r="E27" s="69"/>
      <c r="F27" s="69"/>
      <c r="G27" s="59" t="s">
        <v>72</v>
      </c>
      <c r="H27" s="59"/>
      <c r="I27" s="59"/>
      <c r="L27" s="3" t="s">
        <v>73</v>
      </c>
    </row>
    <row r="28" spans="2:12" ht="90" customHeight="1">
      <c r="B28" s="71"/>
      <c r="C28" s="71"/>
      <c r="D28" s="75" t="s">
        <v>74</v>
      </c>
      <c r="E28" s="75"/>
      <c r="F28" s="75"/>
      <c r="G28" s="59" t="s">
        <v>75</v>
      </c>
      <c r="H28" s="59"/>
      <c r="I28" s="59"/>
      <c r="L28" s="3" t="s">
        <v>76</v>
      </c>
    </row>
    <row r="29" spans="2:12" ht="75" customHeight="1">
      <c r="B29" s="71"/>
      <c r="C29" s="71"/>
      <c r="D29" s="69" t="s">
        <v>77</v>
      </c>
      <c r="E29" s="69"/>
      <c r="F29" s="69"/>
      <c r="G29" s="59" t="s">
        <v>78</v>
      </c>
      <c r="H29" s="59"/>
      <c r="I29" s="59"/>
      <c r="L29" s="3" t="s">
        <v>79</v>
      </c>
    </row>
    <row r="30" spans="2:12" ht="14.25" customHeight="1">
      <c r="B30" s="42" t="s">
        <v>46</v>
      </c>
      <c r="C30" s="42"/>
      <c r="D30" s="42"/>
      <c r="E30" s="42"/>
      <c r="F30" s="42"/>
      <c r="G30" s="42"/>
      <c r="H30" s="42"/>
      <c r="I30" s="42"/>
    </row>
    <row r="31" spans="2:12" ht="14.25" customHeight="1">
      <c r="B31" s="38" t="s">
        <v>47</v>
      </c>
      <c r="C31" s="38"/>
      <c r="D31" s="38"/>
      <c r="E31" s="38"/>
      <c r="F31" s="38"/>
      <c r="G31" s="38"/>
      <c r="H31" s="38"/>
      <c r="I31" s="38"/>
    </row>
    <row r="32" spans="2:12" ht="14.25" customHeight="1">
      <c r="B32" s="38"/>
      <c r="C32" s="38"/>
      <c r="D32" s="38"/>
      <c r="E32" s="38"/>
      <c r="F32" s="38"/>
      <c r="G32" s="38"/>
      <c r="H32" s="38"/>
      <c r="I32" s="38"/>
    </row>
    <row r="33" spans="2:9" ht="14.25" customHeight="1">
      <c r="B33" s="38"/>
      <c r="C33" s="38"/>
      <c r="D33" s="38"/>
      <c r="E33" s="38"/>
      <c r="F33" s="38"/>
      <c r="G33" s="38"/>
      <c r="H33" s="38"/>
      <c r="I33" s="38"/>
    </row>
    <row r="34" spans="2:9" ht="14.25" customHeight="1">
      <c r="B34" s="67" t="s">
        <v>80</v>
      </c>
      <c r="C34" s="67"/>
      <c r="D34" s="67"/>
      <c r="E34" s="67"/>
      <c r="F34" s="74" t="s">
        <v>49</v>
      </c>
      <c r="G34" s="74"/>
      <c r="H34" s="74"/>
      <c r="I34" s="74"/>
    </row>
    <row r="35" spans="2:9" ht="14.25" customHeight="1">
      <c r="B35" s="67"/>
      <c r="C35" s="67"/>
      <c r="D35" s="67"/>
      <c r="E35" s="67"/>
      <c r="F35" s="74"/>
      <c r="G35" s="74"/>
      <c r="H35" s="74"/>
      <c r="I35" s="74"/>
    </row>
    <row r="36" spans="2:9" ht="14.25" customHeight="1">
      <c r="B36" s="67"/>
      <c r="C36" s="67"/>
      <c r="D36" s="67"/>
      <c r="E36" s="67"/>
      <c r="F36" s="74"/>
      <c r="G36" s="74"/>
      <c r="H36" s="74"/>
      <c r="I36" s="74"/>
    </row>
    <row r="37" spans="2:9" ht="14.25" customHeight="1">
      <c r="B37" s="67"/>
      <c r="C37" s="67"/>
      <c r="D37" s="67"/>
      <c r="E37" s="67"/>
      <c r="F37" s="74"/>
      <c r="G37" s="74"/>
      <c r="H37" s="74"/>
      <c r="I37" s="74"/>
    </row>
    <row r="38" spans="2:9" ht="14.25" customHeight="1">
      <c r="B38" s="67"/>
      <c r="C38" s="67"/>
      <c r="D38" s="67"/>
      <c r="E38" s="67"/>
      <c r="F38" s="74"/>
      <c r="G38" s="74"/>
      <c r="H38" s="74"/>
      <c r="I38" s="74"/>
    </row>
    <row r="39" spans="2:9" ht="14.25" customHeight="1">
      <c r="B39" s="67"/>
      <c r="C39" s="67"/>
      <c r="D39" s="67"/>
      <c r="E39" s="67"/>
      <c r="F39" s="74"/>
      <c r="G39" s="74"/>
      <c r="H39" s="74"/>
      <c r="I39" s="74"/>
    </row>
    <row r="40" spans="2:9" ht="14.25" customHeight="1">
      <c r="B40" s="67"/>
      <c r="C40" s="67"/>
      <c r="D40" s="67"/>
      <c r="E40" s="67"/>
      <c r="F40" s="74"/>
      <c r="G40" s="74"/>
      <c r="H40" s="74"/>
      <c r="I40" s="74"/>
    </row>
    <row r="41" spans="2:9" ht="14.25" customHeight="1">
      <c r="B41" s="67"/>
      <c r="C41" s="67"/>
      <c r="D41" s="67"/>
      <c r="E41" s="67"/>
      <c r="F41" s="74"/>
      <c r="G41" s="74"/>
      <c r="H41" s="74"/>
      <c r="I41" s="74"/>
    </row>
    <row r="42" spans="2:9" ht="14.25" customHeight="1">
      <c r="B42" s="67"/>
      <c r="C42" s="67"/>
      <c r="D42" s="67"/>
      <c r="E42" s="67"/>
      <c r="F42" s="74"/>
      <c r="G42" s="74"/>
      <c r="H42" s="74"/>
      <c r="I42" s="74"/>
    </row>
    <row r="43" spans="2:9" ht="14.25" customHeight="1">
      <c r="B43" s="42" t="s">
        <v>50</v>
      </c>
      <c r="C43" s="42"/>
      <c r="D43" s="42"/>
      <c r="E43" s="42"/>
      <c r="F43" s="42"/>
      <c r="G43" s="42"/>
      <c r="H43" s="42"/>
      <c r="I43" s="42"/>
    </row>
    <row r="44" spans="2:9" ht="14.25" customHeight="1">
      <c r="B44" s="68" t="s">
        <v>81</v>
      </c>
      <c r="C44" s="68"/>
      <c r="D44" s="68"/>
      <c r="E44" s="68"/>
      <c r="F44" s="67" t="s">
        <v>82</v>
      </c>
      <c r="G44" s="67"/>
      <c r="H44" s="67"/>
      <c r="I44" s="67"/>
    </row>
    <row r="45" spans="2:9" ht="14.25" customHeight="1">
      <c r="B45" s="68"/>
      <c r="C45" s="68"/>
      <c r="D45" s="68"/>
      <c r="E45" s="68"/>
      <c r="F45" s="67"/>
      <c r="G45" s="67"/>
      <c r="H45" s="67"/>
      <c r="I45" s="67"/>
    </row>
    <row r="46" spans="2:9" ht="14.25" customHeight="1">
      <c r="B46" s="68"/>
      <c r="C46" s="68"/>
      <c r="D46" s="68"/>
      <c r="E46" s="68"/>
      <c r="F46" s="67"/>
      <c r="G46" s="67"/>
      <c r="H46" s="67"/>
      <c r="I46" s="67"/>
    </row>
    <row r="47" spans="2:9" ht="14.25" customHeight="1">
      <c r="B47" s="68"/>
      <c r="C47" s="68"/>
      <c r="D47" s="68"/>
      <c r="E47" s="68"/>
      <c r="F47" s="67"/>
      <c r="G47" s="67"/>
      <c r="H47" s="67"/>
      <c r="I47" s="67"/>
    </row>
    <row r="48" spans="2:9" ht="14.25" customHeight="1">
      <c r="B48" s="68"/>
      <c r="C48" s="68"/>
      <c r="D48" s="68"/>
      <c r="E48" s="68"/>
      <c r="F48" s="67"/>
      <c r="G48" s="67"/>
      <c r="H48" s="67"/>
      <c r="I48" s="67"/>
    </row>
    <row r="49" spans="2:9" ht="14.25" customHeight="1">
      <c r="B49" s="68"/>
      <c r="C49" s="68"/>
      <c r="D49" s="68"/>
      <c r="E49" s="68"/>
      <c r="F49" s="67"/>
      <c r="G49" s="67"/>
      <c r="H49" s="67"/>
      <c r="I49" s="67"/>
    </row>
    <row r="50" spans="2:9" ht="14.25" customHeight="1">
      <c r="B50" s="68"/>
      <c r="C50" s="68"/>
      <c r="D50" s="68"/>
      <c r="E50" s="68"/>
      <c r="F50" s="67"/>
      <c r="G50" s="67"/>
      <c r="H50" s="67"/>
      <c r="I50" s="67"/>
    </row>
    <row r="51" spans="2:9" ht="14.25" customHeight="1">
      <c r="B51" s="68"/>
      <c r="C51" s="68"/>
      <c r="D51" s="68"/>
      <c r="E51" s="68"/>
      <c r="F51" s="67"/>
      <c r="G51" s="67"/>
      <c r="H51" s="67"/>
      <c r="I51" s="67"/>
    </row>
    <row r="52" spans="2:9" ht="14.25" customHeight="1">
      <c r="B52" s="68"/>
      <c r="C52" s="68"/>
      <c r="D52" s="68"/>
      <c r="E52" s="68"/>
      <c r="F52" s="67"/>
      <c r="G52" s="67"/>
      <c r="H52" s="67"/>
      <c r="I52" s="67"/>
    </row>
    <row r="53" spans="2:9" ht="14.25" customHeight="1">
      <c r="B53" s="68"/>
      <c r="C53" s="68"/>
      <c r="D53" s="68"/>
      <c r="E53" s="68"/>
      <c r="F53" s="67"/>
      <c r="G53" s="67"/>
      <c r="H53" s="67"/>
      <c r="I53" s="67"/>
    </row>
    <row r="54" spans="2:9" ht="14.25" customHeight="1">
      <c r="B54" s="68"/>
      <c r="C54" s="68"/>
      <c r="D54" s="68"/>
      <c r="E54" s="68"/>
      <c r="F54" s="67"/>
      <c r="G54" s="67"/>
      <c r="H54" s="67"/>
      <c r="I54" s="67"/>
    </row>
    <row r="55" spans="2:9" ht="14.25" customHeight="1">
      <c r="B55" s="69" t="s">
        <v>83</v>
      </c>
      <c r="C55" s="69"/>
      <c r="D55" s="69"/>
      <c r="E55" s="69"/>
      <c r="F55" s="70" t="s">
        <v>84</v>
      </c>
      <c r="G55" s="70"/>
      <c r="H55" s="69" t="s">
        <v>54</v>
      </c>
      <c r="I55" s="10"/>
    </row>
    <row r="56" spans="2:9" ht="14.25" customHeight="1">
      <c r="B56" s="69"/>
      <c r="C56" s="69"/>
      <c r="D56" s="69"/>
      <c r="E56" s="69"/>
      <c r="F56" s="70"/>
      <c r="G56" s="70"/>
      <c r="H56" s="69"/>
      <c r="I56" s="10"/>
    </row>
    <row r="57" spans="2:9" ht="14.25" customHeight="1">
      <c r="B57" s="69"/>
      <c r="C57" s="69"/>
      <c r="D57" s="69"/>
      <c r="E57" s="69"/>
      <c r="F57" s="70"/>
      <c r="G57" s="70"/>
      <c r="H57" s="69"/>
      <c r="I57" s="10"/>
    </row>
    <row r="58" spans="2:9" ht="14.25" customHeight="1">
      <c r="B58" s="69"/>
      <c r="C58" s="69"/>
      <c r="D58" s="69"/>
      <c r="E58" s="69"/>
      <c r="F58" s="70"/>
      <c r="G58" s="70"/>
      <c r="H58" s="69"/>
      <c r="I58" s="10"/>
    </row>
    <row r="59" spans="2:9" ht="14.25" customHeight="1">
      <c r="B59" s="69"/>
      <c r="C59" s="69"/>
      <c r="D59" s="69"/>
      <c r="E59" s="69"/>
      <c r="F59" s="70"/>
      <c r="G59" s="70"/>
      <c r="H59" s="69"/>
      <c r="I59" s="10"/>
    </row>
    <row r="60" spans="2:9" ht="14.25" customHeight="1">
      <c r="B60" s="42" t="s">
        <v>55</v>
      </c>
      <c r="C60" s="42"/>
      <c r="D60" s="42"/>
      <c r="E60" s="42"/>
      <c r="F60" s="42"/>
      <c r="G60" s="42"/>
      <c r="H60" s="42"/>
      <c r="I60" s="42"/>
    </row>
    <row r="61" spans="2:9" ht="14.25" customHeight="1">
      <c r="B61" s="67" t="s">
        <v>56</v>
      </c>
      <c r="C61" s="67"/>
      <c r="D61" s="67"/>
      <c r="E61" s="67"/>
      <c r="F61" s="67" t="s">
        <v>57</v>
      </c>
      <c r="G61" s="67"/>
      <c r="H61" s="67"/>
      <c r="I61" s="67"/>
    </row>
    <row r="62" spans="2:9" ht="14.25" customHeight="1">
      <c r="B62" s="67"/>
      <c r="C62" s="67"/>
      <c r="D62" s="67"/>
      <c r="E62" s="67"/>
      <c r="F62" s="67"/>
      <c r="G62" s="67"/>
      <c r="H62" s="67"/>
      <c r="I62" s="67"/>
    </row>
    <row r="63" spans="2:9" ht="14.25" customHeight="1">
      <c r="B63" s="67"/>
      <c r="C63" s="67"/>
      <c r="D63" s="67"/>
      <c r="E63" s="67"/>
      <c r="F63" s="67"/>
      <c r="G63" s="67"/>
      <c r="H63" s="67"/>
      <c r="I63" s="67"/>
    </row>
    <row r="64" spans="2:9" ht="14.25" customHeight="1">
      <c r="B64" s="67"/>
      <c r="C64" s="67"/>
      <c r="D64" s="67"/>
      <c r="E64" s="67"/>
      <c r="F64" s="67"/>
      <c r="G64" s="67"/>
      <c r="H64" s="67"/>
      <c r="I64" s="67"/>
    </row>
    <row r="65" spans="2:9" ht="14.25" customHeight="1">
      <c r="B65" s="67"/>
      <c r="C65" s="67"/>
      <c r="D65" s="67"/>
      <c r="E65" s="67"/>
      <c r="F65" s="67"/>
      <c r="G65" s="67"/>
      <c r="H65" s="67"/>
      <c r="I65" s="67"/>
    </row>
    <row r="66" spans="2:9" ht="14.25" customHeight="1">
      <c r="B66" s="67"/>
      <c r="C66" s="67"/>
      <c r="D66" s="67"/>
      <c r="E66" s="67"/>
      <c r="F66" s="67"/>
      <c r="G66" s="67"/>
      <c r="H66" s="67"/>
      <c r="I66" s="67"/>
    </row>
    <row r="67" spans="2:9" ht="14.25" customHeight="1">
      <c r="B67" s="67"/>
      <c r="C67" s="67"/>
      <c r="D67" s="67"/>
      <c r="E67" s="67"/>
      <c r="F67" s="67"/>
      <c r="G67" s="67"/>
      <c r="H67" s="67"/>
      <c r="I67" s="67"/>
    </row>
    <row r="68" spans="2:9" ht="14.25" customHeight="1">
      <c r="B68" s="67"/>
      <c r="C68" s="67"/>
      <c r="D68" s="67"/>
      <c r="E68" s="67"/>
      <c r="F68" s="67"/>
      <c r="G68" s="67"/>
      <c r="H68" s="67"/>
      <c r="I68" s="67"/>
    </row>
    <row r="69" spans="2:9" ht="14.25" customHeight="1">
      <c r="B69" s="67"/>
      <c r="C69" s="67"/>
      <c r="D69" s="67"/>
      <c r="E69" s="67"/>
      <c r="F69" s="67"/>
      <c r="G69" s="67"/>
      <c r="H69" s="67"/>
      <c r="I69" s="67"/>
    </row>
    <row r="70" spans="2:9" ht="14.25" customHeight="1">
      <c r="B70" s="67"/>
      <c r="C70" s="67"/>
      <c r="D70" s="67"/>
      <c r="E70" s="67"/>
      <c r="F70" s="67"/>
      <c r="G70" s="67"/>
      <c r="H70" s="67"/>
      <c r="I70" s="67"/>
    </row>
    <row r="71" spans="2:9" ht="14.25" customHeight="1">
      <c r="B71" s="67"/>
      <c r="C71" s="67"/>
      <c r="D71" s="67"/>
      <c r="E71" s="67"/>
      <c r="F71" s="67"/>
      <c r="G71" s="67"/>
      <c r="H71" s="67"/>
      <c r="I71" s="67"/>
    </row>
    <row r="72" spans="2:9" ht="14.25" customHeight="1">
      <c r="B72" s="67"/>
      <c r="C72" s="67"/>
      <c r="D72" s="67"/>
      <c r="E72" s="67"/>
      <c r="F72" s="67"/>
      <c r="G72" s="67"/>
      <c r="H72" s="67"/>
      <c r="I72" s="67"/>
    </row>
    <row r="73" spans="2:9" ht="14.25" customHeight="1">
      <c r="B73" s="67"/>
      <c r="C73" s="67"/>
      <c r="D73" s="67"/>
      <c r="E73" s="67"/>
      <c r="F73" s="67"/>
      <c r="G73" s="67"/>
      <c r="H73" s="67"/>
      <c r="I73" s="67"/>
    </row>
    <row r="74" spans="2:9" ht="14.25" customHeight="1">
      <c r="B74" s="67"/>
      <c r="C74" s="67"/>
      <c r="D74" s="67"/>
      <c r="E74" s="67"/>
      <c r="F74" s="67"/>
      <c r="G74" s="67"/>
      <c r="H74" s="67"/>
      <c r="I74" s="67"/>
    </row>
    <row r="75" spans="2:9" ht="14.25" customHeight="1">
      <c r="B75" s="67"/>
      <c r="C75" s="67"/>
      <c r="D75" s="67"/>
      <c r="E75" s="67"/>
      <c r="F75" s="67"/>
      <c r="G75" s="67"/>
      <c r="H75" s="67"/>
      <c r="I75" s="67"/>
    </row>
    <row r="76" spans="2:9" ht="14.25" customHeight="1">
      <c r="B76" s="42" t="s">
        <v>58</v>
      </c>
      <c r="C76" s="42"/>
      <c r="D76" s="42"/>
      <c r="E76" s="42"/>
      <c r="F76" s="42"/>
      <c r="G76" s="42"/>
      <c r="H76" s="42"/>
      <c r="I76" s="42"/>
    </row>
    <row r="77" spans="2:9" ht="14.25" customHeight="1">
      <c r="B77" s="11" t="s">
        <v>59</v>
      </c>
      <c r="C77" s="11" t="s">
        <v>60</v>
      </c>
      <c r="D77" s="11" t="s">
        <v>61</v>
      </c>
      <c r="E77" s="11" t="s">
        <v>62</v>
      </c>
      <c r="F77" s="11" t="s">
        <v>63</v>
      </c>
      <c r="G77" s="42" t="s">
        <v>64</v>
      </c>
      <c r="H77" s="42"/>
      <c r="I77" s="42"/>
    </row>
    <row r="78" spans="2:9" ht="14.25" customHeight="1">
      <c r="B78" s="13"/>
      <c r="C78" s="13"/>
      <c r="D78" s="13"/>
      <c r="E78" s="13"/>
      <c r="F78" s="13"/>
      <c r="G78" s="38"/>
      <c r="H78" s="38"/>
      <c r="I78" s="38"/>
    </row>
    <row r="79" spans="2:9" ht="14.25" customHeight="1">
      <c r="B79" s="13"/>
      <c r="C79" s="13"/>
      <c r="D79" s="13"/>
      <c r="E79" s="13"/>
      <c r="F79" s="13"/>
      <c r="G79" s="38"/>
      <c r="H79" s="38"/>
      <c r="I79" s="38"/>
    </row>
    <row r="80" spans="2:9" ht="14.25" customHeight="1">
      <c r="B80" s="13"/>
      <c r="C80" s="13"/>
      <c r="D80" s="13"/>
      <c r="E80" s="13"/>
      <c r="F80" s="13"/>
      <c r="G80" s="38"/>
      <c r="H80" s="38"/>
      <c r="I80" s="38"/>
    </row>
    <row r="81" spans="2:9" ht="14.25" customHeight="1">
      <c r="B81" s="13"/>
      <c r="C81" s="13"/>
      <c r="D81" s="13"/>
      <c r="E81" s="13"/>
      <c r="F81" s="13"/>
      <c r="G81" s="38"/>
      <c r="H81" s="38"/>
      <c r="I81" s="38"/>
    </row>
    <row r="82" spans="2:9" ht="14.25" customHeight="1">
      <c r="B82" s="13"/>
      <c r="C82" s="13"/>
      <c r="D82" s="13"/>
      <c r="E82" s="13"/>
      <c r="F82" s="13"/>
      <c r="G82" s="38"/>
      <c r="H82" s="38"/>
      <c r="I82" s="38"/>
    </row>
    <row r="83" spans="2:9" ht="14.25" customHeight="1">
      <c r="B83" s="13"/>
      <c r="C83" s="13"/>
      <c r="D83" s="13"/>
      <c r="E83" s="13"/>
      <c r="F83" s="13"/>
      <c r="G83" s="38"/>
      <c r="H83" s="38"/>
      <c r="I83" s="38"/>
    </row>
  </sheetData>
  <mergeCells count="62">
    <mergeCell ref="B2:B3"/>
    <mergeCell ref="C2:H3"/>
    <mergeCell ref="B4:H4"/>
    <mergeCell ref="B5:I5"/>
    <mergeCell ref="B6:I6"/>
    <mergeCell ref="E8:F8"/>
    <mergeCell ref="H8:I8"/>
    <mergeCell ref="B10:I10"/>
    <mergeCell ref="B11:C12"/>
    <mergeCell ref="D11:D12"/>
    <mergeCell ref="E11:F12"/>
    <mergeCell ref="G11:G12"/>
    <mergeCell ref="H11:I12"/>
    <mergeCell ref="B13:I13"/>
    <mergeCell ref="C14:D14"/>
    <mergeCell ref="H14:I14"/>
    <mergeCell ref="B15:I15"/>
    <mergeCell ref="B16:C17"/>
    <mergeCell ref="D16:I17"/>
    <mergeCell ref="B18:C18"/>
    <mergeCell ref="D18:I18"/>
    <mergeCell ref="B19:C20"/>
    <mergeCell ref="D19:I20"/>
    <mergeCell ref="B21:C22"/>
    <mergeCell ref="D21:I22"/>
    <mergeCell ref="B23:C26"/>
    <mergeCell ref="D23:I23"/>
    <mergeCell ref="D24:I24"/>
    <mergeCell ref="D25:I25"/>
    <mergeCell ref="D26:I26"/>
    <mergeCell ref="B27:C29"/>
    <mergeCell ref="D27:F27"/>
    <mergeCell ref="G27:I27"/>
    <mergeCell ref="D28:F28"/>
    <mergeCell ref="G28:I28"/>
    <mergeCell ref="D29:F29"/>
    <mergeCell ref="G29:I29"/>
    <mergeCell ref="B30:I30"/>
    <mergeCell ref="B31:I33"/>
    <mergeCell ref="B34:E42"/>
    <mergeCell ref="F34:I42"/>
    <mergeCell ref="B43:I43"/>
    <mergeCell ref="B44:E54"/>
    <mergeCell ref="F44:I54"/>
    <mergeCell ref="B55:E59"/>
    <mergeCell ref="F55:G55"/>
    <mergeCell ref="H55:H59"/>
    <mergeCell ref="F56:G56"/>
    <mergeCell ref="F57:G57"/>
    <mergeCell ref="F58:G58"/>
    <mergeCell ref="F59:G59"/>
    <mergeCell ref="B60:I60"/>
    <mergeCell ref="B61:E75"/>
    <mergeCell ref="F61:I75"/>
    <mergeCell ref="B76:I76"/>
    <mergeCell ref="G77:I77"/>
    <mergeCell ref="G83:I83"/>
    <mergeCell ref="G78:I78"/>
    <mergeCell ref="G79:I79"/>
    <mergeCell ref="G80:I80"/>
    <mergeCell ref="G81:I81"/>
    <mergeCell ref="G82:I82"/>
  </mergeCells>
  <pageMargins left="0.25" right="0.25"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zoomScaleNormal="100" workbookViewId="0">
      <selection activeCell="C1" sqref="C1"/>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c r="D7" s="9" t="s">
        <v>7</v>
      </c>
      <c r="E7" s="1"/>
      <c r="F7" s="9" t="s">
        <v>8</v>
      </c>
      <c r="G7" s="1"/>
      <c r="H7" s="9" t="s">
        <v>9</v>
      </c>
      <c r="I7" s="18"/>
    </row>
    <row r="8" spans="2:9" ht="28.5" customHeight="1">
      <c r="B8" s="17" t="s">
        <v>87</v>
      </c>
      <c r="C8" s="8" t="s">
        <v>19</v>
      </c>
      <c r="D8" s="9"/>
      <c r="E8" s="8" t="s">
        <v>20</v>
      </c>
      <c r="F8" s="9"/>
      <c r="G8" s="9" t="s">
        <v>88</v>
      </c>
      <c r="H8" s="57"/>
      <c r="I8" s="57"/>
    </row>
    <row r="9" spans="2:9" ht="43.5" customHeight="1">
      <c r="B9" s="19" t="s">
        <v>89</v>
      </c>
      <c r="C9" s="20"/>
      <c r="D9" s="8" t="s">
        <v>65</v>
      </c>
      <c r="E9" s="58"/>
      <c r="F9" s="58"/>
      <c r="G9" s="9" t="s">
        <v>12</v>
      </c>
      <c r="H9" s="58"/>
      <c r="I9" s="58"/>
    </row>
    <row r="10" spans="2:9" ht="29.25" customHeight="1">
      <c r="B10" s="21" t="s">
        <v>13</v>
      </c>
      <c r="C10" s="22"/>
      <c r="D10" s="23" t="s">
        <v>14</v>
      </c>
      <c r="E10" s="22"/>
      <c r="F10" s="23" t="s">
        <v>15</v>
      </c>
      <c r="G10" s="22"/>
      <c r="H10" s="23" t="s">
        <v>16</v>
      </c>
      <c r="I10" s="24">
        <f>E10+G10</f>
        <v>0</v>
      </c>
    </row>
    <row r="11" spans="2:9" ht="14.25" customHeight="1">
      <c r="B11" s="39" t="s">
        <v>90</v>
      </c>
      <c r="C11" s="39"/>
      <c r="D11" s="39"/>
      <c r="E11" s="39"/>
      <c r="F11" s="39"/>
      <c r="G11" s="39"/>
      <c r="H11" s="39"/>
      <c r="I11" s="39"/>
    </row>
    <row r="12" spans="2:9" ht="31.5" customHeight="1">
      <c r="B12" s="60" t="s">
        <v>91</v>
      </c>
      <c r="C12" s="60"/>
      <c r="D12" s="61"/>
      <c r="E12" s="61"/>
      <c r="F12" s="61"/>
      <c r="G12" s="61"/>
      <c r="H12" s="61"/>
      <c r="I12" s="61"/>
    </row>
    <row r="13" spans="2:9" ht="15" customHeight="1">
      <c r="B13" s="53" t="s">
        <v>92</v>
      </c>
      <c r="C13" s="53"/>
      <c r="D13" s="54"/>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51</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c r="G33" s="80"/>
      <c r="H33" s="80"/>
      <c r="I33" s="80"/>
    </row>
    <row r="34" spans="2:9" ht="15" customHeight="1">
      <c r="B34" s="47" t="s">
        <v>104</v>
      </c>
      <c r="C34" s="47"/>
      <c r="D34" s="47"/>
      <c r="E34" s="47"/>
      <c r="F34" s="48"/>
      <c r="G34" s="48"/>
      <c r="H34" s="27" t="s">
        <v>54</v>
      </c>
      <c r="I34" s="28"/>
    </row>
    <row r="35" spans="2:9" ht="14.25" customHeight="1">
      <c r="B35" s="39" t="s">
        <v>105</v>
      </c>
      <c r="C35" s="39"/>
      <c r="D35" s="39"/>
      <c r="E35" s="39"/>
      <c r="F35" s="39"/>
      <c r="G35" s="39"/>
      <c r="H35" s="39"/>
      <c r="I35" s="39"/>
    </row>
    <row r="36" spans="2:9" ht="14.25" customHeight="1">
      <c r="B36" s="40" t="s">
        <v>56</v>
      </c>
      <c r="C36" s="40"/>
      <c r="D36" s="40"/>
      <c r="E36" s="40"/>
      <c r="F36" s="79" t="s">
        <v>57</v>
      </c>
      <c r="G36" s="79"/>
      <c r="H36" s="79"/>
      <c r="I36" s="79"/>
    </row>
    <row r="37" spans="2:9" ht="14.25" customHeight="1">
      <c r="B37" s="40"/>
      <c r="C37" s="40"/>
      <c r="D37" s="40"/>
      <c r="E37" s="40"/>
      <c r="F37" s="79"/>
      <c r="G37" s="79"/>
      <c r="H37" s="79"/>
      <c r="I37" s="79"/>
    </row>
    <row r="38" spans="2:9" ht="14.25" customHeight="1">
      <c r="B38" s="40"/>
      <c r="C38" s="40"/>
      <c r="D38" s="40"/>
      <c r="E38" s="40"/>
      <c r="F38" s="79"/>
      <c r="G38" s="79"/>
      <c r="H38" s="79"/>
      <c r="I38" s="79"/>
    </row>
    <row r="39" spans="2:9" ht="14.25" customHeight="1">
      <c r="B39" s="40"/>
      <c r="C39" s="40"/>
      <c r="D39" s="40"/>
      <c r="E39" s="40"/>
      <c r="F39" s="79"/>
      <c r="G39" s="79"/>
      <c r="H39" s="79"/>
      <c r="I39" s="79"/>
    </row>
    <row r="40" spans="2:9" ht="14.25" customHeight="1">
      <c r="B40" s="40"/>
      <c r="C40" s="40"/>
      <c r="D40" s="40"/>
      <c r="E40" s="40"/>
      <c r="F40" s="79"/>
      <c r="G40" s="79"/>
      <c r="H40" s="79"/>
      <c r="I40" s="79"/>
    </row>
    <row r="41" spans="2:9" ht="14.25" customHeight="1">
      <c r="B41" s="40"/>
      <c r="C41" s="40"/>
      <c r="D41" s="40"/>
      <c r="E41" s="40"/>
      <c r="F41" s="79"/>
      <c r="G41" s="79"/>
      <c r="H41" s="79"/>
      <c r="I41" s="79"/>
    </row>
    <row r="42" spans="2:9" ht="15" customHeight="1">
      <c r="B42" s="40"/>
      <c r="C42" s="40"/>
      <c r="D42" s="40"/>
      <c r="E42" s="40"/>
      <c r="F42" s="79"/>
      <c r="G42" s="79"/>
      <c r="H42" s="79"/>
      <c r="I42" s="79"/>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c r="C45" s="13"/>
      <c r="D45" s="13"/>
      <c r="E45" s="13"/>
      <c r="F45" s="13"/>
      <c r="G45" s="38"/>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zoomScaleNormal="100" workbookViewId="0">
      <selection activeCell="D2" sqref="D2"/>
    </sheetView>
  </sheetViews>
  <sheetFormatPr defaultColWidth="10.85546875" defaultRowHeight="15"/>
  <cols>
    <col min="1" max="1" width="16.85546875" style="3" customWidth="1"/>
    <col min="2" max="2" width="18.140625" style="3" customWidth="1"/>
    <col min="3" max="3" width="1.85546875" style="3" customWidth="1"/>
    <col min="4" max="5" width="3.85546875" style="3" customWidth="1"/>
    <col min="6" max="6" width="9.140625" style="3" customWidth="1"/>
    <col min="7" max="7" width="5.28515625" style="3" customWidth="1"/>
    <col min="8" max="16384" width="10.85546875" style="3"/>
  </cols>
  <sheetData>
    <row r="1" spans="1:8" ht="14.25" customHeight="1">
      <c r="A1" s="3" t="s">
        <v>108</v>
      </c>
      <c r="B1" s="3" t="s">
        <v>109</v>
      </c>
      <c r="C1" s="3">
        <v>2</v>
      </c>
      <c r="D1" s="3">
        <v>36</v>
      </c>
      <c r="E1" s="3">
        <v>60</v>
      </c>
      <c r="F1" s="3" t="s">
        <v>84</v>
      </c>
      <c r="G1" s="33">
        <v>0.1</v>
      </c>
      <c r="H1" s="3" t="s">
        <v>110</v>
      </c>
    </row>
    <row r="2" spans="1:8" ht="14.25" customHeight="1">
      <c r="A2" s="3" t="s">
        <v>111</v>
      </c>
      <c r="B2" s="3" t="s">
        <v>112</v>
      </c>
      <c r="C2" s="3">
        <v>3</v>
      </c>
      <c r="D2" s="3">
        <v>54</v>
      </c>
      <c r="E2" s="3">
        <v>90</v>
      </c>
      <c r="F2" s="3" t="s">
        <v>113</v>
      </c>
      <c r="G2" s="33">
        <v>0.2</v>
      </c>
      <c r="H2" s="3" t="s">
        <v>114</v>
      </c>
    </row>
    <row r="3" spans="1:8" ht="14.25" customHeight="1">
      <c r="A3" s="3" t="s">
        <v>115</v>
      </c>
      <c r="B3" s="3" t="s">
        <v>116</v>
      </c>
      <c r="C3" s="3">
        <v>4</v>
      </c>
      <c r="D3" s="3">
        <v>72</v>
      </c>
      <c r="E3" s="3">
        <v>120</v>
      </c>
      <c r="F3" s="3" t="s">
        <v>117</v>
      </c>
      <c r="G3" s="33">
        <v>0.3</v>
      </c>
    </row>
    <row r="4" spans="1:8" ht="14.25" customHeight="1">
      <c r="A4" s="3" t="s">
        <v>118</v>
      </c>
      <c r="B4" s="3" t="s">
        <v>119</v>
      </c>
      <c r="C4" s="3">
        <v>5</v>
      </c>
      <c r="D4" s="3">
        <v>90</v>
      </c>
      <c r="E4" s="3">
        <v>102</v>
      </c>
      <c r="F4" s="3" t="s">
        <v>120</v>
      </c>
      <c r="G4" s="33">
        <v>0.4</v>
      </c>
    </row>
    <row r="5" spans="1:8" ht="14.25" customHeight="1">
      <c r="A5" s="3" t="s">
        <v>121</v>
      </c>
      <c r="B5" s="3" t="s">
        <v>122</v>
      </c>
      <c r="C5" s="3">
        <v>6</v>
      </c>
      <c r="D5" s="3">
        <v>90</v>
      </c>
      <c r="E5" s="3">
        <v>150</v>
      </c>
      <c r="F5" s="3" t="s">
        <v>123</v>
      </c>
      <c r="G5" s="33">
        <v>0.5</v>
      </c>
    </row>
    <row r="6" spans="1:8" ht="14.25" customHeight="1">
      <c r="B6" s="3" t="s">
        <v>124</v>
      </c>
      <c r="C6" s="3">
        <v>8</v>
      </c>
      <c r="D6" s="3">
        <v>108</v>
      </c>
      <c r="E6" s="3">
        <v>180</v>
      </c>
      <c r="G6" s="33">
        <v>0.6</v>
      </c>
    </row>
    <row r="7" spans="1:8" ht="14.25" customHeight="1">
      <c r="B7" s="3" t="s">
        <v>125</v>
      </c>
      <c r="D7" s="3">
        <v>144</v>
      </c>
      <c r="E7" s="3">
        <v>240</v>
      </c>
      <c r="G7" s="33">
        <v>0.7</v>
      </c>
    </row>
    <row r="8" spans="1:8" ht="14.25" customHeight="1">
      <c r="B8" s="3" t="s">
        <v>126</v>
      </c>
      <c r="D8" s="3">
        <v>32</v>
      </c>
      <c r="E8" s="3">
        <v>64</v>
      </c>
      <c r="G8" s="33">
        <v>0.8</v>
      </c>
    </row>
    <row r="9" spans="1:8" ht="14.25" customHeight="1">
      <c r="B9" s="3" t="s">
        <v>127</v>
      </c>
      <c r="D9" s="3">
        <v>36</v>
      </c>
      <c r="E9" s="3">
        <v>108</v>
      </c>
      <c r="G9" s="33">
        <v>0.9</v>
      </c>
    </row>
    <row r="10" spans="1:8" ht="14.25" customHeight="1">
      <c r="D10" s="3">
        <v>40</v>
      </c>
      <c r="E10" s="3">
        <v>152</v>
      </c>
      <c r="G10" s="33">
        <v>1</v>
      </c>
    </row>
    <row r="11" spans="1:8" ht="14.25" customHeight="1">
      <c r="D11" s="3">
        <v>54</v>
      </c>
      <c r="E11" s="3">
        <v>234</v>
      </c>
      <c r="G11" s="33"/>
    </row>
    <row r="12" spans="1:8" ht="14.25" customHeight="1">
      <c r="D12" s="3">
        <v>64</v>
      </c>
      <c r="E12" s="3">
        <v>320</v>
      </c>
    </row>
    <row r="13" spans="1:8" ht="14.25" customHeight="1">
      <c r="D13" s="3">
        <v>24</v>
      </c>
      <c r="E13" s="3">
        <v>72</v>
      </c>
    </row>
    <row r="14" spans="1:8" ht="14.25" customHeight="1">
      <c r="D14" s="3">
        <v>36</v>
      </c>
      <c r="E14" s="3">
        <v>108</v>
      </c>
    </row>
    <row r="15" spans="1:8" ht="14.25" customHeight="1">
      <c r="D15" s="3">
        <v>48</v>
      </c>
      <c r="E15" s="3">
        <v>144</v>
      </c>
    </row>
    <row r="25" spans="1:1" ht="14.25" customHeight="1">
      <c r="A25" s="34">
        <v>45916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50"/>
  <sheetViews>
    <sheetView zoomScaleNormal="100" workbookViewId="0">
      <selection activeCell="H9" sqref="H9:I9"/>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6" t="s">
        <v>129</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131</v>
      </c>
      <c r="F9" s="58"/>
      <c r="G9" s="9" t="s">
        <v>12</v>
      </c>
      <c r="H9" s="58" t="s">
        <v>132</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133</v>
      </c>
      <c r="E12" s="61"/>
      <c r="F12" s="61"/>
      <c r="G12" s="61"/>
      <c r="H12" s="61"/>
      <c r="I12" s="61"/>
    </row>
    <row r="13" spans="2:9" ht="15" customHeight="1">
      <c r="B13" s="53" t="s">
        <v>92</v>
      </c>
      <c r="C13" s="53"/>
      <c r="D13" s="54" t="s">
        <v>134</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135</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136</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137</v>
      </c>
      <c r="G33" s="46"/>
      <c r="H33" s="46"/>
      <c r="I33" s="46"/>
    </row>
    <row r="34" spans="2:9" ht="15" customHeight="1">
      <c r="B34" s="47" t="s">
        <v>104</v>
      </c>
      <c r="C34" s="47"/>
      <c r="D34" s="47"/>
      <c r="E34" s="47"/>
      <c r="F34" s="48" t="s">
        <v>84</v>
      </c>
      <c r="G34" s="48"/>
      <c r="H34" s="27" t="s">
        <v>54</v>
      </c>
      <c r="I34" s="36">
        <v>0.3</v>
      </c>
    </row>
    <row r="35" spans="2:9" ht="14.25" customHeight="1">
      <c r="B35" s="39" t="s">
        <v>105</v>
      </c>
      <c r="C35" s="39"/>
      <c r="D35" s="39"/>
      <c r="E35" s="39"/>
      <c r="F35" s="39"/>
      <c r="G35" s="39"/>
      <c r="H35" s="39"/>
      <c r="I35" s="39"/>
    </row>
    <row r="36" spans="2:9" ht="14.25" customHeight="1">
      <c r="B36" s="40" t="s">
        <v>138</v>
      </c>
      <c r="C36" s="40"/>
      <c r="D36" s="40"/>
      <c r="E36" s="40"/>
      <c r="F36" s="41" t="s">
        <v>139</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81.75" customHeight="1">
      <c r="B45" s="30">
        <v>0</v>
      </c>
      <c r="C45" s="35">
        <v>45174</v>
      </c>
      <c r="D45" s="13" t="s">
        <v>140</v>
      </c>
      <c r="E45" s="13" t="s">
        <v>141</v>
      </c>
      <c r="F45" s="13" t="s">
        <v>142</v>
      </c>
      <c r="G45" s="38" t="s">
        <v>143</v>
      </c>
      <c r="H45" s="38"/>
      <c r="I45" s="38"/>
    </row>
    <row r="46" spans="2:9" ht="81.75" customHeight="1">
      <c r="B46" s="30">
        <v>1</v>
      </c>
      <c r="C46" s="35">
        <v>45827</v>
      </c>
      <c r="D46" s="13" t="s">
        <v>140</v>
      </c>
      <c r="E46" s="13" t="s">
        <v>141</v>
      </c>
      <c r="F46" s="13" t="s">
        <v>142</v>
      </c>
      <c r="G46" s="38" t="s">
        <v>144</v>
      </c>
      <c r="H46" s="38"/>
      <c r="I46" s="38"/>
    </row>
    <row r="47" spans="2:9" ht="41.25" customHeight="1">
      <c r="B47" s="30">
        <v>2</v>
      </c>
      <c r="C47" s="35">
        <v>46078</v>
      </c>
      <c r="D47" s="13" t="s">
        <v>145</v>
      </c>
      <c r="E47" s="13" t="s">
        <v>146</v>
      </c>
      <c r="F47" s="13" t="s">
        <v>147</v>
      </c>
      <c r="G47" s="38" t="s">
        <v>148</v>
      </c>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50"/>
  <sheetViews>
    <sheetView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150</v>
      </c>
      <c r="H7" s="9" t="s">
        <v>9</v>
      </c>
      <c r="I7" s="18" t="s">
        <v>108</v>
      </c>
    </row>
    <row r="8" spans="2:9" ht="28.5" customHeight="1">
      <c r="B8" s="17" t="s">
        <v>87</v>
      </c>
      <c r="C8" s="8" t="s">
        <v>19</v>
      </c>
      <c r="D8" s="9"/>
      <c r="E8" s="8" t="s">
        <v>20</v>
      </c>
      <c r="F8" s="9"/>
      <c r="G8" s="9" t="s">
        <v>88</v>
      </c>
      <c r="H8" s="57"/>
      <c r="I8" s="57"/>
    </row>
    <row r="9" spans="2:9" ht="43.5" customHeight="1">
      <c r="B9" s="19" t="s">
        <v>89</v>
      </c>
      <c r="C9" s="20" t="s">
        <v>114</v>
      </c>
      <c r="D9" s="8" t="s">
        <v>65</v>
      </c>
      <c r="E9" s="58" t="s">
        <v>151</v>
      </c>
      <c r="F9" s="58"/>
      <c r="G9" s="9" t="s">
        <v>12</v>
      </c>
      <c r="H9" s="58" t="s">
        <v>152</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82" t="s">
        <v>153</v>
      </c>
      <c r="E12" s="82"/>
      <c r="F12" s="82"/>
      <c r="G12" s="82"/>
      <c r="H12" s="82"/>
      <c r="I12" s="82"/>
    </row>
    <row r="13" spans="2:9" ht="15" customHeight="1">
      <c r="B13" s="53" t="s">
        <v>92</v>
      </c>
      <c r="C13" s="53"/>
      <c r="D13" s="54" t="s">
        <v>154</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155</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156</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158</v>
      </c>
    </row>
    <row r="35" spans="2:9" ht="14.25" customHeight="1">
      <c r="B35" s="39" t="s">
        <v>105</v>
      </c>
      <c r="C35" s="39"/>
      <c r="D35" s="39"/>
      <c r="E35" s="39"/>
      <c r="F35" s="39"/>
      <c r="G35" s="39"/>
      <c r="H35" s="39"/>
      <c r="I35" s="39"/>
    </row>
    <row r="36" spans="2:9" ht="14.25" customHeight="1">
      <c r="B36" s="40" t="s">
        <v>159</v>
      </c>
      <c r="C36" s="40"/>
      <c r="D36" s="40"/>
      <c r="E36" s="40"/>
      <c r="F36" s="41" t="s">
        <v>160</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161</v>
      </c>
      <c r="C45" s="13" t="s">
        <v>162</v>
      </c>
      <c r="D45" s="13" t="s">
        <v>145</v>
      </c>
      <c r="E45" s="13" t="s">
        <v>163</v>
      </c>
      <c r="F45" s="13" t="s">
        <v>147</v>
      </c>
      <c r="G45" s="38" t="s">
        <v>164</v>
      </c>
      <c r="H45" s="38"/>
      <c r="I45" s="38"/>
    </row>
    <row r="46" spans="2:9" ht="14.25" customHeight="1">
      <c r="B46" s="30">
        <v>2</v>
      </c>
      <c r="C46" s="35">
        <v>46078</v>
      </c>
      <c r="D46" s="13" t="s">
        <v>145</v>
      </c>
      <c r="E46" s="13" t="s">
        <v>146</v>
      </c>
      <c r="F46" s="13" t="s">
        <v>147</v>
      </c>
      <c r="G46" s="38" t="s">
        <v>148</v>
      </c>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50"/>
  <sheetViews>
    <sheetView zoomScaleNormal="100" workbookViewId="0">
      <selection activeCell="D12" sqref="D12:I12"/>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165</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166</v>
      </c>
      <c r="F9" s="58"/>
      <c r="G9" s="9" t="s">
        <v>12</v>
      </c>
      <c r="H9" s="58" t="s">
        <v>167</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c r="E12" s="61"/>
      <c r="F12" s="61"/>
      <c r="G12" s="61"/>
      <c r="H12" s="61"/>
      <c r="I12" s="61"/>
    </row>
    <row r="13" spans="2:9" ht="15" customHeight="1">
      <c r="B13" s="53" t="s">
        <v>92</v>
      </c>
      <c r="C13" s="53"/>
      <c r="D13" s="54" t="s">
        <v>168</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169</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170</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171</v>
      </c>
    </row>
    <row r="35" spans="2:9" ht="14.25" customHeight="1">
      <c r="B35" s="39" t="s">
        <v>105</v>
      </c>
      <c r="C35" s="39"/>
      <c r="D35" s="39"/>
      <c r="E35" s="39"/>
      <c r="F35" s="39"/>
      <c r="G35" s="39"/>
      <c r="H35" s="39"/>
      <c r="I35" s="39"/>
    </row>
    <row r="36" spans="2:9" ht="14.25" customHeight="1">
      <c r="B36" s="40" t="s">
        <v>172</v>
      </c>
      <c r="C36" s="40"/>
      <c r="D36" s="40"/>
      <c r="E36" s="40"/>
      <c r="F36" s="41" t="s">
        <v>173</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149</v>
      </c>
      <c r="D45" s="13" t="s">
        <v>175</v>
      </c>
      <c r="E45" s="13" t="s">
        <v>176</v>
      </c>
      <c r="F45" s="13" t="s">
        <v>177</v>
      </c>
      <c r="G45" s="38" t="s">
        <v>178</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0"/>
  <sheetViews>
    <sheetView zoomScaleNormal="100" workbookViewId="0">
      <selection activeCell="A5" sqref="A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179</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131</v>
      </c>
      <c r="F9" s="58"/>
      <c r="G9" s="9" t="s">
        <v>12</v>
      </c>
      <c r="H9" s="58" t="s">
        <v>180</v>
      </c>
      <c r="I9" s="58"/>
    </row>
    <row r="10" spans="2:9" ht="29.25" customHeight="1">
      <c r="B10" s="21" t="s">
        <v>13</v>
      </c>
      <c r="C10" s="22">
        <v>2</v>
      </c>
      <c r="D10" s="23" t="s">
        <v>14</v>
      </c>
      <c r="E10" s="22">
        <v>32</v>
      </c>
      <c r="F10" s="23" t="s">
        <v>15</v>
      </c>
      <c r="G10" s="22">
        <v>64</v>
      </c>
      <c r="H10" s="23" t="s">
        <v>16</v>
      </c>
      <c r="I10" s="24">
        <f>E10+G10</f>
        <v>96</v>
      </c>
    </row>
    <row r="11" spans="2:9" ht="14.25" customHeight="1">
      <c r="B11" s="39" t="s">
        <v>90</v>
      </c>
      <c r="C11" s="39"/>
      <c r="D11" s="39"/>
      <c r="E11" s="39"/>
      <c r="F11" s="39"/>
      <c r="G11" s="39"/>
      <c r="H11" s="39"/>
      <c r="I11" s="39"/>
    </row>
    <row r="12" spans="2:9" ht="31.5" customHeight="1">
      <c r="B12" s="60" t="s">
        <v>91</v>
      </c>
      <c r="C12" s="60"/>
      <c r="D12" s="82" t="s">
        <v>181</v>
      </c>
      <c r="E12" s="82"/>
      <c r="F12" s="82"/>
      <c r="G12" s="82"/>
      <c r="H12" s="82"/>
      <c r="I12" s="82"/>
    </row>
    <row r="13" spans="2:9" ht="15" customHeight="1">
      <c r="B13" s="53" t="s">
        <v>92</v>
      </c>
      <c r="C13" s="53"/>
      <c r="D13" s="54" t="s">
        <v>182</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183</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185</v>
      </c>
      <c r="G33" s="80"/>
      <c r="H33" s="80"/>
      <c r="I33" s="80"/>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187</v>
      </c>
      <c r="C36" s="40"/>
      <c r="D36" s="40"/>
      <c r="E36" s="40"/>
      <c r="F36" s="41" t="s">
        <v>188</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189</v>
      </c>
      <c r="D45" s="13" t="s">
        <v>190</v>
      </c>
      <c r="E45" s="13" t="s">
        <v>176</v>
      </c>
      <c r="F45" s="13" t="s">
        <v>142</v>
      </c>
      <c r="G45" s="38" t="s">
        <v>178</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0"/>
  <sheetViews>
    <sheetView zoomScaleNormal="100" workbookViewId="0">
      <selection activeCell="H9" sqref="H9:I9"/>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191</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192</v>
      </c>
      <c r="F9" s="58"/>
      <c r="G9" s="9" t="s">
        <v>12</v>
      </c>
      <c r="H9" s="58" t="s">
        <v>193</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82" t="s">
        <v>194</v>
      </c>
      <c r="E12" s="82"/>
      <c r="F12" s="82"/>
      <c r="G12" s="82"/>
      <c r="H12" s="82"/>
      <c r="I12" s="82"/>
    </row>
    <row r="13" spans="2:9" ht="15" customHeight="1">
      <c r="B13" s="53" t="s">
        <v>92</v>
      </c>
      <c r="C13" s="53"/>
      <c r="D13" s="54" t="s">
        <v>195</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196</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197</v>
      </c>
    </row>
    <row r="35" spans="2:9" ht="14.25" customHeight="1">
      <c r="B35" s="39" t="s">
        <v>105</v>
      </c>
      <c r="C35" s="39"/>
      <c r="D35" s="39"/>
      <c r="E35" s="39"/>
      <c r="F35" s="39"/>
      <c r="G35" s="39"/>
      <c r="H35" s="39"/>
      <c r="I35" s="39"/>
    </row>
    <row r="36" spans="2:9" ht="14.25" customHeight="1">
      <c r="B36" s="40" t="s">
        <v>198</v>
      </c>
      <c r="C36" s="40"/>
      <c r="D36" s="40"/>
      <c r="E36" s="40"/>
      <c r="F36" s="41" t="s">
        <v>199</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200</v>
      </c>
      <c r="C45" s="13" t="s">
        <v>201</v>
      </c>
      <c r="D45" s="13" t="s">
        <v>202</v>
      </c>
      <c r="E45" s="13" t="s">
        <v>203</v>
      </c>
      <c r="F45" s="13" t="s">
        <v>142</v>
      </c>
      <c r="G45" s="38" t="s">
        <v>204</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0"/>
  <sheetViews>
    <sheetView zoomScaleNormal="100" workbookViewId="0">
      <selection activeCell="H9" sqref="H9:I9"/>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205</v>
      </c>
      <c r="H7" s="9" t="s">
        <v>9</v>
      </c>
      <c r="I7" s="18" t="s">
        <v>108</v>
      </c>
    </row>
    <row r="8" spans="2:9" ht="28.5" customHeight="1">
      <c r="B8" s="17" t="s">
        <v>87</v>
      </c>
      <c r="C8" s="8" t="s">
        <v>19</v>
      </c>
      <c r="D8" s="9"/>
      <c r="E8" s="8" t="s">
        <v>20</v>
      </c>
      <c r="F8" s="9"/>
      <c r="G8" s="9" t="s">
        <v>88</v>
      </c>
      <c r="H8" s="57"/>
      <c r="I8" s="57"/>
    </row>
    <row r="9" spans="2:9" ht="43.5" customHeight="1">
      <c r="B9" s="19" t="s">
        <v>89</v>
      </c>
      <c r="C9" s="20" t="s">
        <v>114</v>
      </c>
      <c r="D9" s="8" t="s">
        <v>65</v>
      </c>
      <c r="E9" s="58" t="s">
        <v>206</v>
      </c>
      <c r="F9" s="58"/>
      <c r="G9" s="9" t="s">
        <v>12</v>
      </c>
      <c r="H9" s="58" t="s">
        <v>207</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c r="E12" s="61"/>
      <c r="F12" s="61"/>
      <c r="G12" s="61"/>
      <c r="H12" s="61"/>
      <c r="I12" s="61"/>
    </row>
    <row r="13" spans="2:9" ht="15" customHeight="1">
      <c r="B13" s="53" t="s">
        <v>92</v>
      </c>
      <c r="C13" s="53"/>
      <c r="D13" s="54" t="s">
        <v>208</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209</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56</v>
      </c>
      <c r="C36" s="40"/>
      <c r="D36" s="40"/>
      <c r="E36" s="40"/>
      <c r="F36" s="79" t="s">
        <v>57</v>
      </c>
      <c r="G36" s="79"/>
      <c r="H36" s="79"/>
      <c r="I36" s="79"/>
    </row>
    <row r="37" spans="2:9" ht="14.25" customHeight="1">
      <c r="B37" s="40"/>
      <c r="C37" s="40"/>
      <c r="D37" s="40"/>
      <c r="E37" s="40"/>
      <c r="F37" s="79"/>
      <c r="G37" s="79"/>
      <c r="H37" s="79"/>
      <c r="I37" s="79"/>
    </row>
    <row r="38" spans="2:9" ht="14.25" customHeight="1">
      <c r="B38" s="40"/>
      <c r="C38" s="40"/>
      <c r="D38" s="40"/>
      <c r="E38" s="40"/>
      <c r="F38" s="79"/>
      <c r="G38" s="79"/>
      <c r="H38" s="79"/>
      <c r="I38" s="79"/>
    </row>
    <row r="39" spans="2:9" ht="14.25" customHeight="1">
      <c r="B39" s="40"/>
      <c r="C39" s="40"/>
      <c r="D39" s="40"/>
      <c r="E39" s="40"/>
      <c r="F39" s="79"/>
      <c r="G39" s="79"/>
      <c r="H39" s="79"/>
      <c r="I39" s="79"/>
    </row>
    <row r="40" spans="2:9" ht="14.25" customHeight="1">
      <c r="B40" s="40"/>
      <c r="C40" s="40"/>
      <c r="D40" s="40"/>
      <c r="E40" s="40"/>
      <c r="F40" s="79"/>
      <c r="G40" s="79"/>
      <c r="H40" s="79"/>
      <c r="I40" s="79"/>
    </row>
    <row r="41" spans="2:9" ht="14.25" customHeight="1">
      <c r="B41" s="40"/>
      <c r="C41" s="40"/>
      <c r="D41" s="40"/>
      <c r="E41" s="40"/>
      <c r="F41" s="79"/>
      <c r="G41" s="79"/>
      <c r="H41" s="79"/>
      <c r="I41" s="79"/>
    </row>
    <row r="42" spans="2:9" ht="15" customHeight="1">
      <c r="B42" s="40"/>
      <c r="C42" s="40"/>
      <c r="D42" s="40"/>
      <c r="E42" s="40"/>
      <c r="F42" s="79"/>
      <c r="G42" s="79"/>
      <c r="H42" s="79"/>
      <c r="I42" s="79"/>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210</v>
      </c>
      <c r="D45" s="13" t="s">
        <v>211</v>
      </c>
      <c r="E45" s="13" t="s">
        <v>212</v>
      </c>
      <c r="F45" s="13"/>
      <c r="G45" s="38" t="s">
        <v>213</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50"/>
  <sheetViews>
    <sheetView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214</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131</v>
      </c>
      <c r="F9" s="58"/>
      <c r="G9" s="9" t="s">
        <v>12</v>
      </c>
      <c r="H9" s="58" t="s">
        <v>215</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61" t="s">
        <v>216</v>
      </c>
      <c r="E12" s="61"/>
      <c r="F12" s="61"/>
      <c r="G12" s="61"/>
      <c r="H12" s="61"/>
      <c r="I12" s="61"/>
    </row>
    <row r="13" spans="2:9" ht="15" customHeight="1">
      <c r="B13" s="53" t="s">
        <v>92</v>
      </c>
      <c r="C13" s="53"/>
      <c r="D13" s="54" t="s">
        <v>217</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218</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219</v>
      </c>
      <c r="C36" s="40"/>
      <c r="D36" s="40"/>
      <c r="E36" s="40"/>
      <c r="F36" s="41" t="s">
        <v>220</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221</v>
      </c>
      <c r="D45" s="13" t="s">
        <v>222</v>
      </c>
      <c r="E45" s="13" t="s">
        <v>176</v>
      </c>
      <c r="F45" s="13" t="s">
        <v>142</v>
      </c>
      <c r="G45" s="38" t="s">
        <v>143</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50"/>
  <sheetViews>
    <sheetView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131</v>
      </c>
      <c r="F9" s="58"/>
      <c r="G9" s="9" t="s">
        <v>12</v>
      </c>
      <c r="H9" s="58" t="s">
        <v>223</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82" t="s">
        <v>224</v>
      </c>
      <c r="E12" s="82"/>
      <c r="F12" s="82"/>
      <c r="G12" s="82"/>
      <c r="H12" s="82"/>
      <c r="I12" s="82"/>
    </row>
    <row r="13" spans="2:9" ht="15" customHeight="1">
      <c r="B13" s="53" t="s">
        <v>92</v>
      </c>
      <c r="C13" s="53"/>
      <c r="D13" s="54" t="s">
        <v>225</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226</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227</v>
      </c>
      <c r="C36" s="40"/>
      <c r="D36" s="40"/>
      <c r="E36" s="40"/>
      <c r="F36" s="41" t="s">
        <v>228</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229</v>
      </c>
      <c r="D45" s="13" t="s">
        <v>230</v>
      </c>
      <c r="E45" s="13" t="s">
        <v>176</v>
      </c>
      <c r="F45" s="13" t="s">
        <v>142</v>
      </c>
      <c r="G45" s="38" t="s">
        <v>143</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I50"/>
  <sheetViews>
    <sheetView topLeftCell="C19" zoomScaleNormal="100" workbookViewId="0">
      <selection activeCell="L34" sqref="K34:L37"/>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231</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232</v>
      </c>
      <c r="F9" s="58"/>
      <c r="G9" s="9" t="s">
        <v>12</v>
      </c>
      <c r="H9" s="58" t="s">
        <v>233</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61" t="s">
        <v>234</v>
      </c>
      <c r="E12" s="61"/>
      <c r="F12" s="61"/>
      <c r="G12" s="61"/>
      <c r="H12" s="61"/>
      <c r="I12" s="61"/>
    </row>
    <row r="13" spans="2:9" ht="15" customHeight="1">
      <c r="B13" s="53" t="s">
        <v>92</v>
      </c>
      <c r="C13" s="53"/>
      <c r="D13" s="54" t="s">
        <v>235</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236</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36">
        <v>0.3</v>
      </c>
    </row>
    <row r="35" spans="2:9" ht="14.25" customHeight="1">
      <c r="B35" s="39" t="s">
        <v>105</v>
      </c>
      <c r="C35" s="39"/>
      <c r="D35" s="39"/>
      <c r="E35" s="39"/>
      <c r="F35" s="39"/>
      <c r="G35" s="39"/>
      <c r="H35" s="39"/>
      <c r="I35" s="39"/>
    </row>
    <row r="36" spans="2:9" ht="14.25" customHeight="1">
      <c r="B36" s="40" t="s">
        <v>237</v>
      </c>
      <c r="C36" s="40"/>
      <c r="D36" s="40"/>
      <c r="E36" s="40"/>
      <c r="F36" s="41" t="s">
        <v>238</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189</v>
      </c>
      <c r="D45" s="13" t="s">
        <v>239</v>
      </c>
      <c r="E45" s="13" t="s">
        <v>240</v>
      </c>
      <c r="F45" s="13" t="s">
        <v>142</v>
      </c>
      <c r="G45" s="38" t="s">
        <v>241</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50"/>
  <sheetViews>
    <sheetView topLeftCell="A12"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192</v>
      </c>
      <c r="F9" s="58"/>
      <c r="G9" s="9" t="s">
        <v>12</v>
      </c>
      <c r="H9" s="58" t="s">
        <v>242</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82" t="s">
        <v>243</v>
      </c>
      <c r="E12" s="82"/>
      <c r="F12" s="82"/>
      <c r="G12" s="82"/>
      <c r="H12" s="82"/>
      <c r="I12" s="82"/>
    </row>
    <row r="13" spans="2:9" ht="15" customHeight="1">
      <c r="B13" s="53" t="s">
        <v>92</v>
      </c>
      <c r="C13" s="53"/>
      <c r="D13" s="54" t="s">
        <v>244</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245</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171</v>
      </c>
    </row>
    <row r="35" spans="2:9" ht="14.25" customHeight="1">
      <c r="B35" s="39" t="s">
        <v>105</v>
      </c>
      <c r="C35" s="39"/>
      <c r="D35" s="39"/>
      <c r="E35" s="39"/>
      <c r="F35" s="39"/>
      <c r="G35" s="39"/>
      <c r="H35" s="39"/>
      <c r="I35" s="39"/>
    </row>
    <row r="36" spans="2:9" ht="14.25" customHeight="1">
      <c r="B36" s="40" t="s">
        <v>246</v>
      </c>
      <c r="C36" s="40"/>
      <c r="D36" s="40"/>
      <c r="E36" s="40"/>
      <c r="F36" s="79" t="s">
        <v>57</v>
      </c>
      <c r="G36" s="79"/>
      <c r="H36" s="79"/>
      <c r="I36" s="79"/>
    </row>
    <row r="37" spans="2:9" ht="14.25" customHeight="1">
      <c r="B37" s="40"/>
      <c r="C37" s="40"/>
      <c r="D37" s="40"/>
      <c r="E37" s="40"/>
      <c r="F37" s="79"/>
      <c r="G37" s="79"/>
      <c r="H37" s="79"/>
      <c r="I37" s="79"/>
    </row>
    <row r="38" spans="2:9" ht="14.25" customHeight="1">
      <c r="B38" s="40"/>
      <c r="C38" s="40"/>
      <c r="D38" s="40"/>
      <c r="E38" s="40"/>
      <c r="F38" s="79"/>
      <c r="G38" s="79"/>
      <c r="H38" s="79"/>
      <c r="I38" s="79"/>
    </row>
    <row r="39" spans="2:9" ht="14.25" customHeight="1">
      <c r="B39" s="40"/>
      <c r="C39" s="40"/>
      <c r="D39" s="40"/>
      <c r="E39" s="40"/>
      <c r="F39" s="79"/>
      <c r="G39" s="79"/>
      <c r="H39" s="79"/>
      <c r="I39" s="79"/>
    </row>
    <row r="40" spans="2:9" ht="14.25" customHeight="1">
      <c r="B40" s="40"/>
      <c r="C40" s="40"/>
      <c r="D40" s="40"/>
      <c r="E40" s="40"/>
      <c r="F40" s="79"/>
      <c r="G40" s="79"/>
      <c r="H40" s="79"/>
      <c r="I40" s="79"/>
    </row>
    <row r="41" spans="2:9" ht="14.25" customHeight="1">
      <c r="B41" s="40"/>
      <c r="C41" s="40"/>
      <c r="D41" s="40"/>
      <c r="E41" s="40"/>
      <c r="F41" s="79"/>
      <c r="G41" s="79"/>
      <c r="H41" s="79"/>
      <c r="I41" s="79"/>
    </row>
    <row r="42" spans="2:9" ht="15" customHeight="1">
      <c r="B42" s="40"/>
      <c r="C42" s="40"/>
      <c r="D42" s="40"/>
      <c r="E42" s="40"/>
      <c r="F42" s="79"/>
      <c r="G42" s="79"/>
      <c r="H42" s="79"/>
      <c r="I42" s="79"/>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161</v>
      </c>
      <c r="C45" s="13" t="s">
        <v>247</v>
      </c>
      <c r="D45" s="13" t="s">
        <v>248</v>
      </c>
      <c r="E45" s="13" t="s">
        <v>249</v>
      </c>
      <c r="F45" s="13" t="s">
        <v>147</v>
      </c>
      <c r="G45" s="38" t="s">
        <v>164</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I50"/>
  <sheetViews>
    <sheetView topLeftCell="A12"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251</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252</v>
      </c>
      <c r="E12" s="61"/>
      <c r="F12" s="61"/>
      <c r="G12" s="61"/>
      <c r="H12" s="61"/>
      <c r="I12" s="61"/>
    </row>
    <row r="13" spans="2:9" ht="15" customHeight="1">
      <c r="B13" s="53" t="s">
        <v>92</v>
      </c>
      <c r="C13" s="53"/>
      <c r="D13" s="54" t="s">
        <v>253</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254</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255</v>
      </c>
      <c r="C36" s="40"/>
      <c r="D36" s="40"/>
      <c r="E36" s="40"/>
      <c r="F36" s="41" t="s">
        <v>256</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257</v>
      </c>
      <c r="E45" s="13" t="s">
        <v>258</v>
      </c>
      <c r="F45" s="13" t="s">
        <v>259</v>
      </c>
      <c r="G45" s="38" t="s">
        <v>260</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50"/>
  <sheetViews>
    <sheetView topLeftCell="A10"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2024</v>
      </c>
      <c r="D7" s="9" t="s">
        <v>7</v>
      </c>
      <c r="E7" s="1" t="s">
        <v>128</v>
      </c>
      <c r="F7" s="9" t="s">
        <v>8</v>
      </c>
      <c r="G7" s="1" t="s">
        <v>261</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262</v>
      </c>
      <c r="F9" s="58"/>
      <c r="G9" s="9" t="s">
        <v>12</v>
      </c>
      <c r="H9" s="58" t="s">
        <v>263</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82" t="s">
        <v>264</v>
      </c>
      <c r="E12" s="82"/>
      <c r="F12" s="82"/>
      <c r="G12" s="82"/>
      <c r="H12" s="82"/>
      <c r="I12" s="82"/>
    </row>
    <row r="13" spans="2:9" ht="15" customHeight="1">
      <c r="B13" s="53" t="s">
        <v>92</v>
      </c>
      <c r="C13" s="53"/>
      <c r="D13" s="54" t="s">
        <v>265</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266</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184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80" t="s">
        <v>157</v>
      </c>
      <c r="G33" s="80"/>
      <c r="H33" s="80"/>
      <c r="I33" s="80"/>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267</v>
      </c>
      <c r="C36" s="40"/>
      <c r="D36" s="40"/>
      <c r="E36" s="40"/>
      <c r="F36" s="41" t="s">
        <v>268</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269</v>
      </c>
      <c r="D45" s="13" t="s">
        <v>270</v>
      </c>
      <c r="E45" s="13" t="s">
        <v>240</v>
      </c>
      <c r="F45" s="13" t="s">
        <v>271</v>
      </c>
      <c r="G45" s="38" t="s">
        <v>272</v>
      </c>
      <c r="H45" s="38"/>
      <c r="I45" s="38"/>
    </row>
    <row r="46" spans="2:9" ht="14.25" customHeight="1">
      <c r="B46" s="30" t="s">
        <v>161</v>
      </c>
      <c r="C46" s="13" t="s">
        <v>273</v>
      </c>
      <c r="D46" s="13" t="s">
        <v>274</v>
      </c>
      <c r="E46" s="13" t="s">
        <v>275</v>
      </c>
      <c r="F46" s="13" t="s">
        <v>271</v>
      </c>
      <c r="G46" s="38" t="s">
        <v>276</v>
      </c>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I50"/>
  <sheetViews>
    <sheetView topLeftCell="A10"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277</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262</v>
      </c>
      <c r="F9" s="58"/>
      <c r="G9" s="9" t="s">
        <v>12</v>
      </c>
      <c r="H9" s="58" t="s">
        <v>278</v>
      </c>
      <c r="I9" s="58"/>
    </row>
    <row r="10" spans="2:9" ht="29.25" customHeight="1">
      <c r="B10" s="21" t="s">
        <v>13</v>
      </c>
      <c r="C10" s="22">
        <v>3</v>
      </c>
      <c r="D10" s="23" t="s">
        <v>14</v>
      </c>
      <c r="E10" s="22">
        <v>36</v>
      </c>
      <c r="F10" s="23" t="s">
        <v>15</v>
      </c>
      <c r="G10" s="22">
        <v>108</v>
      </c>
      <c r="H10" s="23" t="s">
        <v>16</v>
      </c>
      <c r="I10" s="24">
        <f>E10+G10</f>
        <v>144</v>
      </c>
    </row>
    <row r="11" spans="2:9" ht="14.25" customHeight="1">
      <c r="B11" s="39" t="s">
        <v>90</v>
      </c>
      <c r="C11" s="39"/>
      <c r="D11" s="39"/>
      <c r="E11" s="39"/>
      <c r="F11" s="39"/>
      <c r="G11" s="39"/>
      <c r="H11" s="39"/>
      <c r="I11" s="39"/>
    </row>
    <row r="12" spans="2:9" ht="31.5" customHeight="1">
      <c r="B12" s="60" t="s">
        <v>91</v>
      </c>
      <c r="C12" s="60"/>
      <c r="D12" s="61" t="s">
        <v>279</v>
      </c>
      <c r="E12" s="61"/>
      <c r="F12" s="61"/>
      <c r="G12" s="61"/>
      <c r="H12" s="61"/>
      <c r="I12" s="61"/>
    </row>
    <row r="13" spans="2:9" ht="15" customHeight="1">
      <c r="B13" s="53" t="s">
        <v>92</v>
      </c>
      <c r="C13" s="53"/>
      <c r="D13" s="54" t="s">
        <v>280</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281</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282</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283</v>
      </c>
      <c r="G33" s="46"/>
      <c r="H33" s="46"/>
      <c r="I33" s="46"/>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284</v>
      </c>
      <c r="C36" s="40"/>
      <c r="D36" s="40"/>
      <c r="E36" s="40"/>
      <c r="F36" s="41" t="s">
        <v>285</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286</v>
      </c>
      <c r="D45" s="13" t="s">
        <v>287</v>
      </c>
      <c r="E45" s="13" t="s">
        <v>176</v>
      </c>
      <c r="F45" s="13" t="s">
        <v>147</v>
      </c>
      <c r="G45" s="38" t="s">
        <v>143</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50"/>
  <sheetViews>
    <sheetView topLeftCell="A9"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288</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289</v>
      </c>
      <c r="E12" s="61"/>
      <c r="F12" s="61"/>
      <c r="G12" s="61"/>
      <c r="H12" s="61"/>
      <c r="I12" s="61"/>
    </row>
    <row r="13" spans="2:9" ht="15" customHeight="1">
      <c r="B13" s="53" t="s">
        <v>92</v>
      </c>
      <c r="C13" s="53"/>
      <c r="D13" s="54" t="s">
        <v>290</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291</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292</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293</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294</v>
      </c>
      <c r="C36" s="40"/>
      <c r="D36" s="40"/>
      <c r="E36" s="40"/>
      <c r="F36" s="41" t="s">
        <v>295</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257</v>
      </c>
      <c r="E45" s="13" t="s">
        <v>258</v>
      </c>
      <c r="F45" s="13" t="s">
        <v>259</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I50"/>
  <sheetViews>
    <sheetView topLeftCell="A12"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297</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298</v>
      </c>
      <c r="E12" s="61"/>
      <c r="F12" s="61"/>
      <c r="G12" s="61"/>
      <c r="H12" s="61"/>
      <c r="I12" s="61"/>
    </row>
    <row r="13" spans="2:9" ht="15" customHeight="1">
      <c r="B13" s="53" t="s">
        <v>92</v>
      </c>
      <c r="C13" s="53"/>
      <c r="D13" s="54" t="s">
        <v>299</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300</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301</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302</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303</v>
      </c>
      <c r="C36" s="40"/>
      <c r="D36" s="40"/>
      <c r="E36" s="40"/>
      <c r="F36" s="41" t="s">
        <v>304</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305</v>
      </c>
      <c r="E45" s="13" t="s">
        <v>146</v>
      </c>
      <c r="F45" s="13" t="s">
        <v>142</v>
      </c>
      <c r="G45" s="38" t="s">
        <v>178</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I50"/>
  <sheetViews>
    <sheetView topLeftCell="A14"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306</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307</v>
      </c>
      <c r="E12" s="61"/>
      <c r="F12" s="61"/>
      <c r="G12" s="61"/>
      <c r="H12" s="61"/>
      <c r="I12" s="61"/>
    </row>
    <row r="13" spans="2:9" ht="15" customHeight="1">
      <c r="B13" s="53" t="s">
        <v>92</v>
      </c>
      <c r="C13" s="53"/>
      <c r="D13" s="54" t="s">
        <v>308</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309</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310</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311</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312</v>
      </c>
      <c r="C36" s="40"/>
      <c r="D36" s="40"/>
      <c r="E36" s="40"/>
      <c r="F36" s="41" t="s">
        <v>313</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315</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I50"/>
  <sheetViews>
    <sheetView topLeftCell="A14" zoomScaleNormal="100" workbookViewId="0">
      <selection activeCell="I34" sqref="I34"/>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t="s">
        <v>149</v>
      </c>
      <c r="D7" s="9" t="s">
        <v>7</v>
      </c>
      <c r="E7" s="1" t="s">
        <v>128</v>
      </c>
      <c r="F7" s="9" t="s">
        <v>8</v>
      </c>
      <c r="G7" s="1" t="s">
        <v>317</v>
      </c>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318</v>
      </c>
      <c r="F9" s="58"/>
      <c r="G9" s="9" t="s">
        <v>12</v>
      </c>
      <c r="H9" s="58" t="s">
        <v>319</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320</v>
      </c>
      <c r="E12" s="61"/>
      <c r="F12" s="61"/>
      <c r="G12" s="61"/>
      <c r="H12" s="61"/>
      <c r="I12" s="61"/>
    </row>
    <row r="13" spans="2:9" ht="15" customHeight="1">
      <c r="B13" s="53" t="s">
        <v>92</v>
      </c>
      <c r="C13" s="53"/>
      <c r="D13" s="54" t="s">
        <v>321</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322</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323</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324</v>
      </c>
      <c r="G33" s="46"/>
      <c r="H33" s="46"/>
      <c r="I33" s="46"/>
    </row>
    <row r="34" spans="2:9" ht="15" customHeight="1">
      <c r="B34" s="47" t="s">
        <v>104</v>
      </c>
      <c r="C34" s="47"/>
      <c r="D34" s="47"/>
      <c r="E34" s="47"/>
      <c r="F34" s="48" t="s">
        <v>84</v>
      </c>
      <c r="G34" s="48"/>
      <c r="H34" s="27" t="s">
        <v>54</v>
      </c>
      <c r="I34" s="28" t="s">
        <v>325</v>
      </c>
    </row>
    <row r="35" spans="2:9" ht="14.25" customHeight="1">
      <c r="B35" s="39" t="s">
        <v>105</v>
      </c>
      <c r="C35" s="39"/>
      <c r="D35" s="39"/>
      <c r="E35" s="39"/>
      <c r="F35" s="39"/>
      <c r="G35" s="39"/>
      <c r="H35" s="39"/>
      <c r="I35" s="39"/>
    </row>
    <row r="36" spans="2:9" ht="14.25" customHeight="1">
      <c r="B36" s="40" t="s">
        <v>326</v>
      </c>
      <c r="C36" s="40"/>
      <c r="D36" s="40"/>
      <c r="E36" s="40"/>
      <c r="F36" s="41" t="s">
        <v>327</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328</v>
      </c>
      <c r="D45" s="13" t="s">
        <v>248</v>
      </c>
      <c r="E45" s="13" t="s">
        <v>212</v>
      </c>
      <c r="F45" s="13" t="s">
        <v>142</v>
      </c>
      <c r="G45" s="38" t="s">
        <v>329</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I50"/>
  <sheetViews>
    <sheetView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330</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331</v>
      </c>
      <c r="E12" s="61"/>
      <c r="F12" s="61"/>
      <c r="G12" s="61"/>
      <c r="H12" s="61"/>
      <c r="I12" s="61"/>
    </row>
    <row r="13" spans="2:9" ht="15" customHeight="1">
      <c r="B13" s="53" t="s">
        <v>92</v>
      </c>
      <c r="C13" s="53"/>
      <c r="D13" s="54" t="s">
        <v>332</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333</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334</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335</v>
      </c>
      <c r="G33" s="46"/>
      <c r="H33" s="46"/>
      <c r="I33" s="46"/>
    </row>
    <row r="34" spans="2:9" ht="15" customHeight="1">
      <c r="B34" s="47" t="s">
        <v>104</v>
      </c>
      <c r="C34" s="47"/>
      <c r="D34" s="47"/>
      <c r="E34" s="47"/>
      <c r="F34" s="48" t="s">
        <v>84</v>
      </c>
      <c r="G34" s="48"/>
      <c r="H34" s="27" t="s">
        <v>54</v>
      </c>
      <c r="I34" s="28">
        <v>0.2</v>
      </c>
    </row>
    <row r="35" spans="2:9" ht="14.25" customHeight="1">
      <c r="B35" s="39" t="s">
        <v>105</v>
      </c>
      <c r="C35" s="39"/>
      <c r="D35" s="39"/>
      <c r="E35" s="39"/>
      <c r="F35" s="39"/>
      <c r="G35" s="39"/>
      <c r="H35" s="39"/>
      <c r="I35" s="39"/>
    </row>
    <row r="36" spans="2:9" ht="14.25" customHeight="1">
      <c r="B36" s="40" t="s">
        <v>336</v>
      </c>
      <c r="C36" s="40"/>
      <c r="D36" s="40"/>
      <c r="E36" s="40"/>
      <c r="F36" s="41" t="s">
        <v>337</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c r="C45" s="13"/>
      <c r="D45" s="13"/>
      <c r="E45" s="13"/>
      <c r="F45" s="13"/>
      <c r="G45" s="38"/>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I50"/>
  <sheetViews>
    <sheetView topLeftCell="A10"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338</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339</v>
      </c>
      <c r="E12" s="61"/>
      <c r="F12" s="61"/>
      <c r="G12" s="61"/>
      <c r="H12" s="61"/>
      <c r="I12" s="61"/>
    </row>
    <row r="13" spans="2:9" ht="15" customHeight="1">
      <c r="B13" s="53" t="s">
        <v>92</v>
      </c>
      <c r="C13" s="53"/>
      <c r="D13" s="54" t="s">
        <v>340</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341</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342</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302</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343</v>
      </c>
      <c r="C36" s="40"/>
      <c r="D36" s="40"/>
      <c r="E36" s="40"/>
      <c r="F36" s="41" t="s">
        <v>344</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315</v>
      </c>
      <c r="F45" s="13" t="s">
        <v>316</v>
      </c>
      <c r="G45" s="38" t="s">
        <v>345</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I50"/>
  <sheetViews>
    <sheetView topLeftCell="A10"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346</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347</v>
      </c>
      <c r="E12" s="61"/>
      <c r="F12" s="61"/>
      <c r="G12" s="61"/>
      <c r="H12" s="61"/>
      <c r="I12" s="61"/>
    </row>
    <row r="13" spans="2:9" ht="15" customHeight="1">
      <c r="B13" s="53" t="s">
        <v>92</v>
      </c>
      <c r="C13" s="53"/>
      <c r="D13" s="54" t="s">
        <v>348</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349</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350</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351</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352</v>
      </c>
      <c r="C36" s="40"/>
      <c r="D36" s="40"/>
      <c r="E36" s="40"/>
      <c r="F36" s="41" t="s">
        <v>353</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315</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I50"/>
  <sheetViews>
    <sheetView topLeftCell="A14"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354</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355</v>
      </c>
      <c r="E12" s="61"/>
      <c r="F12" s="61"/>
      <c r="G12" s="61"/>
      <c r="H12" s="61"/>
      <c r="I12" s="61"/>
    </row>
    <row r="13" spans="2:9" ht="15" customHeight="1">
      <c r="B13" s="53" t="s">
        <v>92</v>
      </c>
      <c r="C13" s="53"/>
      <c r="D13" s="54" t="s">
        <v>356</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357</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358</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302</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359</v>
      </c>
      <c r="C36" s="40"/>
      <c r="D36" s="40"/>
      <c r="E36" s="40"/>
      <c r="F36" s="41" t="s">
        <v>360</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258</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I50"/>
  <sheetViews>
    <sheetView topLeftCell="A14"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361</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362</v>
      </c>
      <c r="E12" s="61"/>
      <c r="F12" s="61"/>
      <c r="G12" s="61"/>
      <c r="H12" s="61"/>
      <c r="I12" s="61"/>
    </row>
    <row r="13" spans="2:9" ht="15" customHeight="1">
      <c r="B13" s="53" t="s">
        <v>92</v>
      </c>
      <c r="C13" s="53"/>
      <c r="D13" s="54" t="s">
        <v>363</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364</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365</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366</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367</v>
      </c>
      <c r="C36" s="40"/>
      <c r="D36" s="40"/>
      <c r="E36" s="40"/>
      <c r="F36" s="41" t="s">
        <v>368</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315</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I50"/>
  <sheetViews>
    <sheetView topLeftCell="A14" zoomScaleNormal="100" workbookViewId="0"/>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108</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369</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82" t="s">
        <v>370</v>
      </c>
      <c r="E12" s="82"/>
      <c r="F12" s="82"/>
      <c r="G12" s="82"/>
      <c r="H12" s="82"/>
      <c r="I12" s="82"/>
    </row>
    <row r="13" spans="2:9" ht="15" customHeight="1">
      <c r="B13" s="53" t="s">
        <v>92</v>
      </c>
      <c r="C13" s="53"/>
      <c r="D13" s="54" t="s">
        <v>371</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81" t="s">
        <v>372</v>
      </c>
      <c r="E20" s="81"/>
      <c r="F20" s="81"/>
      <c r="G20" s="52"/>
      <c r="H20" s="52"/>
      <c r="I20" s="52"/>
    </row>
    <row r="21" spans="2:9" ht="14.25" customHeight="1">
      <c r="B21" s="51"/>
      <c r="C21" s="51"/>
      <c r="D21" s="81"/>
      <c r="E21" s="81"/>
      <c r="F21" s="81"/>
      <c r="G21" s="52"/>
      <c r="H21" s="52"/>
      <c r="I21" s="52"/>
    </row>
    <row r="22" spans="2:9" ht="14.25" customHeight="1">
      <c r="B22" s="51"/>
      <c r="C22" s="51"/>
      <c r="D22" s="81"/>
      <c r="E22" s="81"/>
      <c r="F22" s="81"/>
      <c r="G22" s="52"/>
      <c r="H22" s="52"/>
      <c r="I22" s="52"/>
    </row>
    <row r="23" spans="2:9" ht="14.25" customHeight="1">
      <c r="B23" s="51"/>
      <c r="C23" s="51"/>
      <c r="D23" s="81"/>
      <c r="E23" s="81"/>
      <c r="F23" s="81"/>
      <c r="G23" s="52"/>
      <c r="H23" s="52"/>
      <c r="I23" s="52"/>
    </row>
    <row r="24" spans="2:9" ht="14.25" customHeight="1">
      <c r="B24" s="51"/>
      <c r="C24" s="51"/>
      <c r="D24" s="81"/>
      <c r="E24" s="81"/>
      <c r="F24" s="81"/>
      <c r="G24" s="52"/>
      <c r="H24" s="52"/>
      <c r="I24" s="52"/>
    </row>
    <row r="25" spans="2:9" ht="14.25" customHeight="1">
      <c r="B25" s="51"/>
      <c r="C25" s="51"/>
      <c r="D25" s="81"/>
      <c r="E25" s="81"/>
      <c r="F25" s="81"/>
      <c r="G25" s="52"/>
      <c r="H25" s="52"/>
      <c r="I25" s="52"/>
    </row>
    <row r="26" spans="2:9" ht="15" customHeight="1">
      <c r="B26" s="51"/>
      <c r="C26" s="51"/>
      <c r="D26" s="81"/>
      <c r="E26" s="81"/>
      <c r="F26" s="81"/>
      <c r="G26" s="52"/>
      <c r="H26" s="52"/>
      <c r="I26" s="52"/>
    </row>
    <row r="27" spans="2:9" ht="15" customHeight="1">
      <c r="B27" s="43" t="s">
        <v>102</v>
      </c>
      <c r="C27" s="43"/>
      <c r="D27" s="43"/>
      <c r="E27" s="43"/>
      <c r="F27" s="43"/>
      <c r="G27" s="43"/>
      <c r="H27" s="43"/>
      <c r="I27" s="43"/>
    </row>
    <row r="28" spans="2:9" ht="14.25" customHeight="1">
      <c r="B28" s="44" t="s">
        <v>373</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374</v>
      </c>
      <c r="G33" s="46"/>
      <c r="H33" s="46"/>
      <c r="I33" s="46"/>
    </row>
    <row r="34" spans="2:9" ht="15" customHeight="1">
      <c r="B34" s="47" t="s">
        <v>104</v>
      </c>
      <c r="C34" s="47"/>
      <c r="D34" s="47"/>
      <c r="E34" s="47"/>
      <c r="F34" s="48" t="s">
        <v>84</v>
      </c>
      <c r="G34" s="48"/>
      <c r="H34" s="27" t="s">
        <v>54</v>
      </c>
      <c r="I34" s="28" t="s">
        <v>186</v>
      </c>
    </row>
    <row r="35" spans="2:9" ht="14.25" customHeight="1">
      <c r="B35" s="39" t="s">
        <v>105</v>
      </c>
      <c r="C35" s="39"/>
      <c r="D35" s="39"/>
      <c r="E35" s="39"/>
      <c r="F35" s="39"/>
      <c r="G35" s="39"/>
      <c r="H35" s="39"/>
      <c r="I35" s="39"/>
    </row>
    <row r="36" spans="2:9" ht="14.25" customHeight="1">
      <c r="B36" s="40" t="s">
        <v>375</v>
      </c>
      <c r="C36" s="40"/>
      <c r="D36" s="40"/>
      <c r="E36" s="40"/>
      <c r="F36" s="41" t="s">
        <v>376</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t="s">
        <v>174</v>
      </c>
      <c r="C45" s="13" t="s">
        <v>377</v>
      </c>
      <c r="D45" s="13" t="s">
        <v>378</v>
      </c>
      <c r="E45" s="13" t="s">
        <v>240</v>
      </c>
      <c r="F45" s="13" t="s">
        <v>379</v>
      </c>
      <c r="G45" s="38" t="s">
        <v>380</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I50"/>
  <sheetViews>
    <sheetView zoomScaleNormal="100" workbookViewId="0">
      <selection activeCell="B35" sqref="B35:I35"/>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115</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8" t="s">
        <v>381</v>
      </c>
      <c r="I9" s="58"/>
    </row>
    <row r="10" spans="2:9" ht="29.25" customHeight="1">
      <c r="B10" s="21" t="s">
        <v>13</v>
      </c>
      <c r="C10" s="22">
        <v>4</v>
      </c>
      <c r="D10" s="23" t="s">
        <v>14</v>
      </c>
      <c r="E10" s="22">
        <v>40</v>
      </c>
      <c r="F10" s="23" t="s">
        <v>15</v>
      </c>
      <c r="G10" s="22">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382</v>
      </c>
      <c r="E12" s="61"/>
      <c r="F12" s="61"/>
      <c r="G12" s="61"/>
      <c r="H12" s="61"/>
      <c r="I12" s="61"/>
    </row>
    <row r="13" spans="2:9" ht="15" customHeight="1">
      <c r="B13" s="53" t="s">
        <v>92</v>
      </c>
      <c r="C13" s="53"/>
      <c r="D13" s="54" t="s">
        <v>383</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384</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5"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385</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15" customHeight="1">
      <c r="B32" s="44"/>
      <c r="C32" s="44"/>
      <c r="D32" s="44"/>
      <c r="E32" s="44"/>
      <c r="F32" s="44"/>
      <c r="G32" s="44"/>
      <c r="H32" s="44"/>
      <c r="I32" s="44"/>
    </row>
    <row r="33" spans="2:9" ht="34.5" customHeight="1">
      <c r="B33" s="45" t="s">
        <v>103</v>
      </c>
      <c r="C33" s="45"/>
      <c r="D33" s="45"/>
      <c r="E33" s="45"/>
      <c r="F33" s="46" t="s">
        <v>302</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386</v>
      </c>
      <c r="C36" s="40"/>
      <c r="D36" s="40"/>
      <c r="E36" s="40"/>
      <c r="F36" s="41" t="s">
        <v>387</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1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35">
        <v>45771</v>
      </c>
      <c r="D45" s="13" t="s">
        <v>314</v>
      </c>
      <c r="E45" s="13" t="s">
        <v>315</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I50"/>
  <sheetViews>
    <sheetView tabSelected="1" zoomScaleNormal="100" workbookViewId="0">
      <selection activeCell="G10" sqref="G10"/>
    </sheetView>
  </sheetViews>
  <sheetFormatPr defaultColWidth="10.85546875" defaultRowHeight="15"/>
  <cols>
    <col min="1" max="1" width="3.140625" style="3" customWidth="1"/>
    <col min="2" max="2" width="14.28515625" style="3" customWidth="1"/>
    <col min="3" max="3" width="11.28515625" style="3" customWidth="1"/>
    <col min="4" max="4" width="12.28515625" style="3" customWidth="1"/>
    <col min="5" max="5" width="10.140625" style="3" customWidth="1"/>
    <col min="6" max="7" width="10.85546875" style="3"/>
    <col min="8" max="8" width="9.85546875" style="3" customWidth="1"/>
    <col min="9" max="9" width="16.7109375" style="3" customWidth="1"/>
    <col min="10" max="16384" width="10.85546875" style="3"/>
  </cols>
  <sheetData>
    <row r="1" spans="2:9" ht="15" customHeight="1">
      <c r="C1" s="4"/>
      <c r="D1" s="4"/>
      <c r="E1" s="4"/>
      <c r="F1" s="4"/>
      <c r="G1" s="4"/>
      <c r="H1" s="4"/>
    </row>
    <row r="2" spans="2:9" ht="22.5" customHeight="1">
      <c r="B2" s="62"/>
      <c r="C2" s="63" t="s">
        <v>0</v>
      </c>
      <c r="D2" s="63"/>
      <c r="E2" s="63"/>
      <c r="F2" s="63"/>
      <c r="G2" s="63"/>
      <c r="H2" s="63"/>
      <c r="I2" s="5" t="s">
        <v>85</v>
      </c>
    </row>
    <row r="3" spans="2:9" ht="20.25" customHeight="1">
      <c r="B3" s="62"/>
      <c r="C3" s="63"/>
      <c r="D3" s="63"/>
      <c r="E3" s="63"/>
      <c r="F3" s="63"/>
      <c r="G3" s="63"/>
      <c r="H3" s="63"/>
      <c r="I3" s="6" t="s">
        <v>2</v>
      </c>
    </row>
    <row r="4" spans="2:9" ht="21" customHeight="1">
      <c r="B4" s="64" t="s">
        <v>3</v>
      </c>
      <c r="C4" s="64"/>
      <c r="D4" s="64"/>
      <c r="E4" s="64"/>
      <c r="F4" s="64"/>
      <c r="G4" s="64"/>
      <c r="H4" s="64"/>
      <c r="I4" s="7" t="s">
        <v>86</v>
      </c>
    </row>
    <row r="5" spans="2:9" ht="15" customHeight="1">
      <c r="B5" s="65"/>
      <c r="C5" s="65"/>
      <c r="D5" s="65"/>
      <c r="E5" s="65"/>
      <c r="F5" s="65"/>
      <c r="G5" s="65"/>
      <c r="H5" s="65"/>
      <c r="I5" s="65"/>
    </row>
    <row r="6" spans="2:9" ht="14.25" customHeight="1">
      <c r="B6" s="66" t="s">
        <v>5</v>
      </c>
      <c r="C6" s="66"/>
      <c r="D6" s="66"/>
      <c r="E6" s="66"/>
      <c r="F6" s="66"/>
      <c r="G6" s="66"/>
      <c r="H6" s="66"/>
      <c r="I6" s="66"/>
    </row>
    <row r="7" spans="2:9" ht="43.5" customHeight="1">
      <c r="B7" s="17" t="s">
        <v>6</v>
      </c>
      <c r="C7" s="1">
        <v>2025</v>
      </c>
      <c r="D7" s="9" t="s">
        <v>7</v>
      </c>
      <c r="E7" s="1" t="s">
        <v>128</v>
      </c>
      <c r="F7" s="9" t="s">
        <v>8</v>
      </c>
      <c r="G7" s="1"/>
      <c r="H7" s="9" t="s">
        <v>9</v>
      </c>
      <c r="I7" s="18" t="s">
        <v>115</v>
      </c>
    </row>
    <row r="8" spans="2:9" ht="28.5" customHeight="1">
      <c r="B8" s="17" t="s">
        <v>87</v>
      </c>
      <c r="C8" s="8" t="s">
        <v>19</v>
      </c>
      <c r="D8" s="9"/>
      <c r="E8" s="8" t="s">
        <v>20</v>
      </c>
      <c r="F8" s="9" t="s">
        <v>130</v>
      </c>
      <c r="G8" s="9" t="s">
        <v>88</v>
      </c>
      <c r="H8" s="57"/>
      <c r="I8" s="57"/>
    </row>
    <row r="9" spans="2:9" ht="43.5" customHeight="1">
      <c r="B9" s="19" t="s">
        <v>89</v>
      </c>
      <c r="C9" s="20" t="s">
        <v>114</v>
      </c>
      <c r="D9" s="8" t="s">
        <v>65</v>
      </c>
      <c r="E9" s="58" t="s">
        <v>250</v>
      </c>
      <c r="F9" s="58"/>
      <c r="G9" s="9" t="s">
        <v>12</v>
      </c>
      <c r="H9" s="59" t="s">
        <v>388</v>
      </c>
      <c r="I9" s="59"/>
    </row>
    <row r="10" spans="2:9" ht="29.25" customHeight="1">
      <c r="B10" s="21" t="s">
        <v>13</v>
      </c>
      <c r="C10" s="22">
        <v>4</v>
      </c>
      <c r="D10" s="23" t="s">
        <v>14</v>
      </c>
      <c r="E10" s="22">
        <v>40</v>
      </c>
      <c r="F10" s="23" t="s">
        <v>15</v>
      </c>
      <c r="G10" s="83">
        <v>152</v>
      </c>
      <c r="H10" s="23" t="s">
        <v>16</v>
      </c>
      <c r="I10" s="24">
        <f>E10+G10</f>
        <v>192</v>
      </c>
    </row>
    <row r="11" spans="2:9" ht="14.25" customHeight="1">
      <c r="B11" s="39" t="s">
        <v>90</v>
      </c>
      <c r="C11" s="39"/>
      <c r="D11" s="39"/>
      <c r="E11" s="39"/>
      <c r="F11" s="39"/>
      <c r="G11" s="39"/>
      <c r="H11" s="39"/>
      <c r="I11" s="39"/>
    </row>
    <row r="12" spans="2:9" ht="31.5" customHeight="1">
      <c r="B12" s="60" t="s">
        <v>91</v>
      </c>
      <c r="C12" s="60"/>
      <c r="D12" s="61" t="s">
        <v>389</v>
      </c>
      <c r="E12" s="61"/>
      <c r="F12" s="61"/>
      <c r="G12" s="61"/>
      <c r="H12" s="61"/>
      <c r="I12" s="61"/>
    </row>
    <row r="13" spans="2:9" ht="15" customHeight="1">
      <c r="B13" s="53" t="s">
        <v>92</v>
      </c>
      <c r="C13" s="53"/>
      <c r="D13" s="54" t="s">
        <v>390</v>
      </c>
      <c r="E13" s="54"/>
      <c r="F13" s="54"/>
      <c r="G13" s="54"/>
      <c r="H13" s="54"/>
      <c r="I13" s="54"/>
    </row>
    <row r="14" spans="2:9" ht="14.25" customHeight="1">
      <c r="B14" s="39" t="s">
        <v>93</v>
      </c>
      <c r="C14" s="39"/>
      <c r="D14" s="39"/>
      <c r="E14" s="39"/>
      <c r="F14" s="39"/>
      <c r="G14" s="39"/>
      <c r="H14" s="39"/>
      <c r="I14" s="39"/>
    </row>
    <row r="15" spans="2:9" ht="14.25" customHeight="1">
      <c r="B15" s="55" t="s">
        <v>94</v>
      </c>
      <c r="C15" s="55"/>
      <c r="D15" s="55"/>
      <c r="E15" s="55"/>
      <c r="F15" s="55"/>
      <c r="G15" s="55"/>
      <c r="H15" s="55"/>
      <c r="I15" s="55"/>
    </row>
    <row r="16" spans="2:9" ht="14.25" customHeight="1">
      <c r="B16" s="55"/>
      <c r="C16" s="55"/>
      <c r="D16" s="55"/>
      <c r="E16" s="55"/>
      <c r="F16" s="55"/>
      <c r="G16" s="55"/>
      <c r="H16" s="55"/>
      <c r="I16" s="55"/>
    </row>
    <row r="17" spans="2:9" ht="15" customHeight="1">
      <c r="B17" s="55"/>
      <c r="C17" s="55"/>
      <c r="D17" s="55"/>
      <c r="E17" s="55"/>
      <c r="F17" s="55"/>
      <c r="G17" s="55"/>
      <c r="H17" s="55"/>
      <c r="I17" s="55"/>
    </row>
    <row r="18" spans="2:9" ht="15" customHeight="1">
      <c r="B18" s="56" t="s">
        <v>95</v>
      </c>
      <c r="C18" s="56"/>
      <c r="D18" s="56"/>
      <c r="E18" s="56"/>
      <c r="F18" s="56"/>
      <c r="G18" s="56"/>
      <c r="H18" s="56"/>
      <c r="I18" s="56"/>
    </row>
    <row r="19" spans="2:9" ht="14.25" customHeight="1">
      <c r="B19" s="2" t="s">
        <v>96</v>
      </c>
      <c r="C19" s="25" t="s">
        <v>97</v>
      </c>
      <c r="D19" s="2" t="s">
        <v>98</v>
      </c>
      <c r="E19" s="49" t="s">
        <v>99</v>
      </c>
      <c r="F19" s="49"/>
      <c r="G19" s="26" t="s">
        <v>100</v>
      </c>
      <c r="H19" s="50" t="s">
        <v>101</v>
      </c>
      <c r="I19" s="50"/>
    </row>
    <row r="20" spans="2:9" ht="14.25" customHeight="1">
      <c r="B20" s="51"/>
      <c r="C20" s="51"/>
      <c r="D20" s="51" t="s">
        <v>391</v>
      </c>
      <c r="E20" s="51"/>
      <c r="F20" s="51"/>
      <c r="G20" s="52"/>
      <c r="H20" s="52"/>
      <c r="I20" s="52"/>
    </row>
    <row r="21" spans="2:9" ht="14.25" customHeight="1">
      <c r="B21" s="51"/>
      <c r="C21" s="51"/>
      <c r="D21" s="51"/>
      <c r="E21" s="51"/>
      <c r="F21" s="51"/>
      <c r="G21" s="52"/>
      <c r="H21" s="52"/>
      <c r="I21" s="52"/>
    </row>
    <row r="22" spans="2:9" ht="14.25" customHeight="1">
      <c r="B22" s="51"/>
      <c r="C22" s="51"/>
      <c r="D22" s="51"/>
      <c r="E22" s="51"/>
      <c r="F22" s="51"/>
      <c r="G22" s="52"/>
      <c r="H22" s="52"/>
      <c r="I22" s="52"/>
    </row>
    <row r="23" spans="2:9" ht="14.25" customHeight="1">
      <c r="B23" s="51"/>
      <c r="C23" s="51"/>
      <c r="D23" s="51"/>
      <c r="E23" s="51"/>
      <c r="F23" s="51"/>
      <c r="G23" s="52"/>
      <c r="H23" s="52"/>
      <c r="I23" s="52"/>
    </row>
    <row r="24" spans="2:9" ht="14.25" customHeight="1">
      <c r="B24" s="51"/>
      <c r="C24" s="51"/>
      <c r="D24" s="51"/>
      <c r="E24" s="51"/>
      <c r="F24" s="51"/>
      <c r="G24" s="52"/>
      <c r="H24" s="52"/>
      <c r="I24" s="52"/>
    </row>
    <row r="25" spans="2:9" ht="14.25" customHeight="1">
      <c r="B25" s="51"/>
      <c r="C25" s="51"/>
      <c r="D25" s="51"/>
      <c r="E25" s="51"/>
      <c r="F25" s="51"/>
      <c r="G25" s="52"/>
      <c r="H25" s="52"/>
      <c r="I25" s="52"/>
    </row>
    <row r="26" spans="2:9" ht="102" customHeight="1">
      <c r="B26" s="51"/>
      <c r="C26" s="51"/>
      <c r="D26" s="51"/>
      <c r="E26" s="51"/>
      <c r="F26" s="51"/>
      <c r="G26" s="52"/>
      <c r="H26" s="52"/>
      <c r="I26" s="52"/>
    </row>
    <row r="27" spans="2:9" ht="15" customHeight="1">
      <c r="B27" s="43" t="s">
        <v>102</v>
      </c>
      <c r="C27" s="43"/>
      <c r="D27" s="43"/>
      <c r="E27" s="43"/>
      <c r="F27" s="43"/>
      <c r="G27" s="43"/>
      <c r="H27" s="43"/>
      <c r="I27" s="43"/>
    </row>
    <row r="28" spans="2:9" ht="14.25" customHeight="1">
      <c r="B28" s="44" t="s">
        <v>392</v>
      </c>
      <c r="C28" s="44"/>
      <c r="D28" s="44"/>
      <c r="E28" s="44"/>
      <c r="F28" s="44"/>
      <c r="G28" s="44"/>
      <c r="H28" s="44"/>
      <c r="I28" s="44"/>
    </row>
    <row r="29" spans="2:9" ht="14.25" customHeight="1">
      <c r="B29" s="44"/>
      <c r="C29" s="44"/>
      <c r="D29" s="44"/>
      <c r="E29" s="44"/>
      <c r="F29" s="44"/>
      <c r="G29" s="44"/>
      <c r="H29" s="44"/>
      <c r="I29" s="44"/>
    </row>
    <row r="30" spans="2:9" ht="14.25" customHeight="1">
      <c r="B30" s="44"/>
      <c r="C30" s="44"/>
      <c r="D30" s="44"/>
      <c r="E30" s="44"/>
      <c r="F30" s="44"/>
      <c r="G30" s="44"/>
      <c r="H30" s="44"/>
      <c r="I30" s="44"/>
    </row>
    <row r="31" spans="2:9" ht="14.25" customHeight="1">
      <c r="B31" s="44"/>
      <c r="C31" s="44"/>
      <c r="D31" s="44"/>
      <c r="E31" s="44"/>
      <c r="F31" s="44"/>
      <c r="G31" s="44"/>
      <c r="H31" s="44"/>
      <c r="I31" s="44"/>
    </row>
    <row r="32" spans="2:9" ht="37.5" customHeight="1">
      <c r="B32" s="44"/>
      <c r="C32" s="44"/>
      <c r="D32" s="44"/>
      <c r="E32" s="44"/>
      <c r="F32" s="44"/>
      <c r="G32" s="44"/>
      <c r="H32" s="44"/>
      <c r="I32" s="44"/>
    </row>
    <row r="33" spans="2:9" ht="34.5" customHeight="1">
      <c r="B33" s="45" t="s">
        <v>103</v>
      </c>
      <c r="C33" s="45"/>
      <c r="D33" s="45"/>
      <c r="E33" s="45"/>
      <c r="F33" s="46" t="s">
        <v>393</v>
      </c>
      <c r="G33" s="46"/>
      <c r="H33" s="46"/>
      <c r="I33" s="46"/>
    </row>
    <row r="34" spans="2:9" ht="15" customHeight="1">
      <c r="B34" s="47" t="s">
        <v>104</v>
      </c>
      <c r="C34" s="47"/>
      <c r="D34" s="47"/>
      <c r="E34" s="47"/>
      <c r="F34" s="48" t="s">
        <v>84</v>
      </c>
      <c r="G34" s="48"/>
      <c r="H34" s="27" t="s">
        <v>54</v>
      </c>
      <c r="I34" s="36">
        <v>0.2</v>
      </c>
    </row>
    <row r="35" spans="2:9" ht="14.25" customHeight="1">
      <c r="B35" s="39" t="s">
        <v>105</v>
      </c>
      <c r="C35" s="39"/>
      <c r="D35" s="39"/>
      <c r="E35" s="39"/>
      <c r="F35" s="39"/>
      <c r="G35" s="39"/>
      <c r="H35" s="39"/>
      <c r="I35" s="39"/>
    </row>
    <row r="36" spans="2:9" ht="14.25" customHeight="1">
      <c r="B36" s="40" t="s">
        <v>394</v>
      </c>
      <c r="C36" s="40"/>
      <c r="D36" s="40"/>
      <c r="E36" s="40"/>
      <c r="F36" s="41" t="s">
        <v>395</v>
      </c>
      <c r="G36" s="41"/>
      <c r="H36" s="41"/>
      <c r="I36" s="41"/>
    </row>
    <row r="37" spans="2:9" ht="14.25" customHeight="1">
      <c r="B37" s="40"/>
      <c r="C37" s="40"/>
      <c r="D37" s="40"/>
      <c r="E37" s="40"/>
      <c r="F37" s="41"/>
      <c r="G37" s="41"/>
      <c r="H37" s="41"/>
      <c r="I37" s="41"/>
    </row>
    <row r="38" spans="2:9" ht="14.25" customHeight="1">
      <c r="B38" s="40"/>
      <c r="C38" s="40"/>
      <c r="D38" s="40"/>
      <c r="E38" s="40"/>
      <c r="F38" s="41"/>
      <c r="G38" s="41"/>
      <c r="H38" s="41"/>
      <c r="I38" s="41"/>
    </row>
    <row r="39" spans="2:9" ht="14.25" customHeight="1">
      <c r="B39" s="40"/>
      <c r="C39" s="40"/>
      <c r="D39" s="40"/>
      <c r="E39" s="40"/>
      <c r="F39" s="41"/>
      <c r="G39" s="41"/>
      <c r="H39" s="41"/>
      <c r="I39" s="41"/>
    </row>
    <row r="40" spans="2:9" ht="14.25" customHeight="1">
      <c r="B40" s="40"/>
      <c r="C40" s="40"/>
      <c r="D40" s="40"/>
      <c r="E40" s="40"/>
      <c r="F40" s="41"/>
      <c r="G40" s="41"/>
      <c r="H40" s="41"/>
      <c r="I40" s="41"/>
    </row>
    <row r="41" spans="2:9" ht="14.25" customHeight="1">
      <c r="B41" s="40"/>
      <c r="C41" s="40"/>
      <c r="D41" s="40"/>
      <c r="E41" s="40"/>
      <c r="F41" s="41"/>
      <c r="G41" s="41"/>
      <c r="H41" s="41"/>
      <c r="I41" s="41"/>
    </row>
    <row r="42" spans="2:9" ht="96.75" customHeight="1">
      <c r="B42" s="40"/>
      <c r="C42" s="40"/>
      <c r="D42" s="40"/>
      <c r="E42" s="40"/>
      <c r="F42" s="41"/>
      <c r="G42" s="41"/>
      <c r="H42" s="41"/>
      <c r="I42" s="41"/>
    </row>
    <row r="43" spans="2:9" ht="14.25" customHeight="1">
      <c r="B43" s="39" t="s">
        <v>106</v>
      </c>
      <c r="C43" s="39"/>
      <c r="D43" s="39"/>
      <c r="E43" s="39"/>
      <c r="F43" s="39"/>
      <c r="G43" s="39"/>
      <c r="H43" s="39"/>
      <c r="I43" s="39"/>
    </row>
    <row r="44" spans="2:9" ht="14.25" customHeight="1">
      <c r="B44" s="29" t="s">
        <v>59</v>
      </c>
      <c r="C44" s="11" t="s">
        <v>60</v>
      </c>
      <c r="D44" s="11" t="s">
        <v>107</v>
      </c>
      <c r="E44" s="11" t="s">
        <v>62</v>
      </c>
      <c r="F44" s="11" t="s">
        <v>63</v>
      </c>
      <c r="G44" s="42" t="s">
        <v>64</v>
      </c>
      <c r="H44" s="42"/>
      <c r="I44" s="42"/>
    </row>
    <row r="45" spans="2:9" ht="14.25" customHeight="1">
      <c r="B45" s="30">
        <v>0</v>
      </c>
      <c r="C45" s="13" t="s">
        <v>396</v>
      </c>
      <c r="D45" s="13" t="s">
        <v>314</v>
      </c>
      <c r="E45" s="13" t="s">
        <v>315</v>
      </c>
      <c r="F45" s="13" t="s">
        <v>316</v>
      </c>
      <c r="G45" s="38" t="s">
        <v>296</v>
      </c>
      <c r="H45" s="38"/>
      <c r="I45" s="38"/>
    </row>
    <row r="46" spans="2:9" ht="14.25" customHeight="1">
      <c r="B46" s="30"/>
      <c r="C46" s="13"/>
      <c r="D46" s="13"/>
      <c r="E46" s="13"/>
      <c r="F46" s="13"/>
      <c r="G46" s="38"/>
      <c r="H46" s="38"/>
      <c r="I46" s="38"/>
    </row>
    <row r="47" spans="2:9" ht="14.25" customHeight="1">
      <c r="B47" s="30"/>
      <c r="C47" s="13"/>
      <c r="D47" s="13"/>
      <c r="E47" s="13"/>
      <c r="F47" s="13"/>
      <c r="G47" s="38"/>
      <c r="H47" s="38"/>
      <c r="I47" s="38"/>
    </row>
    <row r="48" spans="2:9" ht="14.25" customHeight="1">
      <c r="B48" s="30"/>
      <c r="C48" s="13"/>
      <c r="D48" s="13"/>
      <c r="E48" s="13"/>
      <c r="F48" s="13"/>
      <c r="G48" s="38"/>
      <c r="H48" s="38"/>
      <c r="I48" s="38"/>
    </row>
    <row r="49" spans="2:9" ht="14.25" customHeight="1">
      <c r="B49" s="30"/>
      <c r="C49" s="13"/>
      <c r="D49" s="13"/>
      <c r="E49" s="13"/>
      <c r="F49" s="13"/>
      <c r="G49" s="38"/>
      <c r="H49" s="38"/>
      <c r="I49" s="38"/>
    </row>
    <row r="50" spans="2:9" ht="15" customHeight="1">
      <c r="B50" s="31"/>
      <c r="C50" s="32"/>
      <c r="D50" s="32"/>
      <c r="E50" s="32"/>
      <c r="F50" s="32"/>
      <c r="G50" s="37"/>
      <c r="H50" s="37"/>
      <c r="I50" s="37"/>
    </row>
  </sheetData>
  <mergeCells count="38">
    <mergeCell ref="B2:B3"/>
    <mergeCell ref="C2:H3"/>
    <mergeCell ref="B4:H4"/>
    <mergeCell ref="B5:I5"/>
    <mergeCell ref="B6:I6"/>
    <mergeCell ref="H8:I8"/>
    <mergeCell ref="E9:F9"/>
    <mergeCell ref="H9:I9"/>
    <mergeCell ref="B11:I11"/>
    <mergeCell ref="B12:C12"/>
    <mergeCell ref="D12:I12"/>
    <mergeCell ref="B13:C13"/>
    <mergeCell ref="D13:I13"/>
    <mergeCell ref="B14:I14"/>
    <mergeCell ref="B15:I17"/>
    <mergeCell ref="B18:I18"/>
    <mergeCell ref="E19:F19"/>
    <mergeCell ref="H19:I19"/>
    <mergeCell ref="B20:C26"/>
    <mergeCell ref="D20:F26"/>
    <mergeCell ref="G20:I26"/>
    <mergeCell ref="B27:I27"/>
    <mergeCell ref="B28:I32"/>
    <mergeCell ref="B33:E33"/>
    <mergeCell ref="F33:I33"/>
    <mergeCell ref="B34:E34"/>
    <mergeCell ref="F34:G34"/>
    <mergeCell ref="B35:I35"/>
    <mergeCell ref="B36:E42"/>
    <mergeCell ref="F36:I42"/>
    <mergeCell ref="B43:I43"/>
    <mergeCell ref="G44:I44"/>
    <mergeCell ref="G50:I50"/>
    <mergeCell ref="G45:I45"/>
    <mergeCell ref="G46:I46"/>
    <mergeCell ref="G47:I47"/>
    <mergeCell ref="G48:I48"/>
    <mergeCell ref="G49:I49"/>
  </mergeCells>
  <pageMargins left="0.25" right="0.25"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ANDREA ESTEFANIA BERMUDEZ RAMIREZ</cp:lastModifiedBy>
  <cp:revision>0</cp:revision>
  <dcterms:created xsi:type="dcterms:W3CDTF">2025-08-27T15:39:23Z</dcterms:created>
  <dcterms:modified xsi:type="dcterms:W3CDTF">2026-09-23T15:50:58Z</dcterms:modified>
  <cp:category/>
  <cp:contentStatus/>
</cp:coreProperties>
</file>