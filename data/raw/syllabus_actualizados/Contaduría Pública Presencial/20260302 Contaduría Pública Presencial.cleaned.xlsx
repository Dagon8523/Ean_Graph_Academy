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codeName="ThisWorkbook" defaultThemeVersion="166925"/>
  <mc:AlternateContent xmlns:mc="http://schemas.openxmlformats.org/markup-compatibility/2006">
    <mc:Choice Requires="x15">
      <x15ac:absPath xmlns:x15ac="http://schemas.microsoft.com/office/spreadsheetml/2010/11/ac" url="https://universidadeaneduco-my.sharepoint.com/personal/hacanon_universidadean_edu_co/Documents/Coordinación Finanzas/Syllabus/2026S1/Envío marzo 02/"/>
    </mc:Choice>
  </mc:AlternateContent>
  <xr:revisionPtr revIDLastSave="130" documentId="11_6991B3BE446228FA5D0C8359509DFD529F583F79" xr6:coauthVersionLast="47" xr6:coauthVersionMax="47" xr10:uidLastSave="{204AE7B5-9633-4300-84F1-DB0E9620FE4E}"/>
  <bookViews>
    <workbookView xWindow="-110" yWindow="-110" windowWidth="19420" windowHeight="10300" firstSheet="6" activeTab="12" xr2:uid="{00000000-000D-0000-FFFF-FFFF00000000}"/>
  </bookViews>
  <sheets>
    <sheet name="Indice" sheetId="24" r:id="rId1"/>
    <sheet name="Formato Syllabus" sheetId="1" state="hidden" r:id="rId2"/>
    <sheet name="Formato Syllabus_NV" sheetId="3" state="hidden" r:id="rId3"/>
    <sheet name="Parámetros" sheetId="2" r:id="rId4"/>
    <sheet name="Business and Technology" sheetId="6" r:id="rId5"/>
    <sheet name="Business financial optimization" sheetId="7" r:id="rId6"/>
    <sheet name="Financial accounting for operat" sheetId="8" r:id="rId7"/>
    <sheet name="Financial accounting for invest" sheetId="9" r:id="rId8"/>
    <sheet name="Corporate Taxes" sheetId="10" r:id="rId9"/>
    <sheet name="Legal System" sheetId="11" r:id="rId10"/>
    <sheet name="Performance Management" sheetId="12" r:id="rId11"/>
    <sheet name="Tax Management" sheetId="13" r:id="rId12"/>
    <sheet name="Regulations for Companies" sheetId="14" r:id="rId13"/>
    <sheet name="Financial Information for Value" sheetId="15" r:id="rId14"/>
    <sheet name="Financial Information for Busin" sheetId="16" r:id="rId15"/>
    <sheet name="Internal Control and Essential " sheetId="17" r:id="rId16"/>
    <sheet name="Trustfulness on Business Inform" sheetId="18" r:id="rId17"/>
    <sheet name="Fintech Strategies for Business" sheetId="19" r:id="rId18"/>
    <sheet name="Financial Management" sheetId="20" r:id="rId19"/>
    <sheet name="New Public Financial Management" sheetId="21" r:id="rId20"/>
    <sheet name="Laboratorio Contable" sheetId="22" r:id="rId21"/>
    <sheet name="Dinero y Finanzas" sheetId="23" r:id="rId22"/>
  </sheets>
  <definedNames>
    <definedName name="opcion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1" l="1"/>
  <c r="I9" i="3"/>
</calcChain>
</file>

<file path=xl/sharedStrings.xml><?xml version="1.0" encoding="utf-8"?>
<sst xmlns="http://schemas.openxmlformats.org/spreadsheetml/2006/main" count="1318" uniqueCount="307">
  <si>
    <t>INDICE DE HOJAS</t>
  </si>
  <si>
    <t>Business and Technology</t>
  </si>
  <si>
    <t>Business financial optimization</t>
  </si>
  <si>
    <t>Financial accounting for operat</t>
  </si>
  <si>
    <t>Financial accounting for invest</t>
  </si>
  <si>
    <t>Corporate Taxes</t>
  </si>
  <si>
    <t>Legal System</t>
  </si>
  <si>
    <t>Performance Management</t>
  </si>
  <si>
    <t>Tax Management</t>
  </si>
  <si>
    <t>Regulations for Companies</t>
  </si>
  <si>
    <t>Financial Information for Value</t>
  </si>
  <si>
    <t>Financial Information for Busin</t>
  </si>
  <si>
    <t xml:space="preserve">Internal Control and Essential </t>
  </si>
  <si>
    <t>Trustfulness on Business Inform</t>
  </si>
  <si>
    <t>Fintech Strategies for Business</t>
  </si>
  <si>
    <t>Financial Management</t>
  </si>
  <si>
    <t>New Public Financial Management</t>
  </si>
  <si>
    <t>Laboratorio Contable</t>
  </si>
  <si>
    <t>Dinero y Finanzas</t>
  </si>
  <si>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</si>
  <si>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</si>
  <si>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</si>
  <si>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</si>
  <si>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</si>
  <si>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</si>
  <si>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</si>
  <si>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</si>
  <si>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</si>
  <si>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</si>
  <si>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</si>
  <si>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</si>
  <si>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</si>
  <si>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</si>
  <si>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</si>
  <si>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</si>
  <si>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</si>
  <si>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</si>
  <si>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</si>
  <si>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</si>
  <si>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</si>
  <si>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</si>
  <si>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</si>
  <si>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</si>
  <si>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</si>
  <si>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</si>
  <si>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</si>
  <si>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</si>
  <si>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</si>
  <si>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</si>
  <si>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</si>
  <si>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</si>
  <si>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</si>
  <si>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</si>
  <si>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</si>
  <si>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</si>
  <si>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</si>
  <si>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</si>
  <si>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</si>
  <si>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</si>
  <si>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</si>
  <si>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</si>
  <si>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</si>
  <si>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</si>
  <si>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</si>
  <si>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</si>
  <si>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</si>
  <si>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</si>
  <si>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</si>
  <si>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</si>
  <si>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</si>
  <si>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</si>
  <si>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</si>
  <si>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</si>
  <si>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</si>
  <si>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</si>
  <si>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</si>
  <si>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</si>
  <si>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</si>
  <si>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</si>
  <si>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</si>
  <si>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</si>
  <si>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</si>
  <si>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</si>
  <si>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</si>
  <si>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</si>
  <si>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</si>
  <si>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</si>
  <si>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</si>
  <si>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</si>
  <si>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</si>
  <si>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</si>
  <si>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</si>
  <si>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</si>
  <si>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</si>
  <si>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</si>
  <si>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</si>
  <si>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</si>
  <si>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</si>
  <si>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</si>
  <si>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</si>
  <si>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</si>
  <si>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</si>
  <si>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</si>
  <si>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</si>
  <si>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Nuclear</t>
  </si>
  <si>
    <t>FAFCE</t>
  </si>
  <si>
    <t>Posgrado</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</si>
  <si>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</si>
  <si>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</si>
  <si>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</si>
  <si>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</si>
  <si>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</si>
  <si>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</si>
  <si>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</si>
  <si>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</si>
  <si>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</si>
  <si>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</si>
  <si>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</si>
  <si>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</si>
  <si>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</si>
  <si>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</si>
  <si>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</si>
  <si>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</si>
  <si>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</si>
  <si>
    <t>Versión:  1</t>
  </si>
  <si>
    <t>Fecha: 17/Feb/2026</t>
  </si>
  <si>
    <t>PFPCPUBOG001</t>
  </si>
  <si>
    <t>AFPN0088</t>
  </si>
  <si>
    <t>Modalidad</t>
  </si>
  <si>
    <t>X</t>
  </si>
  <si>
    <t>Presencial y Virtual</t>
  </si>
  <si>
    <t xml:space="preserve">Nivel </t>
  </si>
  <si>
    <t>Contaduría Pública</t>
  </si>
  <si>
    <t>2.	Descripción  Resultados de Aprendizaje.</t>
  </si>
  <si>
    <t>Descripción de la unidad de estudio</t>
  </si>
  <si>
    <t>Esta unidad perteneciente al Programa de Contaduría Pública, está orientado a proporcionar en los estudiantes conocimiento y comprensión de la empresa y su entorno, la influencia de estos aspectos sobre la estructuran que adoptan las organizaciones, el papel del Contador Público y la contabilidad, y otras funciones empresariales clave para contribuir a la gestión eficiente y ética en el desarrollo de una organización, el talento humano y sus sistemas de información. En esta unidad de estudio el estudiante profundizará en aspectos como el propósito y los tipos de empresas, la forma cómo interactúan con los agentes interesados, comprenderá la estructura de organización de las empresas, las funciones y el papel del gobierno corporativo. De igual forma le permitirá reconocer la función de la contabilidad y la auditoría en la comunicación, presentación de informes y aseguramiento de la información financiera, en el control y el cumplimiento efectivo de los propósitos financieros. Otros aspectos a estudiar tienen que ver con los principios de autoridad y liderazgo, la forma como los equipos y los individuos son reclutados, gestionados, y motivados. Lo anterior como preámbulo para entender la importancia de la efectividad personal como base para un comportamiento efectivo de los equipos de trabajo en las organizaciones. Habrá un espacio para discutir aspectos relacionados con las formas de pensamiento que históricamente y en la actualidad han influenciado el desarrollo de la contabilidad como disciplina de conocimiento científico. También se abordará aspectos sobre el cumplimiento del espíritu de la ética profesional en los negocios y las finanzas.</t>
  </si>
  <si>
    <t>Resultado de Aprendizaje</t>
  </si>
  <si>
    <t>Analiza el entorno integral de los negocios y su influencia en las estructuras organizacionales, así como en el rol de la contabilidad y de otras funciones claves de las empresas, para contribuir a la eficiencia y eficacia de una gestión ética y sostenible, que permita el desarrollo de las organizaciones y de su gente, procurando la interacción constante con nuevas tecnologías de tratamiento y análisis de la información.</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</si>
  <si>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</si>
  <si>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</si>
  <si>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</si>
  <si>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</si>
  <si>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</si>
  <si>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</si>
  <si>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</si>
  <si>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</si>
  <si>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</si>
  <si>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A. La organización empresarial, sus stakeholders y el entorno externo B. Estructura organizacional, funciones y gobierno. C. Sistemas de contabilidad y reporte, cumplimiento, control, tecnología y seguridad. D. Liderar y gestionar personas y equipos. E. Ética profesional en la contabilidad y los negocios. F. Eficacia personal y comunicación.</t>
  </si>
  <si>
    <t>4.	Esquema de Calificación</t>
  </si>
  <si>
    <t>Esquema de Calificación: (Asignación puntajes, notas y ponderación que tienen las actividades desarrolladas en la Unidad de Estudio).
Class activities (20%) - 4  Modules evaluations (5% each) - Final test (30%)
1 Final project (30%)</t>
  </si>
  <si>
    <t>5. Recursos Tecnológicos (Describir los recursos como software, sala de cómputos, laboratorios)</t>
  </si>
  <si>
    <t>LMS Universidad EAN, Plataformas de ludificación pedagógica, Plataformas de trabajo colaborativo, Software 4prot</t>
  </si>
  <si>
    <t>6. Componente de Lengua extranjera</t>
  </si>
  <si>
    <r>
      <rPr>
        <b/>
        <sz val="11"/>
        <color rgb="FF000000"/>
        <rFont val="Calibri"/>
      </rPr>
      <t xml:space="preserve">7.	Bibliografía Obligatoria y Complementaria.
</t>
    </r>
    <r>
      <rPr>
        <sz val="10"/>
        <color rgb="FF000000"/>
        <rFont val="Calibri"/>
      </rPr>
      <t>1. Diferenciar la bibliografía obligatoria de la complementaria.  La primera debe estar disponible 100% en la Biblioteca. 2. Incluir mínimo tres (3) referencias de libros o artículos de las bases de datos académicas.  3. Solicitar asesoría en : https://n9.cl/qgu2jn</t>
    </r>
  </si>
  <si>
    <t>Bibliografía Obligatoria
Chiavenato, I (2000). Administración de Recursos Humanos. Quinta Edición. Mc-Graw Hill. Estupiñan, G (2002). Control interno y fraudes con base en los ciclos transaccionales. Universia Business Review. Berdugo, M., Díaz, M., y Mejía, H (2002). La auditoría Interna y Externa (135ᵃ ed.). Revista partida doble. Hernández, H (2011). La gestión empresarial, un enfoque del siglo XX, desde las teorías administrativas científica, funcional, burocrática y de relaciones humanas. Revista Escenarios. LÓPEZ, A (2012). La SAS unipersonal y la empresa unipersonal de responsabilidad limitada- similitudes, diferencias, ventajas y proyección de ambas figuras dentro del ordenamiento mercantil colombiano. Escobar Delgado, R (2009). Las ONG como organizaciones sociales y agentes de transformación de la realidad: desarrollo histórico, evolución y clasificación. Dialogo de Saberes. IESBA (2014). Manual del Código de Ética para Profesionales de la Contabilidad. International Federation of Accountants-IFAC (2012). Posición política de la IFAC No 5. Una definición del interés público. Curvelo, J (2009). Ética y responsabilidad social del Contador: perspectivas y tendencias frente a las IFRS. Capic Review. M. Díaz. (2011, 12 de octubre). Organizadoresgráficos [Video]. Youtube. Coral, F (2007). Reclutamiento y Selección por Competencias. Documentación. EOI- UCAB.</t>
  </si>
  <si>
    <t xml:space="preserve">Bibliografía Complementaria
</t>
  </si>
  <si>
    <t>8. Control de Cambios</t>
  </si>
  <si>
    <t>Elaboró</t>
  </si>
  <si>
    <t>Adrián Cañón</t>
  </si>
  <si>
    <t>César Manajarrez</t>
  </si>
  <si>
    <t>Diego Matituy</t>
  </si>
  <si>
    <t>Transcripción al nuevo formato</t>
  </si>
  <si>
    <t>Bibliografía</t>
  </si>
  <si>
    <t>Cumple</t>
  </si>
  <si>
    <t>Nota</t>
  </si>
  <si>
    <t>Bibliografía obligatoria disponible 100% en Biblioteca</t>
  </si>
  <si>
    <t>NO</t>
  </si>
  <si>
    <t>Los libros no se encuentran 100% en la Biblioteca</t>
  </si>
  <si>
    <t>Mínimo tres (3) referencias de libros o artículos disponibles en las bases de datos</t>
  </si>
  <si>
    <t>No están identificadas las referencias disponibles en bases de datos debe incluir la URL</t>
  </si>
  <si>
    <t>AFPN0012</t>
  </si>
  <si>
    <t>Esta unidad de estudio está orientada a proporcionar en los estudiantes reflexiones sobre los costos, presupuestos, control administrativo, análisis de los inventarios, fijación de precios, estrategia, balanced scorecard, análisis de rentabilidad, entre otros temas que son de gran importancia para ejercer control y realizar la planeación de las operaciones en las empresas. Para los futuros profesionales de las ciencias contables y administrativas es fundamental entender que la Contabilidad de Gestión es una herramienta que satisface las necesidades de la administración de las organizaciones para la toma de decisiones acertadas, buscando responder de manera apropiada a las condiciones de los mercados globales, convirtiéndose en un elemento importante para el planteamiento de estrategias y especialmente en el cumplimiento de los objetivos y metas corporativas.</t>
  </si>
  <si>
    <t>Aplica técnicas aceptadas propias de la contabilidad administrativa o gerencial para respaldar la gestión en la planificación, control y seguimiento del desempeño de los negocios en diferentes contextos</t>
  </si>
  <si>
    <t>La naturaleza, fuente y propósito de la contabilidad de gestión. Analisis de datos y técnicas estadisticas. Técnicas de contabilidad de costos. Presupuestos de planificación y control. Medición del desempeño.</t>
  </si>
  <si>
    <t>Esquema de Calificación: (Asignación puntajes, notas y ponderación que tienen las actividades desarrolladas en la Unidad de Estudio).
Class activities (40% total) - Final test (30%) - Case study (30%)</t>
  </si>
  <si>
    <t>Herramientas Microsoft Office, LMS Universidad EAN, Biblioteca virtual Universidad EAN, Plataformas de ludificación virtual</t>
  </si>
  <si>
    <t>7.	Bibliografía Obligatoria y Complementaria.</t>
  </si>
  <si>
    <t>Bibliografía Obligatoria
Argüelles, D., (s.f.). Guía para la presentación de trabajos científicos bajo el estándar APA en la Universidad EAN. Bogotá: Ediciones EAN. Berdugo, M., Díaz, M, y Mejía, H. (2011). Organizadores gráficos. Burbano, J, (2011). Presupuestos: un enfoque de direccionamiento estratégico, gestión y control de recursos (4ª edición), Bogota: McGraw-Hill. Cuevas, C. F. (2010). Contabilidad de costos. Enfoque gerencial y de gestión (Tercera ed.). Bogotá, Colombia: Pearson. Diaz, M. (2016). Presupuestos: enfoque para la planeación financiera (2ª edición). Bogota, Colombia: Pearson. Horngren, C. T., Datar, S. M., &amp; Rajan, M. V. (2012). Contabilidad de costos, Un enfoque gerencial (Decimocuarta ed.). Nuecalpan de Juárez, México: Pearson Educación. Marr, B. (2014). Indicadores clave de desempeño. Mexico: Trillas. Morillo Moreno, M. (2002) Diseño de Sistemas de Costeo - Fundamentos Teóricos. Actualidad Contable Faces, Enero-junio, 7-22. Rivas, L. (2002). Nuevas formas de organización. Estudios Gerenciales, (82), 13 -45.</t>
  </si>
  <si>
    <t>Álvaro Muñoz</t>
  </si>
  <si>
    <t>AFPN0106</t>
  </si>
  <si>
    <t>Financial accounting for operational activities</t>
  </si>
  <si>
    <t>La unidad de estudio Financial Accounting for Operational Activities permite al estudiante de Contaduría Pública el desarrollo de competencias relacionadas con la comprensión del contexto teórico de la contabilidad. Dentro de las temáticas a tratar se encuentran las características cuantitativas de la información útil, técnicas y procedimientos contables, medición y registro de hechos económicos, relacionados con las actividades de operación de la organización. Esta unidad de estudio fue diseñada con el propósito de aportar a la formación del estudiante y hacerle copartícipe de su aprendizaje, al entregarle elementos teóricos y prácticos para que desarrolle competencias relacionados con el nuevo marco regulatorio aplicable en el ámbito contable y financiero en Colombia, así como a nivel global.</t>
  </si>
  <si>
    <t>Conoce las técnicas de registro, procesamiento e interpretación de transacciones económicas bajo NIIF, aplicadas a las actividades de operación de una organización, a partir del entendimiento de las bases conceptuales necesarias para reconocer, medir, presentar y revelar información financiera.</t>
  </si>
  <si>
    <t>A. Marco regulatorio de las Normas Internacionales de Información Financiera. B. Marco conceptual de las Normas Internacionales de Información Financiera. C. El sistema de doble partida y los sistemas contables. D. Reconocimiento, medición, presentación y revelación de los hechos económicos relacionados con las actividades de operación de una organización.</t>
  </si>
  <si>
    <t>Esquema de Calificación: (Asignación puntajes, notas y ponderación que tienen las actividades desarrolladas en la Unidad de Estudio).
Class activities (40%) - Final Assessment (30%) - Course project (30%).</t>
  </si>
  <si>
    <t>Uso de herramientas de ofimática (Excel y Word). Software contable. EMIS Biblioteca virtual Universidad EAN</t>
  </si>
  <si>
    <t>Bibliografía Obligatoria
Ortiz, H., (2015). Análisis financiero aplicado : y normas internacionales de información financiera – NIF (Decimoquintaᵃ ed.). Universidad Externado de Colombia. Ramírez, D., (2018). Contabilidad administrativa. Un enfoque estratégico para la competitividad. (Décimaᵃ ed.). McGraw-Hill Interamericana. En la base de datos https://wwwebooks7-24-com.bdbiblioteca.universidadean.edu.co/?il=6254. Nobles, T., Mattison, B., &amp; Matsumura, E. M., (2017). Contabilidad de Horngren (Décimaᵃ ed.). Pearson Educación. Angulo, U, (2018). Contabilidad Financiera. Serie Contabilidad y Finanzas, Ediciones de la U. Guajardo, G. y Andrade, N., (2018). Contabilidad financiera (Sextaᵃ ed.). México D.F., México: Mc Graw Hill Education. En la base de datos http://bdbiblioteca.universidadean.edu.co:2076/?il=6251&amp;pg=1 Warren, C.S., Reeve, J. M., &amp; Duchac, J. E., (2016). Contabilidad financiera (decimocuartaᵃ ed.). Cengage Learning. Fierro, A., (2018). Estados financieros consolidados. ECOE Ediciones. Mantilla, S. A., (2015). Estándares / Normas Internacionales de Información Financiera IFRS (NIIF) (Quintaᵃ ed.). Ecoe Ediciones. Sierra, E., (2001). Evolución de la normativa contable en Colombia. Jstor. En la base de datos Jstor. Romero, J., (2019). Seguir una norma en la cultura contable colombiana. Revista Criterio Libre, jul-dic 2019, Vol. 18 issue 31, p. 211-246. En la base de datos Proquest.</t>
  </si>
  <si>
    <t>Johana Mejía</t>
  </si>
  <si>
    <t>AFPN0110</t>
  </si>
  <si>
    <t>Financial accounting for investment and financing activities</t>
  </si>
  <si>
    <t>La unidad de estudio Financial Accounting for investment and financing Activities permite al estudiante de Contaduría Pública el desarrollo de competencias relacionadas con la comprensión de los procedimientos contables, medición y registro de hechos económicos relacionados con las actividades de inversión y financiación de una organización. Esta unidad de estudio fue diseñada con el propósito de aportar a la formación del estudiante y hacerle copartícipe de su aprendizaje, al entregarle elementos teóricos y prácticos para que desarrolle competencias relacionadas con el nuevo marco regulatorio aplicable en el ámbito contable y financiero en Colombia, así como a nivel global.</t>
  </si>
  <si>
    <t>Conoce las técnicas de registro, procesamiento e interpretación de transacciones económicas bajo NIIF, aplicadas a las actividades de inversión y financiamiento de una organización, así como los criterios de presentación y revelación de los estados financieros para su posterior análisis.</t>
  </si>
  <si>
    <t>A. Reconocimiento, medición, presentación y revelación de los hechos económicos relacionados con las actividades de inversión y financiación de una organización. B. Preparación de estados financieros básicos C. Preparación de estados financieros consolidados D. Análisis de estados financieros.</t>
  </si>
  <si>
    <t>Bibliografía Complementaria
Sierra, E., (2001). Evolución de la normativa contable en Colombia. Jstor. En la base de datos Jstor. Romero, J., (2019). Seguir una norma en la cultura contable colombiana. Revista Criterio Libre, jul-dic 2019, Vol. 18 issue 31, p. 211-246. En la base de datos Proquest.</t>
  </si>
  <si>
    <t>AFPN0111</t>
  </si>
  <si>
    <t>El conocimiento del sistema tributario del país y los permanentes cambios en la legislación tributaria hacen que las empresas se vean en la necesidad de buscar estrategias para reducir su impacto en los resultados y su rentabilidad. Es ahí donde la planeación tributaria sirve de herramienta para la optimización de las cargas tributarias y garantizar el cumplimiento de las obligaciones en materia de impuestos. En ese sentido es importante que el contador público tenga un amplio conocimiento  de los tributos, con el fin de lograr la implementación de políticas sanas en materia de impuestos en las empresas.  Igualmente, la conceptualización en el marco general de la tributación ofrece al Contador Público uno de los campos de desempeño y asesoría de gran importancia para que las empresas y las personas naturales (contribuyentes) puedan cumplir con sus obligaciones según lo establezcan las normas tributarias vigentes</t>
  </si>
  <si>
    <t xml:space="preserve">Aplicar las normativas locales pertinentes sobre los impuestos de renta, ICA, IVA e Impuesto al consumo para la liquidación y determinación de los impuestos, tanto para individuos como para empresas, en el contexto colombiano.			</t>
  </si>
  <si>
    <t>A. Retención en la fuente: en renta, en IVA, en ICA. B. Impuesto sobre la renta C. Impuesto de industria y comercio ICA D. Impuesto al Valor Agregado - IVA E. Impuesto Nacional al Consumo - INC</t>
  </si>
  <si>
    <t>Esquema de Calificación: (Asignación puntajes, notas y ponderación que tienen las actividades desarrolladas en la Unidad de Estudio).
Actividades y evaluaciones individuales (80%) - Caso final (20%)</t>
  </si>
  <si>
    <t>A. Bases de datos 
B. Liquidadores de impuestos DIAN 
C. Liquidadores de intereses y sanciones 
D. LMS Universidad EAN 
E. Estatuto Tributario</t>
  </si>
  <si>
    <t xml:space="preserve">Bibliografía Obligatoria
Alcaldia Mayor de Bogotá. (2002). Decreto 271 de 2002 "Por medio del cual se reglamenta parcialmente el sistema de retenciones del impuesto de industria y comercio". Registro Distrital. Recuperado el 19 de julio de 2019, de https://bit.ly/2MhtuKz         
Concejo de Bogotá D.C. (2002). Acuerdo 65 ""Por el cual se adoptan modificaciones al impuesto de industria y comercio, Avisos y Tableros y se dictan otras disposiciones". Registro Distrital. Recuperado el 19 de Julio de 2019, de https://bit.ly/2Ti2kUk         
Contabilidad y finanzas online. (2019). ¿Cómo llenar el formulario declaración de IVA? [Video]. Recuperado el 23 de Julio de 2019, de https://bit.ly/33p2opV          
Contabilizalo.com. (2016). Diligenciamiento Paso a Paso del Formulario de IVA No. 300 DIAN [Video]. Recuperado el 23 de julio de 2019, de https://bit.ly/2KoQ55q          
DIAN. (2018). OFICIO Nº 000104. Recuperado el 20 de 07 de 2018, de https://bit.ly/33r2Fsk         
DIAN. (2018). Oficio Nº 000162. Recuperado el 18 de julio de 2019, de CIJUF.ORG: https://bit.ly/2M9Pabh        
DIAN. (2018). OFICIO Nº 000175. Recuperado el 20 de 07 de 2018, de https://bit.ly/2ZMAXnS     
DIAN. (2018). Oficio Nº 000218. Recuperado el 18 de julio de 2019, de CIJUF.ORG: https://bit.ly/2KpXrpl 
DIAN. (2018). OFICIO Nº 003704. Recuperado el 23 de 07 de 2019, de https://bit.ly/2MabQs1                  
DIAN. (2018). OFICIO Nº 003712. Recuperado el 23 de 07 de 2019, de https://bit.ly/2YAS9jD         
DIAN. (2018). OFICIO Nº 004208. Recuperado el 20 de 07 de 2018, de https://bit.ly/2YRJRmF          
Díaz Escalante, N. (2003). Principios tributarios. En N. Díaz Escalante, Análisis jurídico del Principio de Capacidad Contributiva en relación a los ingresos acumulables en la Ley del Impuesto Sobre la Renta para las Personas Morales sujetas a concurso mercantil. Capítulo 3. Puebla. Recuperado el 17 de julio de 2019, de https://bit.ly/33kzreZ         
Estatuto Tributario. Libro primero, Impuesto sobre la renta y complementarios.  Disponible en http://goo.gl/JJ46Wb          
Expertos Asesores. (2016). Entendiendo la retención en a fuente [Video]. Recuperado el 22 de Julio de 2019, de https://bit.ly/2YS1vTv         
Grupo OET. (2017). Ajustes Reforma Tributaria: Impuesto de Industria y Comercio – ICA [Video]. Recuperado el 19 de Julio de 2019, de https://bit.ly/33l4gAd         
Ramírez Cepeda, N. P. (2011). El principio de lagalidad tributaria en la contribución de valorización. Verba Luris (26), 133-147. Recuperado el 16 de julio de 2019, de https://bit.ly/2OM5X6k         
Rodríguez García, S. J. (2016). ¿Cómo concibe el tributo la jurisprudencia colombiana? Recuperado el 16 de julio de 2019, de Repositorio Institucional UPB: https://bit.ly/2zWCgG9         
Romero, D. (2016). Así funciona el sistema tributario de Colombia y la DIAN. Recuperado el 17 de julio de 2019, de https://bit.ly/2TiuYol     
Rosembuj Erujimovich, T. R. (2016). Elementos de Derecho Tributario II. Barcelona: El Fisco. Recuperado el 16 de julio de 2019, de https://bit.ly/2MgW66H  
Secretaría de Hacieda Distrital. (2016). Resolución Número DDI-052377 “Por la cual se designan algunos agentes retenedores del impuesto de industria y comercio.” Bogotá. Recuperado el 19 de julio de 2019, de https://bit.ly/2KzLV9Q         
Secretaría Distrital de Hacienda. (2012). Concepto 10548. Bogotá. Recuperado el 19 de julio de 2019, de https://bit.ly/2TkJKLf         
Secretaría Distrital Hacienda. (2013). Resolución No. SDH 000079. Recuperado el 19 de julio de 2019, de https://bit.ly/2OMFLZf         
Suarez Facudo, E. (2019). Diligenciamiento Formulario 350 Dian [Video]. Recuperado el 22 de julio de 2019, de  https://bit.ly/2MRUkZ1         
Tauta, P. (2019). Renta personas naturales ley 1943 de 2018 [Video]. Recuperado el 23 de julio de 2019, de https://bit.ly/2ONjCKv         
UnacVirtual. (2017). Depuración de bases y tarifas de la retención en la fuente [Video]. Recuperado el 18 de Julio de 2019, de https://bit.ly/2YSNYL9         
UnacVirtual. (2017). Depuración y liquidación de la retención en la fuente para salarios procedimiento 1 [Video]. Recuperado el 18 de julio de 2019, de https://bit.ly/2Tis56S         
UnacVirtual. (2017). Impuestos Territoriales - Unidad II - Oscar Darío Velásquez [Video]. Recuperado el 17 de julio de 2019, de UnacVirtual: https://bit.ly/2GYyY8J         
Valero Linero, E. D. (2014). La tributación en la cultura de los colombianos. RHS Revista Humanismo y Sociedad, 2, 73-78. Recuperado el 16 de julio de 2019, de https://bit.ly/2YW7kiz
Estatuto tributario Nacional. Recuperado el 13 de octubre de 2020, de https://estatuto.co/
Acuerdo 756 de 2019. Por el cual se expiden normas sustanciales tributarias en el municipio de Bogotá.
</t>
  </si>
  <si>
    <t xml:space="preserve">Bibliografía Complementaria
Peralta, C. E. (2015). Tributación y derechos fundamentales los principios constitucionales como límite al poder tributario. Reflexiones a partir de los ordenamientos jurídicos de Brasil y Costa Rica. Revista de Ciencias Jurídicas, 89-134. Recuperado el 17 de julio de 2019, de https://bit.ly/2ORjxFu         
Pinzón, J. A. (2015). Análisis del comportamiento del impuesto ICA en el presupuesto del distrito capital (1996 - 2005). Revista de la Facultad de Ciencias Económicas: Investigación y Reflexión, XXIII (2), 191-202. Recuperado el 19 de julio de 2019, de https://bit.ly/2yRVonz         
Presidencia de la Republica de Colombia. (1989). Decreto 624 "Por el cual se expide el Estatuto Tributario de los impuestos administrados por la Dirección General de Impuesto Nacionales". Diario Oficial (38756). Recuperado el 18 de julio de 2019, de https://bit.ly/33l0YwB         
Presidencia de la República de Colombia. (1989). Decreto 624 "Por el cual se expide el Estatuto Tributario de los impuestos administrados por la Dirección General de Impuesto Nacionales". Diario Oficial(38756). Recuperado el 22 de Julio de 2019, de https://bit.ly/33l0YwB         
Presidencia de la República de Colombia. (1989). Decreto 624 "Por el cual se expide el Estatuto Tributario de los impuestos administrados por la Dirección General de Impuesto Nacionales". Diario Oficial(38756). Recuperado el 23 de julio de 2019, de https://bit.ly/33l0YwB         
Presidencia de la República de Colombia. (1993). Decreto Ley 1421 de 1993 "Por el cual se dicta el régimen especial para el Distrito Capital de Santa Fe de Bogotá". Diario Oficial, pág. 1. Recuperado el 19 de julio de 2019, de https://bit.ly/21Sgash         
Presidencia de la Républica de Colombia. (2016). Decreto 1625 de 2016 " Por medio del cual se expide el Decreto Único Reglamentario en materia tributaria". Diario Oficial (50023). Recuperado el 18 de julio de 2019, de https://bit.ly/33qIJ8W         
Presidencia de la República de Colombia. (2016). Decreto 1625 de 2016 " Por medio del cual se expide el Decreto Único Reglamentario en materia tributaria". Diario Oficial(50023). Recuperado el 19 de Julio de 2019, de https://bit.ly/33qIJ8W         
Presidencia de la Républica de Colombia. (2016). Decreto 1625 de 2016 " Por medio del cual se expide el Decreto Único Reglamentario en materia tributaria". Diario Oficial(50023). Recuperado el 22 de julio de 2019, de https://bit.ly/33qIJ8W         
         Presidencia de la Républica de Colombia. (2016). Decreto 1625 de 2016 " Por medio del cual se expide el Decreto Único Reglamentario en materia tributaria". Diario Oficial(50023). Recuperado el 23 de julio de 2019, de https://bit.ly/33qIJ8W         
</t>
  </si>
  <si>
    <t>Álvaro Muñóz</t>
  </si>
  <si>
    <t>AFPN0112</t>
  </si>
  <si>
    <t>Desarrollar conocimientos y habilidades en la comprensión del derecho general marco y de ámbitos jurídicos específicos relacionados con los negocios, reconociendo la necesidad de buscar más especialistas legales asesoramiento cuando sea necesario.</t>
  </si>
  <si>
    <t>Analiza, comprende y aplica los principios, normas y jurisprudencia proporcionados en la unidad de estudio de Derecho Integral Nacional e Internacional, para darle aplicablidad en casos concretos que están enmarcados en el ámbito comercial, societario, laboral, de la seguridad social y tributario, y se presenten en el día a día en una organización empresarial, y por lo general son de conocimiento en una primera instancia por parte del contador público.</t>
  </si>
  <si>
    <t>Fundamentos de Derecho, Derecho Comercial y Societario, Fundamentos de Derecho Tributario</t>
  </si>
  <si>
    <t>LMS Universidad EAN Plataformas de ludificación pedagógica Plataformas de trabajo colaborativo Software 4prot</t>
  </si>
  <si>
    <t>Bibliografía Obligatoria
- Alexi, Robert., &amp; Bernal Carlos (2007). Teoría de los derechos fundamentales (segunda ed). Madrid, España: Centro de Estudios Políticos y Constitucionales. - Arenas Monsalve, Gerardo (2018). El derecho Colombiano de la Seguridad Social (cuarta edición). Bogotá Colombia: Legislación Colombiana – LEGIS S.A. ... [ver PDF para la lista literal completa.]</t>
  </si>
  <si>
    <t>Bibliografía Complementaria
Código Sustantivo del Trabajo Actualizado y comentado. Editoriales sugeridas: LEYER, LEGIS o Doctrina y Ley. Libros I, II, III y IV. En línea: http://www.secretariasenado.gov.co/senado/basedoc/codigo_sustantivo_trabajo.html</t>
  </si>
  <si>
    <t>César Manjarrez</t>
  </si>
  <si>
    <t>AFPN0113</t>
  </si>
  <si>
    <t>Esta unidad de estudio proporciona al estudiante el conocimiento para la clasificación, acumulación, análisis, interpretación, distribución y registro de los costos incurridos por una organización en Producir un bien o proporcionar un servicio. Lo anterior, a fin de generar información útil para contribuir al control,planificación de las operaciones y facilitar el proceso de toma de decisiones. Las técnicas a desarrollar en la unidad se basan en la información proporcionada por la contabilidad de gestión. Tal información debe satisfacer las necesidades de gestión y de los diferentes grupos de interesados para la toma de decisiones. Esto permite a las organizaciones responder adecuadamente a las condiciones de los Mercados. En este contexto, la contabilidad de gestión es una fuente importante de información en las empresas para la planificación estratégica y especialmente en el cumplimiento de objetivos y metas corporativas. Para los futuros contadores públicos es fundamental comprender la conceptualización y aplicación de la Planeación, Decisiones Financieras y Administrativas; esto depende en gran medida de identificar, definir, medir, reportar y analizar los diferentes elementos de los costos asociados con las actividades que desarrollan las organizaciones en la producción y comercialización de bienes y / o servicios; convirtiéndose en una herramienta fundamental
para la administración en el proceso de toma de decisiones relacionadas con la planificación, dirección, control y evaluación de las operaciones.</t>
  </si>
  <si>
    <t>Aplica técnicas de costeo y presupuestos para tomar decisiones eficientes sobre la medición, desempeño y control de los recursos de la organización, con el fin de minimizar riesgos y alcanzar una adecuada funcionalidad y desarrollo de las áreas hacía las metas establecidas.</t>
  </si>
  <si>
    <t>A. Sistemas de información gerencial y el análisis de datos: sistemas de información gerencial, usos y control de la información; big data y analítica de datos B. Sistemas de costos especiales y técnicas de contabilidad de gestión: Costeo Basado en Actividades (ABC), Target Costing, Life-cycle costing, Throughput accounting y Contabilidad de los factores ambientales y de sostenibilidad. C. Técnicas para la toma de decisiones: análisis del costos relevantes, análisis de costo - volumenutilidad,
factores limitantes, decisiones de precios, decisiones de fabricar
o comprar y otras decisiones a corto plazo y manejo del riesgo e
incertidumbre en la toma de decisiones. D. Sistemas de presupuestación y control: sistemas presupuestarios y tipos de presupuesto, técnicas analíticas en la elaboración de presupuestos y pronósticos, costeo estándar, desviaciones en la mezcla y el rendimiento de materiales, desviaciones en la mezcla y cantidad de ventas, desviaciones de planificación y operativas y análisis de rendimiento. E.1 Medición y control del desempeño: análisis del rendimiento en organizaciones del
sector privado, sector público y sin fines de lucro, desempeño divisional y
precios de transferencia, cuestiones específicas del análisis de
rendimiento en organizaciones sin fines de lucro y en el sector público.
E.2. Habilidades de empleabilidad y tecnología: uso eficiente de la
tecnología informática, opciones de respuesta relevantes, uso de
herramientas y presentación de datos</t>
  </si>
  <si>
    <t>Esquema de Calificación: (Asignación puntajes, notas y ponderación que tienen las actividades desarrolladas en la Unidad de Estudio).
Class activities  (40% total) - Final assessment (30%) - Course project (30%)</t>
  </si>
  <si>
    <t>Hoja de cálculo electrónicas LMS - Universidad EAN. Biblioteca virtual
Universidad EAN Plataformas de información contable</t>
  </si>
  <si>
    <t>Bibliografía Obligatoria
G. Romero. (2012). Clasificación de Costos y su Comportamiento . N/A. https://goo.gl/mXAFha.
Horngren, C.T., , Datar, S.M., y Rajan, M.V. (2012). Contabilidad de costos, Un enfoque
gerencial (Decimocuartaᵃ ed.). Pearson Education.
CUEVAS, C.F. (2010). Contabilidad de costos. Enfoque gerencial y de gestión (TERCERAᵃ
ed.). PEARSON.
R. Dixon. (1948). Cost Concepts: Special Problems and Definitions . The American Accounting
Association. https://goo.gl/9iA6Fr.
ACCA. (2016). Cost-Volume-Profit analysis. ACCA. https://goo.gl/pudeA9.
Morillo Moreno, M (2002). Diseño de Sistemas de Costeo - Fundamentos Teóricos .
Universidad de Los Andes Venezuela. En la base de datos Redalyc.
DIAZ, M. (2016). Enfoque para la planeación financiera (SEGUNDAᵃ ed.). PEARSON.
ACCA. (2015). Indicadores clave de desempeño. Mexico: Trillas. Material mix and yield
variances.. ACCA. https://goo.gl/fKivQb.
ACCA GLOBAL. (2015). Interpreting financial data. ACCA GLOBAL. https://goo.gl/mySwaE.
ACCA. (2024). Performance Management (PM) ACCA Exam resources . ACCA.
https://www.accaglobal.com/gb/en/student/exam-support-resources/fundamentals-examsstudy-
resources/f5.html.
Burbano, J (2011). Presupuestos: un enfoque de direccionamiento estratégico, gestión y
control de recursos (CUARTAᵃ ed.). McGraw-Hill.
Hernández, M (2017). Sistemas de control de gestión y de medición del desempeño:
conceptos básicos como marco para la investigación . Instituto Tecnológico de Santo
Domingo. En la base de datos Directory of Open Access Journals DOAJ.
ACCA. (2016). The learning rate and learning effect . ACCA GLOBAL. https://goo.gl/U9BWzp.
ACCA GLOBAL. (2015). The risks of uncertenty. ACCA GLOBAL. https://goo.gl/wGxBsK.
ACCA GLOBAL. (2016). Tranfer pricing. ACCA GLOBAL. https://goo.gl/te0wu9.</t>
  </si>
  <si>
    <t>Bibliografía Complementaria
Argüelles, D (2013). Guía para la presentación de trabajos científicos bajo el estándar APA en la Universidad EAN . Ediciones EAN. En la base de datos Minerva.</t>
  </si>
  <si>
    <t>AFPN0114</t>
  </si>
  <si>
    <t>El conocimiento del sistema tributario del país y los permanentes cambios en la legislación tributaria hacen que las empresas se vean en la necesidad de buscar estrategias para reducir su impacto en los resultados y su rentabilidad. Es ahí donde la planeación tributaria sirve de herramienta para la optimización de las cargas tributarias y garantizar el cumplimiento de las obligaciones en materia de impuestos. En ese sentido es importante que el contador público tenga un amplio conocimiento  de los tributos, con el fin de lograr la implementación de políticas sanas en materia de impuestos en las empresas.  Igualmente, la conceptualización en el marco general de la tributación ofrece al Contador Público uno de los campos de desempeño y asesoría de gran importancia para que las empresas y las personas naturales (contribuyentes) puedan cumplir con sus obligaciones según lo establezcan las normas tributarias vigentes.</t>
  </si>
  <si>
    <t>Comprender las normativas locales pertinentes sobre los impuestos de renta, ICA, IVA e Impuesto al consumo para la liquidación y determinación de los impuestos, tanto para individuos como para empresas, en el contexto colombiano.</t>
  </si>
  <si>
    <t>Esquema de Calificación: (Asignación puntajes, notas y ponderación que tienen las actividades desarrolladas en la Unidad de Estudio).
Evaluaciones en clase (60%) - Evaluación final (10%) -Trabajo final (30%)</t>
  </si>
  <si>
    <t>A. Bases de datos B. Liquidadores de impuestos DIAN C. Liquidadores de intereses y sanciones D. LMS Universidad EAN E. Estatuto Tributario</t>
  </si>
  <si>
    <t xml:space="preserve">Bibliografía Obligatoria
Alcaldía Mayor de Bogotá. (2002). Decreto 271 de 2002 "Por medio del cual se reglamenta parcialmente el sistema de retenciones del impuesto de industria y comercio". Registro Distrital. Recuperado el 19 de julio de 2019, de https://bit.ly/2MhtuKz         
Concejo de Bogotá D.C. (2002). Acuerdo 65 ""Por el cual se adoptan modificaciones al impuesto de industria y comercio, Avisos y Tableros y se dictan otras disposiciones". Registro Distrital. Recuperado el 19 de Julio de 2019, de https://bit.ly/2Ti2kUk         
Contabilidad y finanzas online. (2019). ¿Cómo llenar el formulario declaración de IVA? [Video]. Recuperado el 23 de Julio de 2019, de https://bit.ly/33p2opV          
Contabilizalo.com. (2016). Diligenciamiento Paso a Paso del Formulario de IVA No. 300 DIAN [Video]. Recuperado el 23 de julio de 2019, de https://bit.ly/2KoQ55q          
DIAN. (2018). OFICIO Nº 000104. Recuperado el 20 de 07 de 2018, de https://bit.ly/33r2Fsk         
DIAN. (2018). Oficio Nº 000162. Recuperado el 18 de julio de 2019, de CIJUF.ORG: https://bit.ly/2M9Pabh        
DIAN. (2018). OFICIO Nº 000175. Recuperado el 20 de 07 de 2018, de https://bit.ly/2ZMAXnS     
DIAN. (2018). Oficio Nº 000218. Recuperado el 18 de julio de 2019, de CIJUF.ORG: https://bit.ly/2KpXrpl 
DIAN. (2018). OFICIO Nº 003704. Recuperado el 23 de 07 de 2019, de https://bit.ly/2MabQs1                  
DIAN. (2018). OFICIO Nº 003712. Recuperado el 23 de 07 de 2019, de https://bit.ly/2YAS9jD         
DIAN. (2018). OFICIO Nº 004208. Recuperado el 20 de 07 de 2018, de https://bit.ly/2YRJRmF          
Díaz Escalante, N. (2003). Principios tributarios. En N. Díaz Escalante, Análisis jurídico del Principio de Capacidad Contributiva en relación a los ingresos acumulables en la Ley del Impuesto Sobre la Renta para las Personas Morales sujetas a concurso mercantil. Capítulo 3. Puebla. Recuperado el 17 de julio de 2019, de https://bit.ly/33kzreZ         
Estatuto Tributario. Libro primero, Impuesto sobre la renta y complementarios.  Disponible en http://goo.gl/JJ46Wb          
Expertos Asesores. (2016). Entendiendo la retención en a fuente [Video]. Recuperado el 22 de Julio de 2019, de https://bit.ly/2YS1vTv         
Grupo OET. (2017). Ajustes Reforma Tributaria: Impuesto de Industria y Comercio – ICA [Video]. Recuperado el 19 de Julio de 2019, de https://bit.ly/33l4gAd
</t>
  </si>
  <si>
    <t xml:space="preserve">Bibliografía Complementaria
Peralta, C. E. (2015). Tributación y derechos fundamentales los principios constitucionales como límite al poder tributario. Reflexiones a partir de los ordenamientos jurídicos de Brasil y Costa Rica. Revista de Ciencias Jurídicas, 89-134. Recuperado el 17 de julio de 2019, de https://bit.ly/2ORjxFu         
Pinzón, J. A. (2015). Análisis del comportamiento del impuesto ICA en el presupuesto del distrito capital (1996 - 2005). Revista de la Facultad de Ciencias Económicas: Investigación y Reflexión, XXIII (2), 191-202. Recuperado el 19 de julio de 2019, de https://bit.ly/2yRVonz         
Presidencia de la Republica de Colombia. (1989). Decreto 624 "Por el cual se expide el Estatuto Tributario de los impuestos administrados por la Dirección General de Impuesto Nacionales". Diario Oficial (38756). Recuperado el 18 de julio de 2019, de https://bit.ly/33l0YwB         
Presidencia de la República de Colombia. (1989). Decreto 624 "Por el cual se expide el Estatuto Tributario de los impuestos administrados por la Dirección General de Impuesto Nacionales". Diario Oficial(38756). Recuperado el 22 de Julio de 2019, de https://bit.ly/33l0YwB         
Presidencia de la República de Colombia. (1989). Decreto 624 "Por el cual se expide el Estatuto Tributario de los impuestos administrados por la Dirección General de Impuesto Nacionales". Diario Oficial(38756). Recuperado el 23 de julio de 2019, de https://bit.ly/33l0YwB         
Presidencia de la República de Colombia. (1993). Decreto Ley 1421 de 1993 "Por el cual se dicta el régimen especial para el Distrito Capital de Santa Fe de Bogotá". Diario Oficial, pág. 1. Recuperado el 19 de julio de 2019, de https://bit.ly/21Sgash         
Presidencia de la Républica de Colombia. (2016). Decreto 1625 de 2016 " Por medio del cual se expide el Decreto Único Reglamentario en materia tributaria". Diario Oficial (50023). Recuperado el 18 de julio de 2019, de https://bit.ly/33qIJ8W         
Presidencia de la República de Colombia. (2016). Decreto 1625 de 2016 " Por medio del cual se expide el Decreto Único Reglamentario en materia tributaria". Diario Oficial(50023). Recuperado el 19 de Julio de 2019, de https://bit.ly/33qIJ8W         
Presidencia de la Républica de Colombia. (2016). Decreto 1625 de 2016 " Por medio del cual se expide el Decreto Único Reglamentario en materia tributaria". Diario Oficial(50023). Recuperado el 22 de julio de 2019, de https://bit.ly/33qIJ8W         
         Presidencia de la Républica de Colombia. (2016). Decreto 1625 de 2016 " Por medio del cual se expide el Decreto Único Reglamentario en materia tributaria". Diario Oficial(50023). Recuperado el 23 de julio de 2019, de https://bit.ly/33qIJ8W         
         Ramírez Cepeda, N. P. (2011). El principio de lagalidad tributaria en la contribución de valorización. Verba Luris (26), 133-147. Recuperado el 16 de julio de 2019, de https://bit.ly/2OM5X6k         
Rodríguez García, S. J. (2016). ¿Cómo concibe el tributo la jurisprudencia colombiana? Recuperado el 16 de julio de 2019, de Repositorio Institucional UPB: https://bit.ly/2zWCgG9         
Romero, D. (2016). Así funciona el sistema tributario de Colombia y la DIAN. Recuperado el 17 de julio de 2019, de https://bit.ly/2TiuYol     
Rosembuj Erujimovich, T. R. (2016). Elementos de Derecho Tributario II. Barcelona: El Fisco. Recuperado el 16 de julio de 2019, de https://bit.ly/2MgW66H  
Secretaría de Hacieda Distrital. (2016). Resolución Número DDI-052377 “Por la cual se designan algunos agentes retenedores del impuesto de industria y comercio.” Bogotá. Recuperado el 19 de julio de 2019, de https://bit.ly/2KzLV9Q         
Secretaría Distrital de Hacienda. (2012). Concepto 10548. Bogotá. Recuperado el 19 de julio de 2019, de https://bit.ly/2TkJKLf         
Secretaría Distrital Hacienda. (2013). Resolución No. SDH 000079. Recuperado el 19 de julio de 2019, de https://bit.ly/2OMFLZf         
Suarez Facudo, E. (2019). Diligenciamiento Formulario 350 Dian [Video]. Recuperado el 22 de julio de 2019, de  https://bit.ly/2MRUkZ1         
Tauta, P. (2019). Renta personas naturales ley 1943 de 2018 [Video]. Recuperado el 23 de julio de 2019, de https://bit.ly/2ONjCKv         
UnacVirtual. (2017). Depuración de bases y tarifas de la retención en la fuente [Video]. Recuperado el 18 de Julio de 2019, de https://bit.ly/2YSNYL9         
UnacVirtual. (2017). Depuración y liquidación de la retención en la fuente para salarios procedimiento 1 [Video]. Recuperado el 18 de julio de 2019, de https://bit.ly/2Tis56S         
UnacVirtual. (2017). Impuestos Territoriales - Unidad II - Oscar Darío Velásquez [Video]. Recuperado el 17 de julio de 2019, de UnacVirtual: https://bit.ly/2GYyY8J         
Valero Linero, E. D. (2014). La tributación en la cultura de los colombianos. RHS Revista Humanismo y Sociedad, 2, 73-78. Recuperado el 16 de julio de 2019, de https://bit.ly/2YW7kiz
Estatuto tributario Nacional. Recuperado el 13 de octubre de 2020, de https://estatuto.co/
Acuerdo 756 de 2019. Por el cual se expiden normas sustanciales tributarias en el municipio de Bogotá.
</t>
  </si>
  <si>
    <t>AFPN0115</t>
  </si>
  <si>
    <t>Conocer las relaciones jurídicas que surgen permanentemente en el territorio nacional, haciendo énfasis en el estudio de la legislación mercantil colombiana y en el desarrollo de los fundamentos y leyes en el ejercicio de actividades económicas, así como en lo relacionado con el derecho tributario, con enfoque principal en los tributos y las responsabilidades fiscales de los contribuyentes.</t>
  </si>
  <si>
    <t>Conocer a legislación mercantil colombiana y el derecho tributario en el territorio nacional para comprender el desarrollo de los fundamentos y reglas legales en el ejercicio de actividades económicas, que permitan una adecuada gestión de la administración pública.</t>
  </si>
  <si>
    <t>Derecho Laboral, Liquidaciones en materia Laboral y Derecho Tributario Sancionatorio</t>
  </si>
  <si>
    <t>Esquema de Calificación: (Asignación puntajes, notas y ponderación que tienen las actividades desarrolladas en la Unidad de Estudio).
Evaluaciones de módulo (80% total) - Trabajo final (20%)</t>
  </si>
  <si>
    <t>Bibliografía Obligatoria
· Bonivento, José (2017). Los principales contratos civiles y su paralelo con los comerciales. (vigésima ed). Bogotá, Colombia: Librería Ediciones del Profesional LTDA. · Bonivento, José (2017). Los principales contratos civiles y comerciales. (novena ed). Bogotá, Colombia: Librería Ediciones del Profesional LTDA. · Cadavid, Luis Alberto (2008). Fundamentos del Derecho Comercial, tributario y contable. Bogotá, Colombia: McGraw Hill Interamericana. · Castro, Marcela (2010). Derecho Comercial: Actos de comercio, empresa, comerciantes y empresarios. Bogotá, Colombia: Universidad de los Andes, Temis. · Código de Comercio Actualizado y comentada. Editoriales sugeridas: LEYER, LEGIS o Doctrina y Ley. Libros I, II, III y IV En línea: http://www.secretariasenado.gov.co/senado/basedoc/codigo_comercio.html · Constitución Política de Colombia. (1991). Actualizada y comentada. Editoriales sugeridas: LEYER, LEGIS o Doctrina y Ley. En línea: http://www.secretariasenado.gov.co/senado/basedoc/constitucion_politica_1991.html · Convenios de doble imposición: Fuentes en línea sugeridas: https://www.dian.gov.co/normatividad/convenios/Paginas/ConveniosTributariosInternacionales.aspx https://www.globbal.co/convenios-para-prevenir-la-doble-imposicion/ · Estatuto Tributario Distrital. En línea: http://nuevalegislacion.com/files/et_bogota.pdf · Estatuto Tributario Nacional. Editoriales sugeridas: LEYER, LEGIS o PwC. En línea: http://www.secretariasenado.gov.co/senado/basedoc/estatuto_tributario.html · INCOTERMS: Video Comité español de la Cámara de Comercio Internacional: http://www.iccspain.org/incoterms-2020-2/ · INCOTERMS: Video Conferencista Mexicano, experto oficial en Reglas INCOTERMS: https://www.youtube.com/watch?v=0P5esblDnOA</t>
  </si>
  <si>
    <t>Bibliografía Complementaria
Código Sustantivo del Trabajo Actualizado y comentada. Editoriales sugeridas: LEYER, LEGIS o Doctrina y Ley. Libros I, II, III y IV. En línea: http://www.secretariasenado.gov.co/senado/basedoc/codigo_sustantivo_trabajo.html</t>
  </si>
  <si>
    <t>AFPN0116</t>
  </si>
  <si>
    <t>Financial Information for Value Creation</t>
  </si>
  <si>
    <t xml:space="preserve">The Public Accountant must have an international vision, which is why they must know and be an expert in the application of accounting standards and the reference framework for the preparation of financial statements of individual entities and economic groups.
The purpose of this knowledge is to analyze and interpret the financial statements and validate that they comply with the regulations of the International Accounting Standard Board (IFRS) applicable in Colombia and authorized by the Technical Council of Public Accounting.
</t>
  </si>
  <si>
    <t>Develop knowledge and understanding of the underlying principles and concepts related to financial accounting for the preparation of general purpose financial statements.</t>
  </si>
  <si>
    <t xml:space="preserve">A. The conceptual and regulatory framework for financial reporting.
B. Accounting for transactions in financial statements
B.1. Tangible non-current assets
B.2. Intangible assets
B.3. Impairment of assets
B.4. Inventories and agriculture
B.5. Financial instruments
B.6. Leasing
B.7. Provisions and events after the reporting period
C. Employability and technology skills
C.1. Use computer technology to efficiently access and manipulate relevant information
C.2. Work on relevant response options, using available functions and technology as would be required in the workplace
C.3. Navigate windows and computer screens to create and amend responses to exam requirements, using the appropriate tools
C.4. Present data and information effectively, using the appropriate tools
</t>
  </si>
  <si>
    <t xml:space="preserve">Hoja de cálculo electrónicas LMS - Universidad EAN. Biblioteca virtual Universidad EAN
Plataformas de información contable (EMIS)
</t>
  </si>
  <si>
    <t xml:space="preserve">Bibliografía Obligatoria
IFRS FUNDATION. (2018). El Marco Conceptual para la Información Financiera . IFRS. http://www.aplicacionesmcit.gov.co/adjuntos/niif/Marco%20Conceptual%20de%20las%20Normas%20NIIF%20ES_CF_March2018.pdf. 
IFRS FUNDATION. (2022). IAS 16 - Lease. Deloitte. https://www.iasplus.com/en/standards/ifrs/ifrs-16.
IFRS FUNDATION. (2020). IAS 37 - Provisions, Contingent Liabilities and Contingent Assets. Deloitte. https://www.iasplus.com/en/standards/ias/ias37.
IFRS FUNDATION. (2020). IAS 8 - Accounting Policies, Changes in Accounting Estimates and Errors. Deloitte. https://www.iasplus.com/en/standards/ias/ias8.
Congreso de Colombia. (1995). Ley 222 de diciembre 20 de 1995, por la cual se modifica el Código de Comercio, se expide un nuevo régimen de procesos concursales y se dictan otras disposiciones. Diario Oficial. http://www.secretariasenado.gov.co/senado/basedoc/ley_0222_1995.html.
IFRS FUNDATION. (2015). Norma Internacional de Contabilidad 1. Presentación de Estados Financieros IFRS. http://eifrs.ifrs.org/eifrs/bnstandards/es/2014/ias1.pdf.
IFRS Fundation. (2015). Norma Internacional de Información Financiera 9. Instrumentos Financieros.. IFRS. http://eifrs.ifrs.org/eifrs/bnstandards/es/2014/ifrs9.pdf.
</t>
  </si>
  <si>
    <t xml:space="preserve">Bibliografía Complementaria
Ramos, P (2018). Análisis de estados financieros consolidados . Difusora Larousse - Ediciones Pirámide. En la base de datos Biblioteca EAN.
Arrete, R (2006). Análisis estratégico de los estados financieros empresariales. . Revista Alternativa Financiera. En la base de datos Biblioteca EAN.
Espinoza Priego, E., , López Fernández, E., y Acosta Márquez, M (2010). Consolidation of financial statements: Accounting comparative analysis MéxicoSpain (Volumen 29ᵃ ed.). Pensamiento &amp; Gestión, pág. 87-103. En la base de datos .
Blanes Prieto, J (2005). Diccionario de términos contables Inglés-Español Español-Inglés . CECSA.
Gómez, R., , Muiño, F., y Lamas, F (2012). Do investing cash flow help in explaining future corporate performance? (Volumen 4 (154), p185-208, 24pᵃ ed.). Revista Española de Financiación y Contabilidad. En la base de datos Biblioteca EAN.
</t>
  </si>
  <si>
    <t>Lorenza Sanchez</t>
  </si>
  <si>
    <t>AFPN0117</t>
  </si>
  <si>
    <t>Financial Information for Business Decisions</t>
  </si>
  <si>
    <t>The accounting activity must satisfy the information needs of partners and shareholders for individual or consolidated financial statements. This information must serve as a basis for decision-making by measuring and recognizing the impact and purpose of the regulation on matters of disclosure and dissemination of financial information.</t>
  </si>
  <si>
    <t>Analyze information from general purpose financial statements for the strategic decision-making process.</t>
  </si>
  <si>
    <t xml:space="preserve">A. Accounting for transactions in financial statements
A.1. Taxation
A.2. Reporting financial performance
A.3. Revenue
A.4. Government grants
A.5. Foreign currency transactions
B. Analyzing and interpreting the financial statements of single entities and groups
B.1. Limitations of financial statements
B.2. Calculation and interpretation of accounting ratios and trends to address users’ and stakeholders’ needs
B.3. Limitations of interpretation techniques
B.4. Not-for-profit, and public sector entities
C. Preparation of financial statements
C.1. Preparation of single entity financial statements
C.2. Preparation of consolidated financial statements for a simple group
</t>
  </si>
  <si>
    <t>Hoja de cálculo electrónicas LMS - Universidad EAN. Biblioteca virtual Universidad EAN
Plataformas de información contable (EMIS)</t>
  </si>
  <si>
    <t xml:space="preserve">Bibliografía Obligatoria
IFRS FUNDATION. (2023). IAS 12 - Income Taxes. Deloitte. https://www.iasplus.com/en/standards/ias/ias12.
IFRS FUNDATION. (2009). IAS 20 - Accounting for Government Grants and Disclosure of Government Assistance. Deloitte. https://www.iasplus.com/en/standards/ias/ias20.
Congreso de Colombia. (1995). Ley 222 de diciembre 20 de 1995, por la cual se modifica el Código de Comercio, se expide un nuevo régimen de procesos concursales y se dictan otras disposiciones. Diario Oficial. http://www.secretariasenado.gov.co/senado/basedoc/ley_0222_1995.html.
IFRS FUNDATION. (2015). Norma Internacional de Contabilidad 28 Inversiones en Asociadas y Negocios Conjuntos.IFRS. http://eifrs.ifrs.org/eifrs/bnstandards/es/2014/ias28.pdf.
IFRS FUNDATION. (2015). Norma Internacional de Contabilidad 7 Estado de Flujos de Efectivo . IFRS. http://eifrs.ifrs.org/eifrs/bnstandards/es/2014/ias7.pdf.
IFRS FUNDATION. (2015). Norma Internacional de Información Financiera 10. Estados Financieros Consolidados. IFRS. http://eifrs.ifrs.org/eifrs/bnstandards/es/2014/ifrs10.pdf.
</t>
  </si>
  <si>
    <t xml:space="preserve">Bibliografía Complementaria
Fierro, A (2008). Estados financieros consolidados (Primeraᵃ ed.). ECOE Ediciones.
Superintendencia de Sociedades. (2012). Grupo de Estudios Económicos y Financieros. Comportamiento de los Grupos Empresariales del Sector Real de la Economía. Superintendencia de Sociedades. https://www.supersociedades.gov.co/delegatura_aec/estudios_financieros/Documents/Sector%20Real%20Economia/2%20Informe%20Conglo%202012.pdf.
Dzenan, D., y Amra, K (2010). Justification of criticism of the international financial institutions (Volumen LVᵃ ed.). Economic Annals. En la base de datos Biblioteca EAN.
</t>
  </si>
  <si>
    <t>AFPN0118</t>
  </si>
  <si>
    <t>Internal Control and Essential Audit Practices</t>
  </si>
  <si>
    <t>In today's dynamic and complex business environment, organizations face a multitude of risks that can threaten their financial stability, operational efficiency, and reputation. Internal control, a cornerstone of corporate governance, serves as a critical line of defense against these risks, providing reasonable assurance regarding the achievement of objectives and the reliability of financial reporting.
This course, Internal Control and Essential Audit Practices, delves into the fundamental principles and practical applications of internal control, empowering students with the knowledge and skills necessary to safeguard organizational assets, promote operational efficiency, and enhance financial reporting integrity.</t>
  </si>
  <si>
    <t>Understands the role and functions of assurance work and the differences between the functions of external and internal corporate auditing to determine their scope in accordance with the business context.</t>
  </si>
  <si>
    <t xml:space="preserve">Audit framework and regulation.
Planning and risk assessment.
Internal control.
Communication on internal control.
</t>
  </si>
  <si>
    <t xml:space="preserve">Esquema de Calificación: (Asignación puntajes, notas y ponderación que tienen las actividades desarrolladas en la Unidad de Estudio).
Class activities (40%) - Final Assessment (30%) - Course project (30%). </t>
  </si>
  <si>
    <t>Learning management system (LMS) , Data analysis software , Auditing databases , Online collaboration tools.</t>
  </si>
  <si>
    <t xml:space="preserve">Bibliografía Obligatoria
ACCA. (2024). Audit and Assurance (AA) (First edit). England: ACCA
ISACA. (2023). Relating The Coso Internal Control – Intergrated Framework And Cobit. ISACA. http://www.isaca.org/COBIT/Pages/default.aspx.
Presidencia de la república. (2015). DECRETO 1083 DE 2015. Diario oficial. https://www.funcionpublica.gov.co/eva/gestornormativo/norma.php?i=62866.
Presidencia de la República. (2019). DECRETO 2270 DE 2019. Diario Oficial. https://www.suin-juriscol.gov.co/viewDocument.asp?id=30038628.
International Federation of Accountants. (2021). Handbook of international Quality Control, Auditing, Review, Other Assurance and Related Services Pronouncements. IFAC. https://www.iaasb.org/publications/2021-handbook-international-quality-control-auditing-reviewother-assurance-and-related-services.
</t>
  </si>
  <si>
    <t xml:space="preserve">Bibliografía Complementaria
Arens, A., Elder, R., Beasley, M., &amp; Hogan, C. (2017). Auditing and assurance services. An integrated approach (Sixteenth edit). Retrieved from https://digilib.stekom.ac.id/assets/dokumen/ebook/feb_44bac1dd499213de626e2f232c01e8542ffef3bc_1652001111.pdf
Comisión de Normas de Auditoría y Aseguramiento. (2018). Guías de auditoría: ( ed.). Instituto Mexicano de Contadores Públicos. https://elibro-net.bdbiblioteca.universidadean.edu.co/es/lc/bibliotecaean/titulos/116952
Comisión de Normas de Auditoría y Aseguramiento. (2017). Modelos de informes de auditoría y otras opiniones del auditor: (2 ed.). Instituto Mexicano de Contadores Públicos. https://elibro-net.bdbiblioteca.universidadean.edu.co/es/lc/bibliotecaean/titulos/116410
Presidencia de la República. (2005). Modelo Estándar de Control Interno para el Estado
Colombiano. Presidencia de la República. http://apolo.uniatlantico.edu.co/SIG/MECI-1000-
2005.pdf
</t>
  </si>
  <si>
    <t>AFPN0119</t>
  </si>
  <si>
    <t>Trustfulness on Business Information through Assurance</t>
  </si>
  <si>
    <t>The primary objective of the "Trustworthiness in Business Information through Assurance" course is to equip students with the necessary competencies to critically and comprehensively evaluate the trustworthiness of an organization's financial information. Through the study of fundamental assurance and auditing concepts, students will gain an understanding of the regulatory and normative framework applicable to auditing and develop the skills to effectively plan and execute auditing procedures.</t>
  </si>
  <si>
    <t>Recommend improvement actions to meet corporate objectives and stakeholder expectations.</t>
  </si>
  <si>
    <t xml:space="preserve">Audit evidence.
Review and reporting.
Employability and technology skills.
</t>
  </si>
  <si>
    <t>Auditing software (e.g., SIIGO). Financial information databases (e.g., EMIS, Bloomberg). Online collaboration tools (e.g., Google Drive, Microsoft Teams, CANVAS), data visualization tools (e.g., Power BI, Tableau).</t>
  </si>
  <si>
    <t xml:space="preserve">Bibliografía Obligatoria
ACCA. (2024). Audit and Assurance (AA) (First edit). England: ACCA
Arens, A., Elder, R., Beasly, M., y Hogan, C (2017). Auditing and Assurance Services (Sixteenth Editionᵃ ed.). Pearson Prentice Hall. En la base de datos Biblioteca EAN - Base de datos 724
Congreso de la República. (1990). Ley 43 de 1990: Adición a la Ley 145 de 1960 Reglamentaria de la Profesión de Contador Público. Diario oficial. https://www.mineducacion.gov.co/1621/articles-104547_archivo_pdf.pdf
IFAC. (2004). Auditing Standard No. 3 – Audit Documentation. Public Company Accounting Oversight Board.  ttps://pcaobus.org/oversight/standards/auditingstandards/details/Auditing_Standard_3.
Presidencia de la República. (2019). DECRETO 2270 DE 2019. Diario Oficial. https://www.suin-juriscol.gov.co/viewDocument.asp?id=30038628
</t>
  </si>
  <si>
    <t xml:space="preserve">Bibliografía Complementaria
Arens, A., Elder, R., Beasley, M., &amp; Hogan, C. (2017). Auditing and assurance services. An integrated approach (Sixteenth edit). Retrieved from https://digilib.stekom.ac.id/assets/dokumen/ebook/feb_44bac1dd499213de626e2f232c01e8542ffef3bc_1652001111.pdf
Consejo Técnico de Contaduría Pública. (2023). Pronunciamiento No. 5 – Papeles de trabajo. Consejo Técnico de Contaduría Pública. https://cijuf.org.co/CTCP/pronunciamientos/PRONUNC5.pdf
Corredor Edgar, O. M. Martínez Jimmy, G. &amp; Velandia Daza, L. (2021). Auditoría, aseguramiento y revisoría fiscal, un enfoque teórico práctico: (1 ed.). Corporación Universitaria Minuto de Dios. https://elibro-net.bdbiblioteca.universidadean.edu.co/es/lc/bibliotecaean/titulos/232104
Lessambo, F. I. (2018). Auditing, Assurance Services, and Forensics A Comprehensive Approach (1st ed. 2018.). Springer International Publishing. https://doi.org/10.1007/978-3-319-90521-1
</t>
  </si>
  <si>
    <t>AFPN0041</t>
  </si>
  <si>
    <t>Fintech strategies for business aims to train students in the development of fintech strategies that optimize investment and financing decisions, aligned with corporate objectives and oriented to maximize organizational value. Supported by FINTECH, students will learn to use innovative technologies to implement strategic decisions. This approach is based on a deep understanding of the economic, social, political and legal context to offer sustainable organizational solutions. Emphasis will be placed on the importance of proposing innovative management solutions that integrate ethical principles and social responsibility in the development and application of these technologies. This comprehensive and specialized approach will prepare students to face today's business challenges, adopting a fintech perspective that will allow them to explore new frontiers in the digital transformation of global finance and business.</t>
  </si>
  <si>
    <t>Recommends courses of action in investment and financing decisions that meet corporate objectives and contribute to maximizing value for the organization.</t>
  </si>
  <si>
    <t>Financial management function, Financial management environment, Working capital management, Investment appraisal, Bussiness Finance</t>
  </si>
  <si>
    <t>Esquema de Calificación: (Asignación puntajes, notas y ponderación que tienen las actividades desarrolladas en la Unidad de Estudio).
Objective test (10%) -Exams (60%) -Class work (15%) -Final project (15%)</t>
  </si>
  <si>
    <t>EMIS database, ACCA Virtual Learning centre: Student VLC: Get Ready Modules (accaglobal.com)</t>
  </si>
  <si>
    <t>Bibliografía Obligatoria
Alt, R., &amp; Huch, S. (2022). Fintech Dictionary: Terminology for the Digitalized Financial World (1st ed.). Springer Vieweg. https://doi.org/10.1007/978-3-658-36056-6  Gupta, Pranay, and T. Mandy Tham. Fintech: The New DNA of Financial Services, DEG Press, 2018. ProQuest Ebook Central, https://ebookcentral.proquest.com/lib/bibliotecaean-ebooks/detail.action?docID=5691957. Media, B. L. (2025). ACCA - Financial Management Course Book 2025-26 (PDF) (6th ed.). BPP Publishers. https://online.vitalsource.com/books/8565412500064. Paramasivan, C.. Financial Management, New Age International Ltd, 2009. ProQuest Ebook Central, https://ebookcentral.proquest.com/lib/bibliotecaean-ebooks/detail.action?docID=437705. Zutter, C. J., Smart, S. B.(2022). Principios de Administración Financiera. Pearson Educación. https://www-ebooks7-24-com.bdbiblioteca.universidadean.edu.co/?il=25576 Baca Urbina, G. (2022). Evaluación de Proyectos Plus. McGrawHill - Plus. https://www-ebooks7-24-com.bdbiblioteca.universidadean.edu.co/?il=33271 Bragg, Steven M.. Treasury Management : The Practitioner's Guide, John Wiley &amp; Sons, Incorporated, 2010. ProQuest Ebook Central, https://ebookcentral.proquest.com/lib/bibliotecaean-ebooks/detail.action?docID=487670 Mankiw, N. G. (2020). Principios de economía. Con casos y aplicaciones para América Latina. Cengage Learning. https://www-ebooks7-24-com.bdbiblioteca.universidadean.edu.co/?il=10764 Mankiw, N. G. (2021). Macroeconomía. Cengage. https://www-ebooks7-24-com.bdbiblioteca.universidadean.edu.co/?il=15190 Mishkin, F. S., Eakins, S. G.(2018). Financial markets and institutions. Pearson Educación. https://www-ebooks7-24-com.bdbiblioteca.universidadean.edu.co/?il=6897</t>
  </si>
  <si>
    <t xml:space="preserve">Bibliografía Complementaria
Baca Urbina, G. (2022). Evaluación de Proyectos Plus. McGrawHill - Plus. https://www-ebooks7-24-com.bdbiblioteca.universidadean.edu.co/?il=33271
Bragg, Steven M.. Treasury Management : The Practitioner's Guide, John Wiley &amp; Sons, Incorporated, 2010. ProQuest Ebook Central, https://ebookcentral.proquest.com/lib/bibliotecaean-ebooks/detail.action?docID=487670
Mankiw, N. G. (2020). Principios de economía. Con casos y aplicaciones para América Latina. Cengage Learning. https://www-ebooks7-24-com.bdbiblioteca.universidadean.edu.co/?il=10764 
Mankiw, N. G. (2021). Macroeconomía. Cengage. https://www-ebooks7-24-com.bdbiblioteca.universidadean.edu.co/?il=15190
Mishkin, F. S., Eakins, S. G.(2018). Financial markets and institutions. Pearson Educación. https://www-ebooks7-24-com.bdbiblioteca.universidadean.edu.co/?il=6897
</t>
  </si>
  <si>
    <t>Victoria Cabarcas</t>
  </si>
  <si>
    <t>AFPN0120</t>
  </si>
  <si>
    <t>Financial management course aims to develop advanced skills in students regarding their role as future financial managers. This course is the continuation of Fintech strategies for business and seek to teach topics related to advanced financial assess, business finance and an introduction to risk in financial decision making. At the end of the course, the student will be able to manage the resources and financial decisions of organizations.</t>
  </si>
  <si>
    <t>Applies advanced financial and risk assessment techniques to make decisions considering risk and business finance for the creation of value in organizations.</t>
  </si>
  <si>
    <t>Comparative Investment Appraissal, Business finance, Business Valuations, Risk management</t>
  </si>
  <si>
    <t>EMIS database, ACCA Virtual Learning centre: Student VLC: Get Ready Modules (accaglobal.com), ACCA Technical articles FM technical articles</t>
  </si>
  <si>
    <t>Bibliografía Obligatoria
Berk, J., DeMarzo, P.(2020). Corporate finance. Pearson Education. Eschenbach, Ted G.. (2011). Engineering Economy - Applying Theory to Practice (3rd Edition). Media, B. L. (2025). ACCA - Financial Management Course Book 2025-26 (PDF) (6th ed.). BPP Publishers. https://online.vitalsource.com/books/8565412500064. Paramasivan, C.. Financial Management, New Age International Ltd, 2009. Zutter, C. J., Smart, S. B.(2022). Principios de Administración Financiera. Pearson Educación. Mishkin, F. S., Eakins, S. G.(2018). Financial markets and institutions. Pearson Educación. Damodaran (S.F.). Canal Youtube. Aswath Damodaran, www.youtube.com/user/AswathDamodaran. ACCA Global, https://www.accaglobal.com/an/en/student/exam-support-resources/fundamentals-exams-study-resources/f9/technical-articles.html.</t>
  </si>
  <si>
    <t xml:space="preserve">Bibliografía Complementaria
Baca Urbina, G. (2022). Evaluación de Proyectos Plus. McGrawHill - Plus. https://www-ebooks7-24-com.bdbiblioteca.universidadean.edu.co/?il=33271
Damodaran (S.F.). Canal Youtube. Aswath Damodaran. Disponible en: Aswath Damodaran - YouTube
Mishkin, F. S., Eakins, S. G.(2018). Financial markets and institutions. Pearson Educación. https://www-ebooks7-24-com.bdbiblioteca.universidadean.edu.co/?il=6897
</t>
  </si>
  <si>
    <t>Martha Pachón</t>
  </si>
  <si>
    <t>AFPN0121</t>
  </si>
  <si>
    <t>Examinar los fundamentos teóricos del Sistema Nacional de Contabilidad Pública de Colombia, su adaptación a las Normas Internacionales de Contabilidad del Sector Público y estudiar las normas contables para entidades públicas, destacando las diferencias con las NIIF del sector privado. Esto se hace en el contexto de que más de 3,200 entidades públicas en Colombia operan con fondos públicos, lo que hace esencial la transparencia en el uso de estos recursos.</t>
  </si>
  <si>
    <t>• Conoce los elementos de la estructura del Estado colombiano y las características de las entidades públicas.</t>
  </si>
  <si>
    <t xml:space="preserve">A. Marco regulatorio de las Normas Internacionales de Información Financiera para el sector público en Colombia. 
B. Marco conceptual del Marco Normativo para Entidades de Gobierno.
 C. Principales Normas para el Reconocimiento, Medición, Revelación y Presentación de los Hechos Económicos del Marco Normativo para Entidades de Gobierno. </t>
  </si>
  <si>
    <t>Esquema de Calificación: (Asignación puntajes, notas y ponderación que tienen las actividades desarrolladas en la Unidad de Estudio).
Modules evaluations (80% total) - Final project (20%)</t>
  </si>
  <si>
    <t>Uso de herramientas de ofimática (Excel y Word), software contable y la biblioteca virtual EMIS de la Universidad EAN.</t>
  </si>
  <si>
    <t xml:space="preserve">Bibliografía Obligatoria
Ortiz, H., (2015). Análisis financiero aplicado : y normas internacionales de información financiera – NIF (Decimoquintaᵃ ed.). Universidad Externado de Colombia.
Ramírez, D., (2018). Contabilidad administrativa. Un enfoque estratégico para la competitividad. (Décimaᵃ ed.). McGraw-Hill Interamericana. En la base de datos https://wwwebooks7-24-com.bdbiblioteca.universidadean.edu.co/?il=6254.
Nobles, T., Mattison, B., &amp; Matsumura, E. M., (2017). Contabilidad de Horngren (Décimaᵃ ed.). Pearson Educación.
Angulo, U, (2018). Contabilidad Financiera. Serie Contabilidad y Finanzas, Ediciones de la U. 
Guajardo, G. y Andrade, N., (2018). Contabilidad financiera (Sextaᵃ ed.). México D.F., México: Mc Graw Hill Education. En la base de datos http://bdbiblioteca.universidadean.edu.co:2076/?il=6251&amp;pg=1
Warren, C.S., Reeve, J. M., &amp; Duchac, J. E., (2016). Contabilidad financiera (decimocuartaᵃ ed.). Cengage Learning.
Fierro, A., (2018). Estados financieros consolidados. ECOE Ediciones.
Mantilla, S. A., (2015). Estándares / Normas Internacionales de Información Financiera IFRS (NIIF) (Quintaᵃ ed.). Ecoe Ediciones.
</t>
  </si>
  <si>
    <t>Bibliografía Complementaria
Romero, J., (2019). Seguir una norma en la cultura contable colombiana . Revista Criterio Libre, jul-dic 2019, Vol. 18 issue 31, p. 211-246. En la base de datos Proquest.</t>
  </si>
  <si>
    <t>AFPN0122</t>
  </si>
  <si>
    <t>The current model of the EAN University forces us to recognize its true dimension as a space of knowledge with a critical attitude that allows ensuring the training of the accounting professional as a person responsible not only for his own future but that of society. For this reason, it is important for the accounting profession that, from the training of future Public Accountants, there is a tendency for them to be comprehensively trained in all the skills related to the profession. Thus, this study unit aims to develop an academic plan to deepen and apply the most relevant topics developed throughout the Public Accounting career.</t>
  </si>
  <si>
    <t>Apply accounting, auditing and consulting concepts, methods and techniques to solve challenges in diverse business contexts.</t>
  </si>
  <si>
    <t xml:space="preserve">A. Financial and tax accounting.
B. Analytics and data presentation.
C. Technology for accounting.
D. Advisory.
</t>
  </si>
  <si>
    <t>Esquema de Calificación: (Asignación puntajes, notas y ponderación que tienen las actividades desarrolladas en la Unidad de Estudio).
Actividades y evaluaciones individuales (80%) - Trabajo final (20%)</t>
  </si>
  <si>
    <t>Laboratorio Financiero de la Universidad. EMIS Hoja de cálculo electrónicas MIcrosoft Word LMS - Universidad EAN. Biblioteca virtual Universidad EAN Power BI</t>
  </si>
  <si>
    <t xml:space="preserve">Bibliografía Obligatoria
Presidencia de la República. (2019). DECRETO 2270 DE 2019. Diario Oficial. https://www.suin-juriscol.gov.co/viewDocument.asp?id=30038628.
Presidencia de la República. (1989). Decreto Ley 624 de 1989 - Estatuto Tributario . Diario Oficial. https://www.funcionpublica.gov.co/eva/gestornormativo/norma.php?i=6533.
Global Reporting Initiative. (2023). Home GRI. Global Reporting Initiative. https://www.globalreporting.org/.
Congreso de la República. (1990). Ley 43 de 1990. Diario Oficial. https://www.mineducacion.gov.co/1621/articles-104547_archivo_pdf.pdf.
Organización de las Naciones Unidas. (2023). Objetivos de Desarrollo Sostenible.. ONU. https://www.un.org/sustainabledevelopment/es/objetivos-de-desarrollo-sostenible/.
</t>
  </si>
  <si>
    <t xml:space="preserve">Bibliografía Complementaria
Integrated reporting. (2023). Home - Integrated reporting. Integrated reporting.
https://www.integratedreporting.org/.
Junta Central de Contadores. (2023). Home - JCC. Junta Central de COntadores.
https://www.jcc.gov.co/es/Unidad-Administrativa-Especial.
</t>
  </si>
  <si>
    <t>AFPN0005</t>
  </si>
  <si>
    <t>Las acciones de inversión y financiación son elementos esenciales en el ámbito financiero, las cuales suelen estar
vinculadas a las tasas de interés, la equivalencia del dinero y a diferentes análisis financieros ya sea en términos de
costos financieros o de ganancias. Por lo tanto, el conocimiento y manejo de las notaciones financieras son un requisito
indispensable para cualquier individuo o entidad que desee llevar a cabo operaciones relacionadas con estas
actividades. Por tal razón, la unidad de estudio de Dinero y Finanzas brinda a los estudiantes los conocimientos y
herramientas matemáticas necesarias para analizar y evaluar decisiones financieras, proporcionando una comprensión
sólida de los conceptos y técnicas indispensables de las matemáticas financieras, y cómo se aplican en un mundo
cambiante económico y financiero.</t>
  </si>
  <si>
    <t>Al finalizar este curso, los estudiantes serán capaces de aplicar técnicas financieras para resolver problemas de inversión y financiación.</t>
  </si>
  <si>
    <t>Conceptos básicos de las matemáticas financieras.
Anualidades y equivalencias financieras.
Tablas de amortización.
Tasas de interés, su conversión y fórmulas.
Valor presente neto y tasa interna de retorno.</t>
  </si>
  <si>
    <t>Herramientas financieras.</t>
  </si>
  <si>
    <t xml:space="preserve">Bibliografía Obligatoria
Agudelo R., D. A., Pachón, M., Quintanilla, H., Fernández G., A. F.(2019). Matemáticas financieras: conceptos y aplicaciones. Pearson Educación. https://www-ebooks7-24-com.bdbiblioteca.universidadean.edu.co/?il=7897
</t>
  </si>
  <si>
    <t>Bibliografía Complementaria
Aguilera Gómez, V. M., Díaz Mata, A.(2020). Matemáticas financieras. McGraw-Hill. https://www-ebooks7-24-com.bdbiblioteca.universidadean.edu.co/?il=10410
Escobar Arias, G. E. (2020). Matemáticas financieras: ( ed.). Editorial Universidad Autónoma de Manizales. https://elibro-net.bdbiblioteca.universidadean.edu.co/es/lc/bibliotecaean/titulos/175093
Gutiérrez Banegas, M. Á. (2020). Matemáticas financieras: ( ed.). Instituto Mexicano de Contadores Públicos. https://elibro-net.bdbiblioteca.universidadean.edu.co/es/lc/bibliotecaean/titulos/130920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</si>
</sst>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8"/>
      <color theme="1"/>
      <name val="Calibri"/>
      <family val="2"/>
      <scheme val="minor"/>
    </font>
    <font>
      <u/>
      <sz val="11"/>
      <color theme="10"/>
      <name val="Calibri"/>
      <family val="2"/>
      <scheme val="minor"/>
    </font>
    <font>
      <sz val="12"/>
      <color rgb="FF000000"/>
      <name val="Arial"/>
      <family val="2"/>
      <charset val="1"/>
    </font>
    <font>
      <b/>
      <sz val="11"/>
      <color rgb="FF000000"/>
      <name val="Calibri"/>
    </font>
    <font>
      <sz val="10"/>
      <color rgb="FF000000"/>
      <name val="Calibri"/>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FF"/>
        <bgColor indexed="64"/>
      </patternFill>
    </fill>
  </fills>
  <borders count="60">
    <border>
      <left/>
      <right/>
      <top/>
      <bottom/>
      <diagonal/>
    </border>
    <border>
      <left style="thin">
        <color auto="1"/>
      </left>
      <right style="thin">
        <color auto="1"/>
      </right>
      <top style="thin">
        <color auto="1"/>
      </top>
      <bottom style="thin">
        <color auto="1"/>
      </bottom>
      <diagonal/>
    </border>
    <border>
      <left style="dashed">
        <color auto="1"/>
      </left>
      <right style="double">
        <color auto="1"/>
      </right>
      <top style="double">
        <color auto="1"/>
      </top>
      <bottom style="dashed">
        <color auto="1"/>
      </bottom>
      <diagonal/>
    </border>
    <border>
      <left style="dashed">
        <color auto="1"/>
      </left>
      <right style="double">
        <color auto="1"/>
      </right>
      <top style="dashed">
        <color auto="1"/>
      </top>
      <bottom/>
      <diagonal/>
    </border>
    <border>
      <left style="dotted">
        <color auto="1"/>
      </left>
      <right style="double">
        <color auto="1"/>
      </right>
      <top style="dashed">
        <color auto="1"/>
      </top>
      <bottom style="double">
        <color auto="1"/>
      </bottom>
      <diagonal/>
    </border>
    <border>
      <left/>
      <right/>
      <top/>
      <bottom style="double">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medium">
        <color auto="1"/>
      </bottom>
      <diagonal/>
    </border>
    <border>
      <left style="double">
        <color auto="1"/>
      </left>
      <right style="dashed">
        <color auto="1"/>
      </right>
      <top style="double">
        <color auto="1"/>
      </top>
      <bottom style="dashed">
        <color auto="1"/>
      </bottom>
      <diagonal/>
    </border>
    <border>
      <left style="double">
        <color auto="1"/>
      </left>
      <right style="dashed">
        <color auto="1"/>
      </right>
      <top style="dashed">
        <color auto="1"/>
      </top>
      <bottom/>
      <diagonal/>
    </border>
    <border>
      <left style="dashed">
        <color auto="1"/>
      </left>
      <right style="dashed">
        <color auto="1"/>
      </right>
      <top style="double">
        <color auto="1"/>
      </top>
      <bottom style="dashed">
        <color auto="1"/>
      </bottom>
      <diagonal/>
    </border>
    <border>
      <left style="dashed">
        <color auto="1"/>
      </left>
      <right style="dashed">
        <color auto="1"/>
      </right>
      <top style="dashed">
        <color auto="1"/>
      </top>
      <bottom/>
      <diagonal/>
    </border>
    <border>
      <left style="double">
        <color auto="1"/>
      </left>
      <right/>
      <top style="dashed">
        <color auto="1"/>
      </top>
      <bottom style="double">
        <color auto="1"/>
      </bottom>
      <diagonal/>
    </border>
    <border>
      <left/>
      <right/>
      <top style="dashed">
        <color auto="1"/>
      </top>
      <bottom style="double">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cellStyleXfs>
  <cellXfs count="16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0" fillId="0" borderId="1" xfId="0" applyBorder="1" applyAlignment="1">
      <alignment wrapText="1"/>
    </xf>
    <xf numFmtId="0" fontId="0" fillId="2" borderId="0" xfId="0" applyFill="1"/>
    <xf numFmtId="0" fontId="0" fillId="2" borderId="5"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6" xfId="0" applyFont="1" applyFill="1" applyBorder="1" applyAlignment="1">
      <alignment horizontal="center" vertical="center"/>
    </xf>
    <xf numFmtId="0" fontId="0" fillId="0" borderId="7" xfId="0" applyBorder="1"/>
    <xf numFmtId="0" fontId="1" fillId="0" borderId="8" xfId="0" applyFont="1" applyBorder="1" applyAlignment="1">
      <alignment horizontal="center"/>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2" borderId="1" xfId="0" applyFill="1" applyBorder="1" applyAlignment="1">
      <alignment horizontal="center" vertical="center"/>
    </xf>
    <xf numFmtId="0" fontId="1" fillId="0" borderId="8" xfId="0" applyFont="1" applyBorder="1" applyAlignment="1">
      <alignment horizontal="center" vertical="center"/>
    </xf>
    <xf numFmtId="0" fontId="1" fillId="2" borderId="8" xfId="0" applyFont="1" applyFill="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7" fillId="0" borderId="1" xfId="0" applyFont="1" applyBorder="1" applyAlignment="1">
      <alignment horizontal="center" vertical="center"/>
    </xf>
    <xf numFmtId="0" fontId="0" fillId="0" borderId="12" xfId="0" applyBorder="1" applyAlignment="1">
      <alignment horizontal="center" vertical="center"/>
    </xf>
    <xf numFmtId="0" fontId="1" fillId="0" borderId="6"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0" fillId="0" borderId="8"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1" fillId="0" borderId="0" xfId="0" applyFont="1"/>
    <xf numFmtId="0" fontId="8" fillId="0" borderId="0" xfId="1"/>
    <xf numFmtId="0" fontId="9" fillId="4" borderId="0" xfId="0" applyFont="1" applyFill="1"/>
    <xf numFmtId="0" fontId="4" fillId="0" borderId="1" xfId="0" applyFont="1" applyBorder="1" applyAlignment="1">
      <alignment horizontal="center" vertical="center" wrapText="1"/>
    </xf>
    <xf numFmtId="0" fontId="0" fillId="0" borderId="1" xfId="0" applyBorder="1" applyAlignment="1">
      <alignment horizontal="center" wrapText="1"/>
    </xf>
    <xf numFmtId="0" fontId="0" fillId="0" borderId="12"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 xfId="0" applyBorder="1" applyAlignment="1">
      <alignment horizontal="center" vertical="center" wrapText="1"/>
    </xf>
    <xf numFmtId="0" fontId="0" fillId="0" borderId="12" xfId="0" applyBorder="1" applyAlignment="1">
      <alignment horizontal="center" vertical="center" wrapText="1"/>
    </xf>
    <xf numFmtId="0" fontId="1" fillId="0" borderId="26" xfId="0" applyFont="1" applyBorder="1" applyAlignment="1">
      <alignment horizontal="center"/>
    </xf>
    <xf numFmtId="0" fontId="1" fillId="0" borderId="27" xfId="0" applyFont="1" applyBorder="1" applyAlignment="1">
      <alignment horizontal="center"/>
    </xf>
    <xf numFmtId="0" fontId="1" fillId="0" borderId="28" xfId="0" applyFont="1" applyBorder="1" applyAlignment="1">
      <alignment horizontal="center"/>
    </xf>
    <xf numFmtId="0" fontId="0" fillId="0" borderId="35" xfId="0" applyBorder="1" applyAlignment="1">
      <alignment horizontal="center" vertical="top" wrapText="1"/>
    </xf>
    <xf numFmtId="0" fontId="0" fillId="0" borderId="36" xfId="0" applyBorder="1" applyAlignment="1">
      <alignment horizontal="center" vertical="top" wrapText="1"/>
    </xf>
    <xf numFmtId="0" fontId="0" fillId="0" borderId="37" xfId="0" applyBorder="1" applyAlignment="1">
      <alignment horizontal="center" vertical="top" wrapText="1"/>
    </xf>
    <xf numFmtId="0" fontId="0" fillId="0" borderId="38" xfId="0" applyBorder="1" applyAlignment="1">
      <alignment horizontal="center" vertical="top" wrapText="1"/>
    </xf>
    <xf numFmtId="0" fontId="0" fillId="0" borderId="0" xfId="0" applyAlignment="1">
      <alignment horizontal="center" vertical="top" wrapText="1"/>
    </xf>
    <xf numFmtId="0" fontId="0" fillId="0" borderId="39" xfId="0" applyBorder="1" applyAlignment="1">
      <alignment horizontal="center" vertical="top" wrapText="1"/>
    </xf>
    <xf numFmtId="0" fontId="0" fillId="0" borderId="40" xfId="0" applyBorder="1" applyAlignment="1">
      <alignment horizontal="center"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1" fillId="0" borderId="30" xfId="0" applyFont="1" applyBorder="1" applyAlignment="1">
      <alignment horizontal="center" vertical="top" wrapText="1"/>
    </xf>
    <xf numFmtId="0" fontId="1" fillId="0" borderId="31" xfId="0" applyFont="1" applyBorder="1" applyAlignment="1">
      <alignment horizontal="center" vertical="top" wrapText="1"/>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34" xfId="0" applyFont="1" applyBorder="1" applyAlignment="1">
      <alignment horizontal="center" vertical="top" wrapText="1"/>
    </xf>
    <xf numFmtId="0" fontId="1" fillId="0" borderId="29" xfId="0" applyFont="1" applyBorder="1" applyAlignment="1">
      <alignment horizontal="center" vertical="center"/>
    </xf>
    <xf numFmtId="0" fontId="1" fillId="0" borderId="14" xfId="0" applyFont="1" applyBorder="1" applyAlignment="1">
      <alignment horizontal="center" vertical="center"/>
    </xf>
    <xf numFmtId="0" fontId="0" fillId="0" borderId="14" xfId="0" applyBorder="1" applyAlignment="1">
      <alignment horizontal="center"/>
    </xf>
    <xf numFmtId="0" fontId="1" fillId="0" borderId="6" xfId="0" applyFont="1" applyBorder="1" applyAlignment="1">
      <alignment horizontal="center"/>
    </xf>
    <xf numFmtId="0" fontId="1" fillId="0" borderId="25" xfId="0" applyFont="1" applyBorder="1" applyAlignment="1">
      <alignment horizontal="center"/>
    </xf>
    <xf numFmtId="0" fontId="1" fillId="0" borderId="13" xfId="0" applyFont="1" applyBorder="1" applyAlignment="1">
      <alignment horizontal="center"/>
    </xf>
    <xf numFmtId="0" fontId="1" fillId="0" borderId="43" xfId="0" applyFont="1" applyBorder="1" applyAlignment="1">
      <alignment horizontal="center" vertical="top" wrapText="1"/>
    </xf>
    <xf numFmtId="0" fontId="1" fillId="0" borderId="44" xfId="0" applyFont="1" applyBorder="1" applyAlignment="1">
      <alignment horizontal="center" vertical="top" wrapText="1"/>
    </xf>
    <xf numFmtId="0" fontId="1" fillId="0" borderId="45" xfId="0" applyFont="1" applyBorder="1" applyAlignment="1">
      <alignment horizontal="center" vertical="top" wrapText="1"/>
    </xf>
    <xf numFmtId="0" fontId="1" fillId="0" borderId="38" xfId="0" applyFont="1" applyBorder="1" applyAlignment="1">
      <alignment horizontal="center" vertical="top" wrapText="1"/>
    </xf>
    <xf numFmtId="0" fontId="1" fillId="0" borderId="0" xfId="0" applyFont="1" applyAlignment="1">
      <alignment horizontal="center" vertical="top" wrapText="1"/>
    </xf>
    <xf numFmtId="0" fontId="1" fillId="0" borderId="46" xfId="0" applyFont="1" applyBorder="1" applyAlignment="1">
      <alignment horizontal="center" vertical="top" wrapText="1"/>
    </xf>
    <xf numFmtId="0" fontId="1" fillId="0" borderId="40" xfId="0" applyFont="1" applyBorder="1" applyAlignment="1">
      <alignment horizontal="center" vertical="top" wrapText="1"/>
    </xf>
    <xf numFmtId="0" fontId="1" fillId="0" borderId="41" xfId="0" applyFont="1" applyBorder="1" applyAlignment="1">
      <alignment horizontal="center" vertical="top" wrapText="1"/>
    </xf>
    <xf numFmtId="0" fontId="1" fillId="0" borderId="47" xfId="0" applyFont="1" applyBorder="1" applyAlignment="1">
      <alignment horizontal="center" vertical="top" wrapText="1"/>
    </xf>
    <xf numFmtId="0" fontId="1" fillId="0" borderId="1" xfId="0" applyFont="1" applyBorder="1" applyAlignment="1">
      <alignment horizontal="center"/>
    </xf>
    <xf numFmtId="0" fontId="1" fillId="0" borderId="12" xfId="0" applyFont="1" applyBorder="1" applyAlignment="1">
      <alignment horizontal="center"/>
    </xf>
    <xf numFmtId="0" fontId="1" fillId="0" borderId="43" xfId="0" applyFont="1" applyBorder="1" applyAlignment="1">
      <alignment horizontal="center" vertical="top"/>
    </xf>
    <xf numFmtId="0" fontId="1" fillId="0" borderId="50" xfId="0" applyFont="1" applyBorder="1" applyAlignment="1">
      <alignment horizontal="center" vertical="top"/>
    </xf>
    <xf numFmtId="0" fontId="1" fillId="0" borderId="38" xfId="0" applyFont="1" applyBorder="1" applyAlignment="1">
      <alignment horizontal="center" vertical="top"/>
    </xf>
    <xf numFmtId="0" fontId="1" fillId="0" borderId="39" xfId="0" applyFont="1" applyBorder="1" applyAlignment="1">
      <alignment horizontal="center" vertical="top"/>
    </xf>
    <xf numFmtId="0" fontId="1" fillId="0" borderId="40" xfId="0" applyFont="1" applyBorder="1" applyAlignment="1">
      <alignment horizontal="center" vertical="top"/>
    </xf>
    <xf numFmtId="0" fontId="1" fillId="0" borderId="42" xfId="0" applyFont="1" applyBorder="1" applyAlignment="1">
      <alignment horizontal="center" vertical="top"/>
    </xf>
    <xf numFmtId="0" fontId="1" fillId="0" borderId="43" xfId="0" applyFont="1" applyBorder="1" applyAlignment="1">
      <alignment horizontal="left" vertical="top" wrapText="1"/>
    </xf>
    <xf numFmtId="0" fontId="1" fillId="0" borderId="44" xfId="0" applyFont="1" applyBorder="1" applyAlignment="1">
      <alignment horizontal="left" vertical="top" wrapText="1"/>
    </xf>
    <xf numFmtId="0" fontId="1" fillId="0" borderId="50" xfId="0" applyFont="1" applyBorder="1" applyAlignment="1">
      <alignment horizontal="left" vertical="top" wrapText="1"/>
    </xf>
    <xf numFmtId="0" fontId="1" fillId="0" borderId="38" xfId="0" applyFont="1" applyBorder="1" applyAlignment="1">
      <alignment horizontal="left" vertical="top" wrapText="1"/>
    </xf>
    <xf numFmtId="0" fontId="1" fillId="0" borderId="0" xfId="0" applyFont="1" applyAlignment="1">
      <alignment horizontal="left" vertical="top" wrapText="1"/>
    </xf>
    <xf numFmtId="0" fontId="1" fillId="0" borderId="39" xfId="0" applyFont="1" applyBorder="1" applyAlignment="1">
      <alignment horizontal="left" vertical="top" wrapText="1"/>
    </xf>
    <xf numFmtId="0" fontId="1" fillId="0" borderId="40" xfId="0" applyFont="1" applyBorder="1" applyAlignment="1">
      <alignment horizontal="left" vertical="top" wrapText="1"/>
    </xf>
    <xf numFmtId="0" fontId="1" fillId="0" borderId="41" xfId="0" applyFont="1" applyBorder="1" applyAlignment="1">
      <alignment horizontal="left" vertical="top" wrapText="1"/>
    </xf>
    <xf numFmtId="0" fontId="1" fillId="0" borderId="42" xfId="0" applyFont="1" applyBorder="1" applyAlignment="1">
      <alignment horizontal="left" vertical="top" wrapText="1"/>
    </xf>
    <xf numFmtId="0" fontId="0" fillId="0" borderId="1" xfId="0" applyBorder="1" applyAlignment="1">
      <alignment horizontal="center" vertical="center"/>
    </xf>
    <xf numFmtId="0" fontId="0" fillId="0" borderId="12" xfId="0" applyBorder="1" applyAlignment="1">
      <alignment horizontal="center" vertical="center"/>
    </xf>
    <xf numFmtId="0" fontId="1" fillId="0" borderId="58" xfId="0" applyFont="1" applyBorder="1" applyAlignment="1">
      <alignment horizontal="center" wrapText="1"/>
    </xf>
    <xf numFmtId="0" fontId="1" fillId="0" borderId="23" xfId="0" applyFont="1" applyBorder="1" applyAlignment="1">
      <alignment horizontal="center" wrapText="1"/>
    </xf>
    <xf numFmtId="0" fontId="1" fillId="0" borderId="22" xfId="0" applyFont="1" applyBorder="1" applyAlignment="1">
      <alignment horizontal="left"/>
    </xf>
    <xf numFmtId="0" fontId="1" fillId="0" borderId="24" xfId="0" applyFont="1" applyBorder="1" applyAlignment="1">
      <alignment horizontal="left"/>
    </xf>
    <xf numFmtId="0" fontId="1" fillId="0" borderId="59" xfId="0" applyFont="1" applyBorder="1" applyAlignment="1">
      <alignment horizontal="left"/>
    </xf>
    <xf numFmtId="0" fontId="1" fillId="0" borderId="53" xfId="0" applyFont="1" applyBorder="1" applyAlignment="1">
      <alignment horizontal="center" wrapText="1"/>
    </xf>
    <xf numFmtId="0" fontId="1" fillId="0" borderId="54" xfId="0" applyFont="1" applyBorder="1" applyAlignment="1">
      <alignment horizontal="center" wrapText="1"/>
    </xf>
    <xf numFmtId="0" fontId="0" fillId="0" borderId="55" xfId="0" applyBorder="1" applyAlignment="1">
      <alignment horizontal="left"/>
    </xf>
    <xf numFmtId="0" fontId="0" fillId="0" borderId="56" xfId="0" applyBorder="1" applyAlignment="1">
      <alignment horizontal="left"/>
    </xf>
    <xf numFmtId="0" fontId="0" fillId="0" borderId="57" xfId="0" applyBorder="1" applyAlignment="1">
      <alignment horizontal="left"/>
    </xf>
    <xf numFmtId="0" fontId="0" fillId="0" borderId="8" xfId="0" applyBorder="1" applyAlignment="1">
      <alignment horizontal="center" wrapText="1"/>
    </xf>
    <xf numFmtId="0" fontId="0" fillId="0" borderId="48" xfId="0" applyBorder="1" applyAlignment="1">
      <alignment horizontal="center" wrapText="1"/>
    </xf>
    <xf numFmtId="0" fontId="0" fillId="0" borderId="21" xfId="0" applyBorder="1" applyAlignment="1">
      <alignment horizontal="center" wrapText="1"/>
    </xf>
    <xf numFmtId="0" fontId="0" fillId="0" borderId="49" xfId="0" applyBorder="1" applyAlignment="1">
      <alignment horizontal="center" wrapText="1"/>
    </xf>
    <xf numFmtId="0" fontId="1" fillId="0" borderId="30" xfId="0" applyFont="1" applyBorder="1" applyAlignment="1">
      <alignment horizontal="center" vertical="top"/>
    </xf>
    <xf numFmtId="0" fontId="1" fillId="0" borderId="31" xfId="0" applyFont="1" applyBorder="1" applyAlignment="1">
      <alignment horizontal="center" vertical="top"/>
    </xf>
    <xf numFmtId="0" fontId="1" fillId="0" borderId="34" xfId="0" applyFont="1" applyBorder="1" applyAlignment="1">
      <alignment horizontal="center" vertical="top"/>
    </xf>
    <xf numFmtId="0" fontId="1" fillId="0" borderId="51" xfId="0" applyFont="1" applyBorder="1" applyAlignment="1">
      <alignment horizontal="center" vertical="center"/>
    </xf>
    <xf numFmtId="0" fontId="1" fillId="0" borderId="52" xfId="0" applyFont="1" applyBorder="1" applyAlignment="1">
      <alignment horizontal="center" vertical="center"/>
    </xf>
    <xf numFmtId="0" fontId="1" fillId="2" borderId="51" xfId="0" applyFont="1" applyFill="1" applyBorder="1" applyAlignment="1">
      <alignment horizontal="center" vertical="center"/>
    </xf>
    <xf numFmtId="0" fontId="1" fillId="2" borderId="52" xfId="0" applyFont="1" applyFill="1" applyBorder="1" applyAlignment="1">
      <alignment horizontal="center" vertical="center"/>
    </xf>
    <xf numFmtId="0" fontId="1" fillId="0" borderId="22" xfId="0" applyFont="1" applyBorder="1" applyAlignment="1">
      <alignment horizontal="center" vertical="center" wrapText="1"/>
    </xf>
    <xf numFmtId="0" fontId="1" fillId="0" borderId="59" xfId="0" applyFont="1" applyBorder="1" applyAlignment="1">
      <alignment horizontal="center" vertical="center" wrapText="1"/>
    </xf>
    <xf numFmtId="0" fontId="4" fillId="0" borderId="15" xfId="0" applyFont="1" applyBorder="1" applyAlignment="1">
      <alignment vertical="center" wrapText="1"/>
    </xf>
    <xf numFmtId="0" fontId="4" fillId="0" borderId="16" xfId="0" applyFont="1" applyBorder="1" applyAlignment="1">
      <alignment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1" fillId="0" borderId="21" xfId="0" applyFont="1" applyBorder="1" applyAlignment="1">
      <alignment horizontal="center" vertical="center"/>
    </xf>
    <xf numFmtId="0" fontId="1" fillId="0" borderId="6" xfId="0" applyFont="1" applyBorder="1" applyAlignment="1">
      <alignment horizontal="center" vertical="center"/>
    </xf>
    <xf numFmtId="0" fontId="1" fillId="0" borderId="25" xfId="0" applyFont="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22"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21" xfId="0" applyFont="1" applyBorder="1" applyAlignment="1">
      <alignment horizontal="left" vertical="top"/>
    </xf>
    <xf numFmtId="0" fontId="0" fillId="0" borderId="1" xfId="0" applyBorder="1" applyAlignment="1">
      <alignment horizontal="left" vertical="top" wrapText="1"/>
    </xf>
    <xf numFmtId="0" fontId="0" fillId="0" borderId="22" xfId="0" applyBorder="1" applyAlignment="1">
      <alignment horizontal="center" vertical="center" wrapText="1"/>
    </xf>
    <xf numFmtId="0" fontId="1" fillId="0" borderId="24"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2" xfId="0" applyFont="1" applyBorder="1" applyAlignment="1">
      <alignment horizontal="center" vertical="center"/>
    </xf>
    <xf numFmtId="0" fontId="1" fillId="0" borderId="24" xfId="0" applyFont="1" applyBorder="1" applyAlignment="1">
      <alignment horizontal="center" vertical="center"/>
    </xf>
    <xf numFmtId="0" fontId="1" fillId="0" borderId="23" xfId="0" applyFont="1" applyBorder="1" applyAlignment="1">
      <alignment horizontal="center" vertical="center"/>
    </xf>
    <xf numFmtId="0" fontId="1" fillId="3" borderId="1" xfId="0" applyFont="1" applyFill="1" applyBorder="1" applyAlignment="1">
      <alignment horizontal="left" vertical="top"/>
    </xf>
    <xf numFmtId="0" fontId="0" fillId="0" borderId="24" xfId="0" applyBorder="1" applyAlignment="1">
      <alignment horizontal="center" vertical="center" wrapText="1"/>
    </xf>
    <xf numFmtId="0" fontId="0" fillId="0" borderId="23" xfId="0" applyBorder="1" applyAlignment="1">
      <alignment horizontal="center" vertical="center" wrapText="1"/>
    </xf>
    <xf numFmtId="0" fontId="1" fillId="3" borderId="22" xfId="0" applyFont="1" applyFill="1" applyBorder="1" applyAlignment="1">
      <alignment horizontal="center" wrapText="1"/>
    </xf>
    <xf numFmtId="0" fontId="1" fillId="3" borderId="2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3" xfId="0" applyFont="1" applyFill="1" applyBorder="1" applyAlignment="1">
      <alignment horizontal="center" vertical="center"/>
    </xf>
    <xf numFmtId="0" fontId="10" fillId="0" borderId="6" xfId="0" applyFont="1" applyBorder="1" applyAlignment="1">
      <alignment horizontal="center" vertical="top" wrapText="1"/>
    </xf>
    <xf numFmtId="0" fontId="1" fillId="0" borderId="25" xfId="0" applyFont="1" applyBorder="1" applyAlignment="1">
      <alignment horizontal="center" vertical="top"/>
    </xf>
    <xf numFmtId="0" fontId="1" fillId="0" borderId="13" xfId="0" applyFont="1" applyBorder="1" applyAlignment="1">
      <alignment horizontal="center" vertical="top"/>
    </xf>
    <xf numFmtId="0" fontId="1" fillId="0" borderId="22" xfId="0" applyFont="1" applyBorder="1" applyAlignment="1">
      <alignment horizontal="lef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D26D22C-886E-4E22-A0E4-E118678964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D546F3A1-520E-49C4-9EB7-9A4EBEF779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DACF112-CE65-485B-814C-4222C84BFC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CC92040C-7CD7-482C-855D-88A922702C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74E25805-E51E-43A5-8099-D901464B8E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23529</xdr:colOff>
      <xdr:row>1</xdr:row>
      <xdr:rowOff>65018</xdr:rowOff>
    </xdr:from>
    <xdr:to>
      <xdr:col>1</xdr:col>
      <xdr:colOff>895350</xdr:colOff>
      <xdr:row>2</xdr:row>
      <xdr:rowOff>127109</xdr:rowOff>
    </xdr:to>
    <xdr:pic>
      <xdr:nvPicPr>
        <xdr:cNvPr id="2" name="Imagen 1">
          <a:extLst>
            <a:ext uri="{FF2B5EF4-FFF2-40B4-BE49-F238E27FC236}">
              <a16:creationId xmlns:a16="http://schemas.microsoft.com/office/drawing/2014/main" id="{46BBEF75-CACB-44F7-89FD-59D09E5EA7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33079" y="25551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9E9D9CE6-6E76-4625-BAB4-39B47385D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143BED18-9139-4C1F-AB33-FA690BD62E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C12C4ED5-744A-423C-BB2B-B05443E0E0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E88906CB-15E8-42DE-A547-EC51AB997B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5BB30C7B-A8AB-4900-BD5E-1D04B551A1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C9F09152-28A5-490C-B6D6-6829F7E36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8351624E-A809-41EF-846A-353629D18D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BF7A38B4-54D1-48C2-A772-75C29842D8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41E664AB-1059-4B51-864A-E107BF3DD1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61033D09-A2FB-478F-A54E-DBAF3D2F2D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DDB538A4-7A37-4814-8FD0-42332CDDED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CFE62A2C-E59C-40DE-ABBE-3E4CC05E7C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18608-6685-4536-96CB-CE6C3958980D}">
  <sheetPr codeName="Hoja5"/>
  <dimension ref="A1:A20"/>
  <sheetViews>
    <sheetView workbookViewId="0">
      <selection activeCell="A17" sqref="A17"/>
    </sheetView>
  </sheetViews>
  <sheetFormatPr defaultColWidth="11.42578125" defaultRowHeight="14.45"/>
  <cols>
    <col min="1" max="1" width="29.42578125" bestFit="1" customWidth="1"/>
  </cols>
  <sheetData>
    <row r="1" spans="1:1">
      <c r="A1" s="38" t="s">
        <v>0</v>
      </c>
    </row>
    <row r="3" spans="1:1">
      <c r="A3" s="39" t="s">
        <v>1</v>
      </c>
    </row>
    <row r="4" spans="1:1">
      <c r="A4" s="39" t="s">
        <v>2</v>
      </c>
    </row>
    <row r="5" spans="1:1">
      <c r="A5" s="39" t="s">
        <v>3</v>
      </c>
    </row>
    <row r="6" spans="1:1">
      <c r="A6" s="39" t="s">
        <v>4</v>
      </c>
    </row>
    <row r="7" spans="1:1">
      <c r="A7" s="39" t="s">
        <v>5</v>
      </c>
    </row>
    <row r="8" spans="1:1">
      <c r="A8" s="39" t="s">
        <v>6</v>
      </c>
    </row>
    <row r="9" spans="1:1">
      <c r="A9" s="39" t="s">
        <v>7</v>
      </c>
    </row>
    <row r="10" spans="1:1">
      <c r="A10" s="39" t="s">
        <v>8</v>
      </c>
    </row>
    <row r="11" spans="1:1">
      <c r="A11" s="39" t="s">
        <v>9</v>
      </c>
    </row>
    <row r="12" spans="1:1">
      <c r="A12" s="39" t="s">
        <v>10</v>
      </c>
    </row>
    <row r="13" spans="1:1">
      <c r="A13" s="39" t="s">
        <v>11</v>
      </c>
    </row>
    <row r="14" spans="1:1">
      <c r="A14" s="39" t="s">
        <v>12</v>
      </c>
    </row>
    <row r="15" spans="1:1">
      <c r="A15" s="39" t="s">
        <v>13</v>
      </c>
    </row>
    <row r="16" spans="1:1">
      <c r="A16" s="39" t="s">
        <v>14</v>
      </c>
    </row>
    <row r="17" spans="1:1">
      <c r="A17" s="39" t="s">
        <v>15</v>
      </c>
    </row>
    <row r="18" spans="1:1">
      <c r="A18" s="39" t="s">
        <v>16</v>
      </c>
    </row>
    <row r="19" spans="1:1">
      <c r="A19" s="39" t="s">
        <v>17</v>
      </c>
    </row>
    <row r="20" spans="1:1">
      <c r="A20" s="39" t="s">
        <v>18</v>
      </c>
    </row>
  </sheetData>
  <hyperlinks>
    <hyperlink ref="A3" display="Business and Technology" xr:uid="{00000000-0004-0000-0000-000000000000}"/>
    <hyperlink ref="A4" display="Business financial optimization" xr:uid="{00000000-0004-0000-0000-000001000000}"/>
    <hyperlink ref="A5" display="Financial accounting for operat" xr:uid="{00000000-0004-0000-0000-000002000000}"/>
    <hyperlink ref="A6" display="Financial accounting for invest" xr:uid="{00000000-0004-0000-0000-000003000000}"/>
    <hyperlink ref="A7" display="Corporate Taxes" xr:uid="{00000000-0004-0000-0000-000004000000}"/>
    <hyperlink ref="A8" display="Legal System" xr:uid="{00000000-0004-0000-0000-000005000000}"/>
    <hyperlink ref="A9" display="Performance Management" xr:uid="{00000000-0004-0000-0000-000006000000}"/>
    <hyperlink ref="A10" display="Tax Management" xr:uid="{00000000-0004-0000-0000-000007000000}"/>
    <hyperlink ref="A11" display="Regulations for Companies" xr:uid="{00000000-0004-0000-0000-000008000000}"/>
    <hyperlink ref="A12" display="Financial Information for Value" xr:uid="{00000000-0004-0000-0000-000009000000}"/>
    <hyperlink ref="A13" display="Financial Information for Busin" xr:uid="{00000000-0004-0000-0000-00000A000000}"/>
    <hyperlink ref="A14" display="Internal Control and Essential " xr:uid="{00000000-0004-0000-0000-00000B000000}"/>
    <hyperlink ref="A15" display="Trustfulness on Business Inform" xr:uid="{00000000-0004-0000-0000-00000C000000}"/>
    <hyperlink ref="A16" display="Fintech Strategies for Business" xr:uid="{00000000-0004-0000-0000-00000D000000}"/>
    <hyperlink ref="A17" display="Financial Management" xr:uid="{00000000-0004-0000-0000-00000E000000}"/>
    <hyperlink ref="A18" display="New Public Financial Management" xr:uid="{00000000-0004-0000-0000-00000F000000}"/>
    <hyperlink ref="A19" display="Laboratorio Contable" xr:uid="{00000000-0004-0000-0000-000010000000}"/>
    <hyperlink ref="A20" display="Dinero y Finanzas" xr:uid="{00000000-0004-0000-0000-00001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sheetPr codeName="Hoja1"/>
  <dimension ref="B1:I88"/>
  <sheetViews>
    <sheetView topLeftCell="A68"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20</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23</v>
      </c>
    </row>
    <row r="5" spans="2:9" ht="15" thickTop="1">
      <c r="B5" s="133"/>
      <c r="C5" s="133"/>
      <c r="D5" s="133"/>
      <c r="E5" s="133"/>
      <c r="F5" s="133"/>
      <c r="G5" s="133"/>
      <c r="H5" s="133"/>
      <c r="I5" s="133"/>
    </row>
    <row r="6" spans="2:9">
      <c r="B6" s="133" t="s">
        <v>24</v>
      </c>
      <c r="C6" s="133"/>
      <c r="D6" s="133"/>
      <c r="E6" s="133"/>
      <c r="F6" s="133"/>
      <c r="G6" s="133"/>
      <c r="H6" s="133"/>
      <c r="I6" s="133"/>
    </row>
    <row r="7" spans="2:9" ht="43.5">
      <c r="B7" s="4" t="s">
        <v>25</v>
      </c>
      <c r="C7" s="3"/>
      <c r="D7" s="1" t="s">
        <v>26</v>
      </c>
      <c r="E7" s="3"/>
      <c r="F7" s="1" t="s">
        <v>27</v>
      </c>
      <c r="G7" s="3"/>
      <c r="H7" s="1" t="s">
        <v>28</v>
      </c>
      <c r="I7" s="3"/>
    </row>
    <row r="8" spans="2:9" ht="43.5">
      <c r="B8" s="1" t="s">
        <v>29</v>
      </c>
      <c r="C8" s="3"/>
      <c r="D8" s="4" t="s">
        <v>30</v>
      </c>
      <c r="E8" s="97"/>
      <c r="F8" s="97"/>
      <c r="G8" s="1" t="s">
        <v>31</v>
      </c>
      <c r="H8" s="97"/>
      <c r="I8" s="97"/>
    </row>
    <row r="9" spans="2:9" ht="29.1">
      <c r="B9" s="1" t="s">
        <v>32</v>
      </c>
      <c r="C9" s="6"/>
      <c r="D9" s="1" t="s">
        <v>33</v>
      </c>
      <c r="E9" s="6"/>
      <c r="F9" s="1" t="s">
        <v>34</v>
      </c>
      <c r="G9" s="6"/>
      <c r="H9" s="1" t="s">
        <v>35</v>
      </c>
      <c r="I9" s="6">
        <f>E9+G9</f>
        <v>0</v>
      </c>
    </row>
    <row r="10" spans="2:9">
      <c r="B10" s="132" t="s">
        <v>36</v>
      </c>
      <c r="C10" s="80"/>
      <c r="D10" s="80"/>
      <c r="E10" s="80"/>
      <c r="F10" s="80"/>
      <c r="G10" s="80"/>
      <c r="H10" s="80"/>
      <c r="I10" s="80"/>
    </row>
    <row r="11" spans="2:9">
      <c r="B11" s="132" t="s">
        <v>37</v>
      </c>
      <c r="C11" s="132"/>
      <c r="D11" s="133" t="s">
        <v>38</v>
      </c>
      <c r="E11" s="134"/>
      <c r="F11" s="134"/>
      <c r="G11" s="133" t="s">
        <v>39</v>
      </c>
      <c r="H11" s="134"/>
      <c r="I11" s="134"/>
    </row>
    <row r="12" spans="2:9">
      <c r="B12" s="132"/>
      <c r="C12" s="132"/>
      <c r="D12" s="133"/>
      <c r="E12" s="134"/>
      <c r="F12" s="134"/>
      <c r="G12" s="133"/>
      <c r="H12" s="134"/>
      <c r="I12" s="134"/>
    </row>
    <row r="13" spans="2:9">
      <c r="B13" s="80" t="s">
        <v>40</v>
      </c>
      <c r="C13" s="80"/>
      <c r="D13" s="80"/>
      <c r="E13" s="80"/>
      <c r="F13" s="80"/>
      <c r="G13" s="80"/>
      <c r="H13" s="80"/>
      <c r="I13" s="80"/>
    </row>
    <row r="14" spans="2:9">
      <c r="B14" s="4" t="s">
        <v>41</v>
      </c>
      <c r="C14" s="97"/>
      <c r="D14" s="97"/>
      <c r="E14" s="4" t="s">
        <v>42</v>
      </c>
      <c r="F14" s="3"/>
      <c r="G14" s="4" t="s">
        <v>43</v>
      </c>
      <c r="H14" s="97"/>
      <c r="I14" s="97"/>
    </row>
    <row r="15" spans="2:9">
      <c r="B15" s="80" t="s">
        <v>44</v>
      </c>
      <c r="C15" s="80"/>
      <c r="D15" s="80"/>
      <c r="E15" s="80"/>
      <c r="F15" s="80"/>
      <c r="G15" s="80"/>
      <c r="H15" s="80"/>
      <c r="I15" s="80"/>
    </row>
    <row r="16" spans="2:9">
      <c r="B16" s="132" t="s">
        <v>45</v>
      </c>
      <c r="C16" s="132"/>
      <c r="D16" s="134"/>
      <c r="E16" s="134"/>
      <c r="F16" s="134"/>
      <c r="G16" s="134"/>
      <c r="H16" s="134"/>
      <c r="I16" s="134"/>
    </row>
    <row r="17" spans="2:9">
      <c r="B17" s="132"/>
      <c r="C17" s="132"/>
      <c r="D17" s="134"/>
      <c r="E17" s="134"/>
      <c r="F17" s="134"/>
      <c r="G17" s="134"/>
      <c r="H17" s="134"/>
      <c r="I17" s="134"/>
    </row>
    <row r="18" spans="2:9">
      <c r="B18" s="135" t="s">
        <v>46</v>
      </c>
      <c r="C18" s="100"/>
      <c r="D18" s="134"/>
      <c r="E18" s="134"/>
      <c r="F18" s="134"/>
      <c r="G18" s="134"/>
      <c r="H18" s="134"/>
      <c r="I18" s="134"/>
    </row>
    <row r="19" spans="2:9">
      <c r="B19" s="132" t="s">
        <v>47</v>
      </c>
      <c r="C19" s="132"/>
      <c r="D19" s="134"/>
      <c r="E19" s="134"/>
      <c r="F19" s="134"/>
      <c r="G19" s="134"/>
      <c r="H19" s="134"/>
      <c r="I19" s="134"/>
    </row>
    <row r="20" spans="2:9">
      <c r="B20" s="132"/>
      <c r="C20" s="132"/>
      <c r="D20" s="134"/>
      <c r="E20" s="134"/>
      <c r="F20" s="134"/>
      <c r="G20" s="134"/>
      <c r="H20" s="134"/>
      <c r="I20" s="134"/>
    </row>
    <row r="21" spans="2:9">
      <c r="B21" s="132" t="s">
        <v>48</v>
      </c>
      <c r="C21" s="132"/>
      <c r="D21" s="134"/>
      <c r="E21" s="134"/>
      <c r="F21" s="134"/>
      <c r="G21" s="134"/>
      <c r="H21" s="134"/>
      <c r="I21" s="134"/>
    </row>
    <row r="22" spans="2:9">
      <c r="B22" s="132"/>
      <c r="C22" s="132"/>
      <c r="D22" s="134"/>
      <c r="E22" s="134"/>
      <c r="F22" s="134"/>
      <c r="G22" s="134"/>
      <c r="H22" s="134"/>
      <c r="I22" s="134"/>
    </row>
    <row r="23" spans="2:9">
      <c r="B23" s="133" t="s">
        <v>49</v>
      </c>
      <c r="C23" s="133"/>
      <c r="D23" s="134" t="s">
        <v>50</v>
      </c>
      <c r="E23" s="134"/>
      <c r="F23" s="134"/>
      <c r="G23" s="134"/>
      <c r="H23" s="134"/>
      <c r="I23" s="134"/>
    </row>
    <row r="24" spans="2:9">
      <c r="B24" s="133"/>
      <c r="C24" s="133"/>
      <c r="D24" s="134" t="s">
        <v>51</v>
      </c>
      <c r="E24" s="134"/>
      <c r="F24" s="134"/>
      <c r="G24" s="134"/>
      <c r="H24" s="134"/>
      <c r="I24" s="134"/>
    </row>
    <row r="25" spans="2:9">
      <c r="B25" s="133"/>
      <c r="C25" s="133"/>
      <c r="D25" s="134" t="s">
        <v>52</v>
      </c>
      <c r="E25" s="134"/>
      <c r="F25" s="134"/>
      <c r="G25" s="134"/>
      <c r="H25" s="134"/>
      <c r="I25" s="134"/>
    </row>
    <row r="26" spans="2:9">
      <c r="B26" s="133"/>
      <c r="C26" s="133"/>
      <c r="D26" s="134" t="s">
        <v>53</v>
      </c>
      <c r="E26" s="134"/>
      <c r="F26" s="134"/>
      <c r="G26" s="134"/>
      <c r="H26" s="134"/>
      <c r="I26" s="134"/>
    </row>
    <row r="27" spans="2:9">
      <c r="B27" s="136" t="s">
        <v>54</v>
      </c>
      <c r="C27" s="136"/>
      <c r="D27" s="4" t="s">
        <v>55</v>
      </c>
      <c r="E27" s="3"/>
      <c r="F27" s="4" t="s">
        <v>56</v>
      </c>
      <c r="G27" s="3"/>
      <c r="H27" s="4" t="s">
        <v>57</v>
      </c>
      <c r="I27" s="3"/>
    </row>
    <row r="28" spans="2:9">
      <c r="B28" s="136"/>
      <c r="C28" s="136"/>
      <c r="D28" s="5" t="s">
        <v>58</v>
      </c>
      <c r="E28" s="3"/>
      <c r="F28" s="4" t="s">
        <v>59</v>
      </c>
      <c r="G28" s="3"/>
      <c r="H28" s="4" t="s">
        <v>60</v>
      </c>
      <c r="I28" s="3"/>
    </row>
    <row r="29" spans="2:9">
      <c r="B29" s="136"/>
      <c r="C29" s="136"/>
      <c r="D29" s="4" t="s">
        <v>61</v>
      </c>
      <c r="E29" s="3"/>
      <c r="F29" s="4" t="s">
        <v>62</v>
      </c>
      <c r="G29" s="3"/>
      <c r="H29" s="4" t="s">
        <v>63</v>
      </c>
      <c r="I29" s="3"/>
    </row>
    <row r="30" spans="2:9">
      <c r="B30" s="137" t="s">
        <v>64</v>
      </c>
      <c r="C30" s="137"/>
      <c r="D30" s="137"/>
      <c r="E30" s="137"/>
      <c r="F30" s="137"/>
      <c r="G30" s="137"/>
      <c r="H30" s="137"/>
      <c r="I30" s="137"/>
    </row>
    <row r="31" spans="2:9">
      <c r="B31" s="137"/>
      <c r="C31" s="137"/>
      <c r="D31" s="137"/>
      <c r="E31" s="137"/>
      <c r="F31" s="137"/>
      <c r="G31" s="137"/>
      <c r="H31" s="137"/>
      <c r="I31" s="137"/>
    </row>
    <row r="32" spans="2:9">
      <c r="B32" s="137"/>
      <c r="C32" s="137"/>
      <c r="D32" s="137"/>
      <c r="E32" s="137"/>
      <c r="F32" s="137"/>
      <c r="G32" s="137"/>
      <c r="H32" s="137"/>
      <c r="I32" s="137"/>
    </row>
    <row r="33" spans="2:9">
      <c r="B33" s="137"/>
      <c r="C33" s="137"/>
      <c r="D33" s="137"/>
      <c r="E33" s="137"/>
      <c r="F33" s="137"/>
      <c r="G33" s="137"/>
      <c r="H33" s="137"/>
      <c r="I33" s="137"/>
    </row>
    <row r="34" spans="2:9">
      <c r="B34" s="137"/>
      <c r="C34" s="137"/>
      <c r="D34" s="137"/>
      <c r="E34" s="137"/>
      <c r="F34" s="137"/>
      <c r="G34" s="137"/>
      <c r="H34" s="137"/>
      <c r="I34" s="137"/>
    </row>
    <row r="35" spans="2:9">
      <c r="B35" s="80" t="s">
        <v>65</v>
      </c>
      <c r="C35" s="80"/>
      <c r="D35" s="80"/>
      <c r="E35" s="80"/>
      <c r="F35" s="80"/>
      <c r="G35" s="80"/>
      <c r="H35" s="80"/>
      <c r="I35" s="80"/>
    </row>
    <row r="36" spans="2:9">
      <c r="B36" s="42" t="s">
        <v>66</v>
      </c>
      <c r="C36" s="42"/>
      <c r="D36" s="42"/>
      <c r="E36" s="42"/>
      <c r="F36" s="42"/>
      <c r="G36" s="42"/>
      <c r="H36" s="42"/>
      <c r="I36" s="42"/>
    </row>
    <row r="37" spans="2:9">
      <c r="B37" s="42"/>
      <c r="C37" s="42"/>
      <c r="D37" s="42"/>
      <c r="E37" s="42"/>
      <c r="F37" s="42"/>
      <c r="G37" s="42"/>
      <c r="H37" s="42"/>
      <c r="I37" s="42"/>
    </row>
    <row r="38" spans="2:9">
      <c r="B38" s="42"/>
      <c r="C38" s="42"/>
      <c r="D38" s="42"/>
      <c r="E38" s="42"/>
      <c r="F38" s="42"/>
      <c r="G38" s="42"/>
      <c r="H38" s="42"/>
      <c r="I38" s="42"/>
    </row>
    <row r="39" spans="2:9">
      <c r="B39" s="138" t="s">
        <v>67</v>
      </c>
      <c r="C39" s="138"/>
      <c r="D39" s="138"/>
      <c r="E39" s="138"/>
      <c r="F39" s="138" t="s">
        <v>68</v>
      </c>
      <c r="G39" s="138"/>
      <c r="H39" s="138"/>
      <c r="I39" s="138"/>
    </row>
    <row r="40" spans="2:9">
      <c r="B40" s="138"/>
      <c r="C40" s="138"/>
      <c r="D40" s="138"/>
      <c r="E40" s="138"/>
      <c r="F40" s="138"/>
      <c r="G40" s="138"/>
      <c r="H40" s="138"/>
      <c r="I40" s="138"/>
    </row>
    <row r="41" spans="2:9">
      <c r="B41" s="138"/>
      <c r="C41" s="138"/>
      <c r="D41" s="138"/>
      <c r="E41" s="138"/>
      <c r="F41" s="138"/>
      <c r="G41" s="138"/>
      <c r="H41" s="138"/>
      <c r="I41" s="138"/>
    </row>
    <row r="42" spans="2:9">
      <c r="B42" s="138"/>
      <c r="C42" s="138"/>
      <c r="D42" s="138"/>
      <c r="E42" s="138"/>
      <c r="F42" s="138"/>
      <c r="G42" s="138"/>
      <c r="H42" s="138"/>
      <c r="I42" s="138"/>
    </row>
    <row r="43" spans="2:9">
      <c r="B43" s="138"/>
      <c r="C43" s="138"/>
      <c r="D43" s="138"/>
      <c r="E43" s="138"/>
      <c r="F43" s="138"/>
      <c r="G43" s="138"/>
      <c r="H43" s="138"/>
      <c r="I43" s="138"/>
    </row>
    <row r="44" spans="2:9">
      <c r="B44" s="138"/>
      <c r="C44" s="138"/>
      <c r="D44" s="138"/>
      <c r="E44" s="138"/>
      <c r="F44" s="138"/>
      <c r="G44" s="138"/>
      <c r="H44" s="138"/>
      <c r="I44" s="138"/>
    </row>
    <row r="45" spans="2:9">
      <c r="B45" s="138"/>
      <c r="C45" s="138"/>
      <c r="D45" s="138"/>
      <c r="E45" s="138"/>
      <c r="F45" s="138"/>
      <c r="G45" s="138"/>
      <c r="H45" s="138"/>
      <c r="I45" s="138"/>
    </row>
    <row r="46" spans="2:9">
      <c r="B46" s="138"/>
      <c r="C46" s="138"/>
      <c r="D46" s="138"/>
      <c r="E46" s="138"/>
      <c r="F46" s="138"/>
      <c r="G46" s="138"/>
      <c r="H46" s="138"/>
      <c r="I46" s="138"/>
    </row>
    <row r="47" spans="2:9">
      <c r="B47" s="138"/>
      <c r="C47" s="138"/>
      <c r="D47" s="138"/>
      <c r="E47" s="138"/>
      <c r="F47" s="138"/>
      <c r="G47" s="138"/>
      <c r="H47" s="138"/>
      <c r="I47" s="138"/>
    </row>
    <row r="48" spans="2:9">
      <c r="B48" s="80" t="s">
        <v>69</v>
      </c>
      <c r="C48" s="80"/>
      <c r="D48" s="80"/>
      <c r="E48" s="80"/>
      <c r="F48" s="80"/>
      <c r="G48" s="80"/>
      <c r="H48" s="80"/>
      <c r="I48" s="80"/>
    </row>
    <row r="49" spans="2:9">
      <c r="B49" s="140" t="s">
        <v>70</v>
      </c>
      <c r="C49" s="140"/>
      <c r="D49" s="140"/>
      <c r="E49" s="140"/>
      <c r="F49" s="138" t="s">
        <v>71</v>
      </c>
      <c r="G49" s="138"/>
      <c r="H49" s="138"/>
      <c r="I49" s="138"/>
    </row>
    <row r="50" spans="2:9">
      <c r="B50" s="140"/>
      <c r="C50" s="140"/>
      <c r="D50" s="140"/>
      <c r="E50" s="140"/>
      <c r="F50" s="138"/>
      <c r="G50" s="138"/>
      <c r="H50" s="138"/>
      <c r="I50" s="138"/>
    </row>
    <row r="51" spans="2:9">
      <c r="B51" s="140"/>
      <c r="C51" s="140"/>
      <c r="D51" s="140"/>
      <c r="E51" s="140"/>
      <c r="F51" s="138"/>
      <c r="G51" s="138"/>
      <c r="H51" s="138"/>
      <c r="I51" s="138"/>
    </row>
    <row r="52" spans="2:9">
      <c r="B52" s="140"/>
      <c r="C52" s="140"/>
      <c r="D52" s="140"/>
      <c r="E52" s="140"/>
      <c r="F52" s="138"/>
      <c r="G52" s="138"/>
      <c r="H52" s="138"/>
      <c r="I52" s="138"/>
    </row>
    <row r="53" spans="2:9">
      <c r="B53" s="140"/>
      <c r="C53" s="140"/>
      <c r="D53" s="140"/>
      <c r="E53" s="140"/>
      <c r="F53" s="138"/>
      <c r="G53" s="138"/>
      <c r="H53" s="138"/>
      <c r="I53" s="138"/>
    </row>
    <row r="54" spans="2:9">
      <c r="B54" s="140"/>
      <c r="C54" s="140"/>
      <c r="D54" s="140"/>
      <c r="E54" s="140"/>
      <c r="F54" s="138"/>
      <c r="G54" s="138"/>
      <c r="H54" s="138"/>
      <c r="I54" s="138"/>
    </row>
    <row r="55" spans="2:9">
      <c r="B55" s="140"/>
      <c r="C55" s="140"/>
      <c r="D55" s="140"/>
      <c r="E55" s="140"/>
      <c r="F55" s="138"/>
      <c r="G55" s="138"/>
      <c r="H55" s="138"/>
      <c r="I55" s="138"/>
    </row>
    <row r="56" spans="2:9">
      <c r="B56" s="140"/>
      <c r="C56" s="140"/>
      <c r="D56" s="140"/>
      <c r="E56" s="140"/>
      <c r="F56" s="138"/>
      <c r="G56" s="138"/>
      <c r="H56" s="138"/>
      <c r="I56" s="138"/>
    </row>
    <row r="57" spans="2:9">
      <c r="B57" s="140"/>
      <c r="C57" s="140"/>
      <c r="D57" s="140"/>
      <c r="E57" s="140"/>
      <c r="F57" s="138"/>
      <c r="G57" s="138"/>
      <c r="H57" s="138"/>
      <c r="I57" s="138"/>
    </row>
    <row r="58" spans="2:9">
      <c r="B58" s="140"/>
      <c r="C58" s="140"/>
      <c r="D58" s="140"/>
      <c r="E58" s="140"/>
      <c r="F58" s="138"/>
      <c r="G58" s="138"/>
      <c r="H58" s="138"/>
      <c r="I58" s="138"/>
    </row>
    <row r="59" spans="2:9">
      <c r="B59" s="140"/>
      <c r="C59" s="140"/>
      <c r="D59" s="140"/>
      <c r="E59" s="140"/>
      <c r="F59" s="138"/>
      <c r="G59" s="138"/>
      <c r="H59" s="138"/>
      <c r="I59" s="138"/>
    </row>
    <row r="60" spans="2:9">
      <c r="B60" s="133" t="s">
        <v>72</v>
      </c>
      <c r="C60" s="133"/>
      <c r="D60" s="133"/>
      <c r="E60" s="133"/>
      <c r="F60" s="134"/>
      <c r="G60" s="134"/>
      <c r="H60" s="133" t="s">
        <v>73</v>
      </c>
      <c r="I60" s="6"/>
    </row>
    <row r="61" spans="2:9">
      <c r="B61" s="133"/>
      <c r="C61" s="133"/>
      <c r="D61" s="133"/>
      <c r="E61" s="133"/>
      <c r="F61" s="134"/>
      <c r="G61" s="134"/>
      <c r="H61" s="133"/>
      <c r="I61" s="6"/>
    </row>
    <row r="62" spans="2:9">
      <c r="B62" s="133"/>
      <c r="C62" s="133"/>
      <c r="D62" s="133"/>
      <c r="E62" s="133"/>
      <c r="F62" s="134"/>
      <c r="G62" s="134"/>
      <c r="H62" s="133"/>
      <c r="I62" s="6"/>
    </row>
    <row r="63" spans="2:9">
      <c r="B63" s="133"/>
      <c r="C63" s="133"/>
      <c r="D63" s="133"/>
      <c r="E63" s="133"/>
      <c r="F63" s="134"/>
      <c r="G63" s="134"/>
      <c r="H63" s="133"/>
      <c r="I63" s="6"/>
    </row>
    <row r="64" spans="2:9">
      <c r="B64" s="133"/>
      <c r="C64" s="133"/>
      <c r="D64" s="133"/>
      <c r="E64" s="133"/>
      <c r="F64" s="134"/>
      <c r="G64" s="134"/>
      <c r="H64" s="133"/>
      <c r="I64" s="6"/>
    </row>
    <row r="65" spans="2:9">
      <c r="B65" s="80" t="s">
        <v>74</v>
      </c>
      <c r="C65" s="80"/>
      <c r="D65" s="80"/>
      <c r="E65" s="80"/>
      <c r="F65" s="80"/>
      <c r="G65" s="80"/>
      <c r="H65" s="80"/>
      <c r="I65" s="80"/>
    </row>
    <row r="66" spans="2:9">
      <c r="B66" s="138" t="s">
        <v>75</v>
      </c>
      <c r="C66" s="138"/>
      <c r="D66" s="138"/>
      <c r="E66" s="138"/>
      <c r="F66" s="138" t="s">
        <v>76</v>
      </c>
      <c r="G66" s="138"/>
      <c r="H66" s="138"/>
      <c r="I66" s="138"/>
    </row>
    <row r="67" spans="2:9">
      <c r="B67" s="138"/>
      <c r="C67" s="138"/>
      <c r="D67" s="138"/>
      <c r="E67" s="138"/>
      <c r="F67" s="138"/>
      <c r="G67" s="138"/>
      <c r="H67" s="138"/>
      <c r="I67" s="138"/>
    </row>
    <row r="68" spans="2:9">
      <c r="B68" s="138"/>
      <c r="C68" s="138"/>
      <c r="D68" s="138"/>
      <c r="E68" s="138"/>
      <c r="F68" s="138"/>
      <c r="G68" s="138"/>
      <c r="H68" s="138"/>
      <c r="I68" s="138"/>
    </row>
    <row r="69" spans="2:9">
      <c r="B69" s="138"/>
      <c r="C69" s="138"/>
      <c r="D69" s="138"/>
      <c r="E69" s="138"/>
      <c r="F69" s="138"/>
      <c r="G69" s="138"/>
      <c r="H69" s="138"/>
      <c r="I69" s="138"/>
    </row>
    <row r="70" spans="2:9">
      <c r="B70" s="138"/>
      <c r="C70" s="138"/>
      <c r="D70" s="138"/>
      <c r="E70" s="138"/>
      <c r="F70" s="138"/>
      <c r="G70" s="138"/>
      <c r="H70" s="138"/>
      <c r="I70" s="138"/>
    </row>
    <row r="71" spans="2:9">
      <c r="B71" s="138"/>
      <c r="C71" s="138"/>
      <c r="D71" s="138"/>
      <c r="E71" s="138"/>
      <c r="F71" s="138"/>
      <c r="G71" s="138"/>
      <c r="H71" s="138"/>
      <c r="I71" s="138"/>
    </row>
    <row r="72" spans="2:9">
      <c r="B72" s="138"/>
      <c r="C72" s="138"/>
      <c r="D72" s="138"/>
      <c r="E72" s="138"/>
      <c r="F72" s="138"/>
      <c r="G72" s="138"/>
      <c r="H72" s="138"/>
      <c r="I72" s="138"/>
    </row>
    <row r="73" spans="2:9">
      <c r="B73" s="138"/>
      <c r="C73" s="138"/>
      <c r="D73" s="138"/>
      <c r="E73" s="138"/>
      <c r="F73" s="138"/>
      <c r="G73" s="138"/>
      <c r="H73" s="138"/>
      <c r="I73" s="138"/>
    </row>
    <row r="74" spans="2:9">
      <c r="B74" s="138"/>
      <c r="C74" s="138"/>
      <c r="D74" s="138"/>
      <c r="E74" s="138"/>
      <c r="F74" s="138"/>
      <c r="G74" s="138"/>
      <c r="H74" s="138"/>
      <c r="I74" s="138"/>
    </row>
    <row r="75" spans="2:9">
      <c r="B75" s="138"/>
      <c r="C75" s="138"/>
      <c r="D75" s="138"/>
      <c r="E75" s="138"/>
      <c r="F75" s="138"/>
      <c r="G75" s="138"/>
      <c r="H75" s="138"/>
      <c r="I75" s="138"/>
    </row>
    <row r="76" spans="2:9">
      <c r="B76" s="138"/>
      <c r="C76" s="138"/>
      <c r="D76" s="138"/>
      <c r="E76" s="138"/>
      <c r="F76" s="138"/>
      <c r="G76" s="138"/>
      <c r="H76" s="138"/>
      <c r="I76" s="138"/>
    </row>
    <row r="77" spans="2:9">
      <c r="B77" s="138"/>
      <c r="C77" s="138"/>
      <c r="D77" s="138"/>
      <c r="E77" s="138"/>
      <c r="F77" s="138"/>
      <c r="G77" s="138"/>
      <c r="H77" s="138"/>
      <c r="I77" s="138"/>
    </row>
    <row r="78" spans="2:9">
      <c r="B78" s="138"/>
      <c r="C78" s="138"/>
      <c r="D78" s="138"/>
      <c r="E78" s="138"/>
      <c r="F78" s="138"/>
      <c r="G78" s="138"/>
      <c r="H78" s="138"/>
      <c r="I78" s="138"/>
    </row>
    <row r="79" spans="2:9">
      <c r="B79" s="138"/>
      <c r="C79" s="138"/>
      <c r="D79" s="138"/>
      <c r="E79" s="138"/>
      <c r="F79" s="138"/>
      <c r="G79" s="138"/>
      <c r="H79" s="138"/>
      <c r="I79" s="138"/>
    </row>
    <row r="80" spans="2:9">
      <c r="B80" s="139"/>
      <c r="C80" s="139"/>
      <c r="D80" s="139"/>
      <c r="E80" s="139"/>
      <c r="F80" s="139"/>
      <c r="G80" s="139"/>
      <c r="H80" s="139"/>
      <c r="I80" s="139"/>
    </row>
    <row r="81" spans="2:9">
      <c r="B81" s="80" t="s">
        <v>77</v>
      </c>
      <c r="C81" s="80"/>
      <c r="D81" s="80"/>
      <c r="E81" s="80"/>
      <c r="F81" s="80"/>
      <c r="G81" s="80"/>
      <c r="H81" s="80"/>
      <c r="I81" s="80"/>
    </row>
    <row r="82" spans="2:9">
      <c r="B82" s="2" t="s">
        <v>78</v>
      </c>
      <c r="C82" s="2" t="s">
        <v>79</v>
      </c>
      <c r="D82" s="2" t="s">
        <v>80</v>
      </c>
      <c r="E82" s="2" t="s">
        <v>81</v>
      </c>
      <c r="F82" s="2" t="s">
        <v>82</v>
      </c>
      <c r="G82" s="80" t="s">
        <v>83</v>
      </c>
      <c r="H82" s="80"/>
      <c r="I82" s="80"/>
    </row>
    <row r="83" spans="2:9">
      <c r="B83" s="10"/>
      <c r="C83" s="10"/>
      <c r="D83" s="10"/>
      <c r="E83" s="10"/>
      <c r="F83" s="10"/>
      <c r="G83" s="42"/>
      <c r="H83" s="42"/>
      <c r="I83" s="42"/>
    </row>
    <row r="84" spans="2:9">
      <c r="B84" s="10"/>
      <c r="C84" s="10"/>
      <c r="D84" s="10"/>
      <c r="E84" s="10"/>
      <c r="F84" s="10"/>
      <c r="G84" s="42"/>
      <c r="H84" s="42"/>
      <c r="I84" s="42"/>
    </row>
    <row r="85" spans="2:9">
      <c r="B85" s="10"/>
      <c r="C85" s="10"/>
      <c r="D85" s="10"/>
      <c r="E85" s="10"/>
      <c r="F85" s="10"/>
      <c r="G85" s="42"/>
      <c r="H85" s="42"/>
      <c r="I85" s="42"/>
    </row>
    <row r="86" spans="2:9">
      <c r="B86" s="10"/>
      <c r="C86" s="10"/>
      <c r="D86" s="10"/>
      <c r="E86" s="10"/>
      <c r="F86" s="10"/>
      <c r="G86" s="42"/>
      <c r="H86" s="42"/>
      <c r="I86" s="42"/>
    </row>
    <row r="87" spans="2:9">
      <c r="B87" s="10"/>
      <c r="C87" s="10"/>
      <c r="D87" s="10"/>
      <c r="E87" s="10"/>
      <c r="F87" s="10"/>
      <c r="G87" s="42"/>
      <c r="H87" s="42"/>
      <c r="I87" s="42"/>
    </row>
    <row r="88" spans="2:9">
      <c r="B88" s="10"/>
      <c r="C88" s="10"/>
      <c r="D88" s="10"/>
      <c r="E88" s="10"/>
      <c r="F88" s="10"/>
      <c r="G88" s="42"/>
      <c r="H88" s="42"/>
      <c r="I88" s="42"/>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100-000000000000}">
          <x14:formula1>
            <xm:f>Parámetros!$A$1:$A$5</xm:f>
          </x14:formula1>
          <xm:sqref>I7</xm:sqref>
        </x14:dataValidation>
        <x14:dataValidation type="list" allowBlank="1" showInputMessage="1" showErrorMessage="1" xr:uid="{00000000-0002-0000-0100-000001000000}">
          <x14:formula1>
            <xm:f>Parámetros!$B$1:$B$9</xm:f>
          </x14:formula1>
          <xm:sqref>C8</xm:sqref>
        </x14:dataValidation>
        <x14:dataValidation type="list" allowBlank="1" showInputMessage="1" showErrorMessage="1" xr:uid="{00000000-0002-0000-0100-000002000000}">
          <x14:formula1>
            <xm:f>Parámetros!$C$1:$C$6</xm:f>
          </x14:formula1>
          <xm:sqref>C9</xm:sqref>
        </x14:dataValidation>
        <x14:dataValidation type="list" allowBlank="1" showInputMessage="1" showErrorMessage="1" xr:uid="{00000000-0002-0000-0100-000003000000}">
          <x14:formula1>
            <xm:f>Parámetros!$D$1:$D$15</xm:f>
          </x14:formula1>
          <xm:sqref>E9</xm:sqref>
        </x14:dataValidation>
        <x14:dataValidation type="list" allowBlank="1" showInputMessage="1" showErrorMessage="1" xr:uid="{00000000-0002-0000-0100-000004000000}">
          <x14:formula1>
            <xm:f>Parámetros!$E$1:$E$15</xm:f>
          </x14:formula1>
          <xm:sqref>G9</xm:sqref>
        </x14:dataValidation>
        <x14:dataValidation type="list" allowBlank="1" showInputMessage="1" showErrorMessage="1" xr:uid="{00000000-0002-0000-0100-000005000000}">
          <x14:formula1>
            <xm:f>Parámetros!$F$1:$F$5</xm:f>
          </x14:formula1>
          <xm:sqref>F60:G64</xm:sqref>
        </x14:dataValidation>
        <x14:dataValidation type="list" allowBlank="1" showInputMessage="1" showErrorMessage="1" xr:uid="{00000000-0002-0000-0100-000006000000}">
          <x14:formula1>
            <xm:f>Parámetros!$G$1:$G$10</xm:f>
          </x14:formula1>
          <xm:sqref>I60:I64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sheetPr codeName="Hoja2"/>
  <dimension ref="B1:L83"/>
  <sheetViews>
    <sheetView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122"/>
      <c r="C2" s="124" t="s">
        <v>19</v>
      </c>
      <c r="D2" s="124"/>
      <c r="E2" s="124"/>
      <c r="F2" s="124"/>
      <c r="G2" s="124"/>
      <c r="H2" s="124"/>
      <c r="I2" s="7" t="s">
        <v>20</v>
      </c>
    </row>
    <row r="3" spans="2:11" ht="20.25" customHeight="1">
      <c r="B3" s="123"/>
      <c r="C3" s="125"/>
      <c r="D3" s="125"/>
      <c r="E3" s="125"/>
      <c r="F3" s="125"/>
      <c r="G3" s="125"/>
      <c r="H3" s="125"/>
      <c r="I3" s="8" t="s">
        <v>21</v>
      </c>
    </row>
    <row r="4" spans="2:11" ht="21" customHeight="1" thickBot="1">
      <c r="B4" s="126" t="s">
        <v>22</v>
      </c>
      <c r="C4" s="127"/>
      <c r="D4" s="127"/>
      <c r="E4" s="127"/>
      <c r="F4" s="127"/>
      <c r="G4" s="127"/>
      <c r="H4" s="127"/>
      <c r="I4" s="9" t="s">
        <v>23</v>
      </c>
    </row>
    <row r="5" spans="2:11" ht="15" thickTop="1">
      <c r="B5" s="133"/>
      <c r="C5" s="133"/>
      <c r="D5" s="133"/>
      <c r="E5" s="133"/>
      <c r="F5" s="133"/>
      <c r="G5" s="133"/>
      <c r="H5" s="133"/>
      <c r="I5" s="133"/>
    </row>
    <row r="6" spans="2:11">
      <c r="B6" s="133" t="s">
        <v>24</v>
      </c>
      <c r="C6" s="133"/>
      <c r="D6" s="133"/>
      <c r="E6" s="133"/>
      <c r="F6" s="133"/>
      <c r="G6" s="133"/>
      <c r="H6" s="133"/>
      <c r="I6" s="133"/>
    </row>
    <row r="7" spans="2:11" ht="43.5">
      <c r="B7" s="4" t="s">
        <v>25</v>
      </c>
      <c r="C7" s="3"/>
      <c r="D7" s="1" t="s">
        <v>26</v>
      </c>
      <c r="E7" s="3"/>
      <c r="F7" s="1" t="s">
        <v>27</v>
      </c>
      <c r="G7" s="3"/>
      <c r="H7" s="1" t="s">
        <v>28</v>
      </c>
      <c r="I7" s="3"/>
    </row>
    <row r="8" spans="2:11" ht="43.5">
      <c r="B8" s="15" t="s">
        <v>29</v>
      </c>
      <c r="C8" s="16"/>
      <c r="D8" s="4" t="s">
        <v>84</v>
      </c>
      <c r="E8" s="97"/>
      <c r="F8" s="97"/>
      <c r="G8" s="1" t="s">
        <v>31</v>
      </c>
      <c r="H8" s="97"/>
      <c r="I8" s="97"/>
      <c r="K8" s="11" t="s">
        <v>85</v>
      </c>
    </row>
    <row r="9" spans="2:11" ht="29.1">
      <c r="B9" s="1" t="s">
        <v>32</v>
      </c>
      <c r="C9" s="6">
        <v>3</v>
      </c>
      <c r="D9" s="1" t="s">
        <v>33</v>
      </c>
      <c r="E9" s="6">
        <v>54</v>
      </c>
      <c r="F9" s="1" t="s">
        <v>34</v>
      </c>
      <c r="G9" s="6">
        <v>90</v>
      </c>
      <c r="H9" s="1" t="s">
        <v>35</v>
      </c>
      <c r="I9" s="6">
        <f>E9+G9</f>
        <v>144</v>
      </c>
      <c r="K9" s="11" t="s">
        <v>86</v>
      </c>
    </row>
    <row r="10" spans="2:11">
      <c r="B10" s="132" t="s">
        <v>36</v>
      </c>
      <c r="C10" s="80"/>
      <c r="D10" s="80"/>
      <c r="E10" s="80"/>
      <c r="F10" s="80"/>
      <c r="G10" s="80"/>
      <c r="H10" s="80"/>
      <c r="I10" s="80"/>
    </row>
    <row r="11" spans="2:11">
      <c r="B11" s="132" t="s">
        <v>37</v>
      </c>
      <c r="C11" s="132"/>
      <c r="D11" s="133" t="s">
        <v>38</v>
      </c>
      <c r="E11" s="134"/>
      <c r="F11" s="134"/>
      <c r="G11" s="133" t="s">
        <v>39</v>
      </c>
      <c r="H11" s="134"/>
      <c r="I11" s="134"/>
    </row>
    <row r="12" spans="2:11">
      <c r="B12" s="132"/>
      <c r="C12" s="132"/>
      <c r="D12" s="133"/>
      <c r="E12" s="134"/>
      <c r="F12" s="134"/>
      <c r="G12" s="133"/>
      <c r="H12" s="134"/>
      <c r="I12" s="134"/>
    </row>
    <row r="13" spans="2:11">
      <c r="B13" s="80" t="s">
        <v>40</v>
      </c>
      <c r="C13" s="80"/>
      <c r="D13" s="80"/>
      <c r="E13" s="80"/>
      <c r="F13" s="80"/>
      <c r="G13" s="80"/>
      <c r="H13" s="80"/>
      <c r="I13" s="80"/>
    </row>
    <row r="14" spans="2:11">
      <c r="B14" s="4" t="s">
        <v>41</v>
      </c>
      <c r="C14" s="97"/>
      <c r="D14" s="97"/>
      <c r="E14" s="4" t="s">
        <v>42</v>
      </c>
      <c r="F14" s="3"/>
      <c r="G14" s="4" t="s">
        <v>43</v>
      </c>
      <c r="H14" s="97"/>
      <c r="I14" s="97"/>
    </row>
    <row r="15" spans="2:11">
      <c r="B15" s="80" t="s">
        <v>44</v>
      </c>
      <c r="C15" s="80"/>
      <c r="D15" s="80"/>
      <c r="E15" s="80"/>
      <c r="F15" s="80"/>
      <c r="G15" s="80"/>
      <c r="H15" s="80"/>
      <c r="I15" s="80"/>
    </row>
    <row r="16" spans="2:11">
      <c r="B16" s="132" t="s">
        <v>45</v>
      </c>
      <c r="C16" s="132"/>
      <c r="D16" s="134" t="s">
        <v>87</v>
      </c>
      <c r="E16" s="134"/>
      <c r="F16" s="134"/>
      <c r="G16" s="134"/>
      <c r="H16" s="134"/>
      <c r="I16" s="134"/>
    </row>
    <row r="17" spans="2:12">
      <c r="B17" s="132"/>
      <c r="C17" s="132"/>
      <c r="D17" s="134"/>
      <c r="E17" s="134"/>
      <c r="F17" s="134"/>
      <c r="G17" s="134"/>
      <c r="H17" s="134"/>
      <c r="I17" s="134"/>
    </row>
    <row r="18" spans="2:12">
      <c r="B18" s="150" t="s">
        <v>46</v>
      </c>
      <c r="C18" s="151"/>
      <c r="D18" s="152"/>
      <c r="E18" s="152"/>
      <c r="F18" s="152"/>
      <c r="G18" s="152"/>
      <c r="H18" s="152"/>
      <c r="I18" s="152"/>
    </row>
    <row r="19" spans="2:12">
      <c r="B19" s="153" t="s">
        <v>47</v>
      </c>
      <c r="C19" s="153"/>
      <c r="D19" s="152"/>
      <c r="E19" s="152"/>
      <c r="F19" s="152"/>
      <c r="G19" s="152"/>
      <c r="H19" s="152"/>
      <c r="I19" s="152"/>
    </row>
    <row r="20" spans="2:12">
      <c r="B20" s="153"/>
      <c r="C20" s="153"/>
      <c r="D20" s="152"/>
      <c r="E20" s="152"/>
      <c r="F20" s="152"/>
      <c r="G20" s="152"/>
      <c r="H20" s="152"/>
      <c r="I20" s="152"/>
    </row>
    <row r="21" spans="2:12">
      <c r="B21" s="153" t="s">
        <v>48</v>
      </c>
      <c r="C21" s="153"/>
      <c r="D21" s="152" t="s">
        <v>88</v>
      </c>
      <c r="E21" s="152"/>
      <c r="F21" s="152"/>
      <c r="G21" s="152"/>
      <c r="H21" s="152"/>
      <c r="I21" s="152"/>
    </row>
    <row r="22" spans="2:12">
      <c r="B22" s="153"/>
      <c r="C22" s="153"/>
      <c r="D22" s="152"/>
      <c r="E22" s="152"/>
      <c r="F22" s="152"/>
      <c r="G22" s="152"/>
      <c r="H22" s="152"/>
      <c r="I22" s="152"/>
    </row>
    <row r="23" spans="2:12">
      <c r="B23" s="154" t="s">
        <v>49</v>
      </c>
      <c r="C23" s="154"/>
      <c r="D23" s="152" t="s">
        <v>50</v>
      </c>
      <c r="E23" s="152"/>
      <c r="F23" s="152"/>
      <c r="G23" s="152"/>
      <c r="H23" s="152"/>
      <c r="I23" s="152"/>
    </row>
    <row r="24" spans="2:12">
      <c r="B24" s="154"/>
      <c r="C24" s="154"/>
      <c r="D24" s="152" t="s">
        <v>51</v>
      </c>
      <c r="E24" s="152"/>
      <c r="F24" s="152"/>
      <c r="G24" s="152"/>
      <c r="H24" s="152"/>
      <c r="I24" s="152"/>
    </row>
    <row r="25" spans="2:12">
      <c r="B25" s="154"/>
      <c r="C25" s="154"/>
      <c r="D25" s="152" t="s">
        <v>52</v>
      </c>
      <c r="E25" s="152"/>
      <c r="F25" s="152"/>
      <c r="G25" s="152"/>
      <c r="H25" s="152"/>
      <c r="I25" s="152"/>
    </row>
    <row r="26" spans="2:12">
      <c r="B26" s="154"/>
      <c r="C26" s="154"/>
      <c r="D26" s="152" t="s">
        <v>53</v>
      </c>
      <c r="E26" s="152"/>
      <c r="F26" s="152"/>
      <c r="G26" s="152"/>
      <c r="H26" s="152"/>
      <c r="I26" s="152"/>
    </row>
    <row r="27" spans="2:12" ht="99.6" customHeight="1">
      <c r="B27" s="136" t="s">
        <v>89</v>
      </c>
      <c r="C27" s="136"/>
      <c r="D27" s="144" t="s">
        <v>90</v>
      </c>
      <c r="E27" s="145"/>
      <c r="F27" s="146"/>
      <c r="G27" s="141" t="s">
        <v>91</v>
      </c>
      <c r="H27" s="145"/>
      <c r="I27" s="146"/>
      <c r="L27" s="11" t="s">
        <v>92</v>
      </c>
    </row>
    <row r="28" spans="2:12" ht="90.6" customHeight="1">
      <c r="B28" s="136"/>
      <c r="C28" s="136"/>
      <c r="D28" s="155" t="s">
        <v>93</v>
      </c>
      <c r="E28" s="156"/>
      <c r="F28" s="157"/>
      <c r="G28" s="141" t="s">
        <v>94</v>
      </c>
      <c r="H28" s="142"/>
      <c r="I28" s="143"/>
      <c r="L28" s="11" t="s">
        <v>95</v>
      </c>
    </row>
    <row r="29" spans="2:12" ht="75.599999999999994" customHeight="1">
      <c r="B29" s="136"/>
      <c r="C29" s="136"/>
      <c r="D29" s="144" t="s">
        <v>96</v>
      </c>
      <c r="E29" s="145"/>
      <c r="F29" s="146"/>
      <c r="G29" s="141" t="s">
        <v>97</v>
      </c>
      <c r="H29" s="148"/>
      <c r="I29" s="149"/>
      <c r="L29" s="11" t="s">
        <v>98</v>
      </c>
    </row>
    <row r="30" spans="2:12">
      <c r="B30" s="80" t="s">
        <v>65</v>
      </c>
      <c r="C30" s="80"/>
      <c r="D30" s="80"/>
      <c r="E30" s="80"/>
      <c r="F30" s="80"/>
      <c r="G30" s="80"/>
      <c r="H30" s="80"/>
      <c r="I30" s="80"/>
    </row>
    <row r="31" spans="2:12">
      <c r="B31" s="42" t="s">
        <v>66</v>
      </c>
      <c r="C31" s="42"/>
      <c r="D31" s="42"/>
      <c r="E31" s="42"/>
      <c r="F31" s="42"/>
      <c r="G31" s="42"/>
      <c r="H31" s="42"/>
      <c r="I31" s="42"/>
    </row>
    <row r="32" spans="2:12">
      <c r="B32" s="42"/>
      <c r="C32" s="42"/>
      <c r="D32" s="42"/>
      <c r="E32" s="42"/>
      <c r="F32" s="42"/>
      <c r="G32" s="42"/>
      <c r="H32" s="42"/>
      <c r="I32" s="42"/>
    </row>
    <row r="33" spans="2:9">
      <c r="B33" s="42"/>
      <c r="C33" s="42"/>
      <c r="D33" s="42"/>
      <c r="E33" s="42"/>
      <c r="F33" s="42"/>
      <c r="G33" s="42"/>
      <c r="H33" s="42"/>
      <c r="I33" s="42"/>
    </row>
    <row r="34" spans="2:9">
      <c r="B34" s="138" t="s">
        <v>99</v>
      </c>
      <c r="C34" s="138"/>
      <c r="D34" s="138"/>
      <c r="E34" s="138"/>
      <c r="F34" s="147" t="s">
        <v>68</v>
      </c>
      <c r="G34" s="147"/>
      <c r="H34" s="147"/>
      <c r="I34" s="147"/>
    </row>
    <row r="35" spans="2:9">
      <c r="B35" s="138"/>
      <c r="C35" s="138"/>
      <c r="D35" s="138"/>
      <c r="E35" s="138"/>
      <c r="F35" s="147"/>
      <c r="G35" s="147"/>
      <c r="H35" s="147"/>
      <c r="I35" s="147"/>
    </row>
    <row r="36" spans="2:9">
      <c r="B36" s="138"/>
      <c r="C36" s="138"/>
      <c r="D36" s="138"/>
      <c r="E36" s="138"/>
      <c r="F36" s="147"/>
      <c r="G36" s="147"/>
      <c r="H36" s="147"/>
      <c r="I36" s="147"/>
    </row>
    <row r="37" spans="2:9">
      <c r="B37" s="138"/>
      <c r="C37" s="138"/>
      <c r="D37" s="138"/>
      <c r="E37" s="138"/>
      <c r="F37" s="147"/>
      <c r="G37" s="147"/>
      <c r="H37" s="147"/>
      <c r="I37" s="147"/>
    </row>
    <row r="38" spans="2:9">
      <c r="B38" s="138"/>
      <c r="C38" s="138"/>
      <c r="D38" s="138"/>
      <c r="E38" s="138"/>
      <c r="F38" s="147"/>
      <c r="G38" s="147"/>
      <c r="H38" s="147"/>
      <c r="I38" s="147"/>
    </row>
    <row r="39" spans="2:9">
      <c r="B39" s="138"/>
      <c r="C39" s="138"/>
      <c r="D39" s="138"/>
      <c r="E39" s="138"/>
      <c r="F39" s="147"/>
      <c r="G39" s="147"/>
      <c r="H39" s="147"/>
      <c r="I39" s="147"/>
    </row>
    <row r="40" spans="2:9">
      <c r="B40" s="138"/>
      <c r="C40" s="138"/>
      <c r="D40" s="138"/>
      <c r="E40" s="138"/>
      <c r="F40" s="147"/>
      <c r="G40" s="147"/>
      <c r="H40" s="147"/>
      <c r="I40" s="147"/>
    </row>
    <row r="41" spans="2:9">
      <c r="B41" s="138"/>
      <c r="C41" s="138"/>
      <c r="D41" s="138"/>
      <c r="E41" s="138"/>
      <c r="F41" s="147"/>
      <c r="G41" s="147"/>
      <c r="H41" s="147"/>
      <c r="I41" s="147"/>
    </row>
    <row r="42" spans="2:9">
      <c r="B42" s="138"/>
      <c r="C42" s="138"/>
      <c r="D42" s="138"/>
      <c r="E42" s="138"/>
      <c r="F42" s="147"/>
      <c r="G42" s="147"/>
      <c r="H42" s="147"/>
      <c r="I42" s="147"/>
    </row>
    <row r="43" spans="2:9">
      <c r="B43" s="80" t="s">
        <v>69</v>
      </c>
      <c r="C43" s="80"/>
      <c r="D43" s="80"/>
      <c r="E43" s="80"/>
      <c r="F43" s="80"/>
      <c r="G43" s="80"/>
      <c r="H43" s="80"/>
      <c r="I43" s="80"/>
    </row>
    <row r="44" spans="2:9">
      <c r="B44" s="140" t="s">
        <v>100</v>
      </c>
      <c r="C44" s="140"/>
      <c r="D44" s="140"/>
      <c r="E44" s="140"/>
      <c r="F44" s="138" t="s">
        <v>101</v>
      </c>
      <c r="G44" s="138"/>
      <c r="H44" s="138"/>
      <c r="I44" s="138"/>
    </row>
    <row r="45" spans="2:9">
      <c r="B45" s="140"/>
      <c r="C45" s="140"/>
      <c r="D45" s="140"/>
      <c r="E45" s="140"/>
      <c r="F45" s="138"/>
      <c r="G45" s="138"/>
      <c r="H45" s="138"/>
      <c r="I45" s="138"/>
    </row>
    <row r="46" spans="2:9">
      <c r="B46" s="140"/>
      <c r="C46" s="140"/>
      <c r="D46" s="140"/>
      <c r="E46" s="140"/>
      <c r="F46" s="138"/>
      <c r="G46" s="138"/>
      <c r="H46" s="138"/>
      <c r="I46" s="138"/>
    </row>
    <row r="47" spans="2:9">
      <c r="B47" s="140"/>
      <c r="C47" s="140"/>
      <c r="D47" s="140"/>
      <c r="E47" s="140"/>
      <c r="F47" s="138"/>
      <c r="G47" s="138"/>
      <c r="H47" s="138"/>
      <c r="I47" s="138"/>
    </row>
    <row r="48" spans="2:9">
      <c r="B48" s="140"/>
      <c r="C48" s="140"/>
      <c r="D48" s="140"/>
      <c r="E48" s="140"/>
      <c r="F48" s="138"/>
      <c r="G48" s="138"/>
      <c r="H48" s="138"/>
      <c r="I48" s="138"/>
    </row>
    <row r="49" spans="2:9">
      <c r="B49" s="140"/>
      <c r="C49" s="140"/>
      <c r="D49" s="140"/>
      <c r="E49" s="140"/>
      <c r="F49" s="138"/>
      <c r="G49" s="138"/>
      <c r="H49" s="138"/>
      <c r="I49" s="138"/>
    </row>
    <row r="50" spans="2:9">
      <c r="B50" s="140"/>
      <c r="C50" s="140"/>
      <c r="D50" s="140"/>
      <c r="E50" s="140"/>
      <c r="F50" s="138"/>
      <c r="G50" s="138"/>
      <c r="H50" s="138"/>
      <c r="I50" s="138"/>
    </row>
    <row r="51" spans="2:9">
      <c r="B51" s="140"/>
      <c r="C51" s="140"/>
      <c r="D51" s="140"/>
      <c r="E51" s="140"/>
      <c r="F51" s="138"/>
      <c r="G51" s="138"/>
      <c r="H51" s="138"/>
      <c r="I51" s="138"/>
    </row>
    <row r="52" spans="2:9">
      <c r="B52" s="140"/>
      <c r="C52" s="140"/>
      <c r="D52" s="140"/>
      <c r="E52" s="140"/>
      <c r="F52" s="138"/>
      <c r="G52" s="138"/>
      <c r="H52" s="138"/>
      <c r="I52" s="138"/>
    </row>
    <row r="53" spans="2:9">
      <c r="B53" s="140"/>
      <c r="C53" s="140"/>
      <c r="D53" s="140"/>
      <c r="E53" s="140"/>
      <c r="F53" s="138"/>
      <c r="G53" s="138"/>
      <c r="H53" s="138"/>
      <c r="I53" s="138"/>
    </row>
    <row r="54" spans="2:9">
      <c r="B54" s="140"/>
      <c r="C54" s="140"/>
      <c r="D54" s="140"/>
      <c r="E54" s="140"/>
      <c r="F54" s="138"/>
      <c r="G54" s="138"/>
      <c r="H54" s="138"/>
      <c r="I54" s="138"/>
    </row>
    <row r="55" spans="2:9">
      <c r="B55" s="133" t="s">
        <v>102</v>
      </c>
      <c r="C55" s="133"/>
      <c r="D55" s="133"/>
      <c r="E55" s="133"/>
      <c r="F55" s="134" t="s">
        <v>103</v>
      </c>
      <c r="G55" s="134"/>
      <c r="H55" s="133" t="s">
        <v>73</v>
      </c>
      <c r="I55" s="6"/>
    </row>
    <row r="56" spans="2:9">
      <c r="B56" s="133"/>
      <c r="C56" s="133"/>
      <c r="D56" s="133"/>
      <c r="E56" s="133"/>
      <c r="F56" s="134"/>
      <c r="G56" s="134"/>
      <c r="H56" s="133"/>
      <c r="I56" s="6"/>
    </row>
    <row r="57" spans="2:9">
      <c r="B57" s="133"/>
      <c r="C57" s="133"/>
      <c r="D57" s="133"/>
      <c r="E57" s="133"/>
      <c r="F57" s="134"/>
      <c r="G57" s="134"/>
      <c r="H57" s="133"/>
      <c r="I57" s="6"/>
    </row>
    <row r="58" spans="2:9">
      <c r="B58" s="133"/>
      <c r="C58" s="133"/>
      <c r="D58" s="133"/>
      <c r="E58" s="133"/>
      <c r="F58" s="134"/>
      <c r="G58" s="134"/>
      <c r="H58" s="133"/>
      <c r="I58" s="6"/>
    </row>
    <row r="59" spans="2:9">
      <c r="B59" s="133"/>
      <c r="C59" s="133"/>
      <c r="D59" s="133"/>
      <c r="E59" s="133"/>
      <c r="F59" s="134"/>
      <c r="G59" s="134"/>
      <c r="H59" s="133"/>
      <c r="I59" s="6"/>
    </row>
    <row r="60" spans="2:9">
      <c r="B60" s="80" t="s">
        <v>74</v>
      </c>
      <c r="C60" s="80"/>
      <c r="D60" s="80"/>
      <c r="E60" s="80"/>
      <c r="F60" s="80"/>
      <c r="G60" s="80"/>
      <c r="H60" s="80"/>
      <c r="I60" s="80"/>
    </row>
    <row r="61" spans="2:9">
      <c r="B61" s="138" t="s">
        <v>75</v>
      </c>
      <c r="C61" s="138"/>
      <c r="D61" s="138"/>
      <c r="E61" s="138"/>
      <c r="F61" s="138" t="s">
        <v>76</v>
      </c>
      <c r="G61" s="138"/>
      <c r="H61" s="138"/>
      <c r="I61" s="138"/>
    </row>
    <row r="62" spans="2:9">
      <c r="B62" s="138"/>
      <c r="C62" s="138"/>
      <c r="D62" s="138"/>
      <c r="E62" s="138"/>
      <c r="F62" s="138"/>
      <c r="G62" s="138"/>
      <c r="H62" s="138"/>
      <c r="I62" s="138"/>
    </row>
    <row r="63" spans="2:9">
      <c r="B63" s="138"/>
      <c r="C63" s="138"/>
      <c r="D63" s="138"/>
      <c r="E63" s="138"/>
      <c r="F63" s="138"/>
      <c r="G63" s="138"/>
      <c r="H63" s="138"/>
      <c r="I63" s="138"/>
    </row>
    <row r="64" spans="2:9">
      <c r="B64" s="138"/>
      <c r="C64" s="138"/>
      <c r="D64" s="138"/>
      <c r="E64" s="138"/>
      <c r="F64" s="138"/>
      <c r="G64" s="138"/>
      <c r="H64" s="138"/>
      <c r="I64" s="138"/>
    </row>
    <row r="65" spans="2:9">
      <c r="B65" s="138"/>
      <c r="C65" s="138"/>
      <c r="D65" s="138"/>
      <c r="E65" s="138"/>
      <c r="F65" s="138"/>
      <c r="G65" s="138"/>
      <c r="H65" s="138"/>
      <c r="I65" s="138"/>
    </row>
    <row r="66" spans="2:9">
      <c r="B66" s="138"/>
      <c r="C66" s="138"/>
      <c r="D66" s="138"/>
      <c r="E66" s="138"/>
      <c r="F66" s="138"/>
      <c r="G66" s="138"/>
      <c r="H66" s="138"/>
      <c r="I66" s="138"/>
    </row>
    <row r="67" spans="2:9">
      <c r="B67" s="138"/>
      <c r="C67" s="138"/>
      <c r="D67" s="138"/>
      <c r="E67" s="138"/>
      <c r="F67" s="138"/>
      <c r="G67" s="138"/>
      <c r="H67" s="138"/>
      <c r="I67" s="138"/>
    </row>
    <row r="68" spans="2:9">
      <c r="B68" s="138"/>
      <c r="C68" s="138"/>
      <c r="D68" s="138"/>
      <c r="E68" s="138"/>
      <c r="F68" s="138"/>
      <c r="G68" s="138"/>
      <c r="H68" s="138"/>
      <c r="I68" s="138"/>
    </row>
    <row r="69" spans="2:9">
      <c r="B69" s="138"/>
      <c r="C69" s="138"/>
      <c r="D69" s="138"/>
      <c r="E69" s="138"/>
      <c r="F69" s="138"/>
      <c r="G69" s="138"/>
      <c r="H69" s="138"/>
      <c r="I69" s="138"/>
    </row>
    <row r="70" spans="2:9">
      <c r="B70" s="138"/>
      <c r="C70" s="138"/>
      <c r="D70" s="138"/>
      <c r="E70" s="138"/>
      <c r="F70" s="138"/>
      <c r="G70" s="138"/>
      <c r="H70" s="138"/>
      <c r="I70" s="138"/>
    </row>
    <row r="71" spans="2:9">
      <c r="B71" s="138"/>
      <c r="C71" s="138"/>
      <c r="D71" s="138"/>
      <c r="E71" s="138"/>
      <c r="F71" s="138"/>
      <c r="G71" s="138"/>
      <c r="H71" s="138"/>
      <c r="I71" s="138"/>
    </row>
    <row r="72" spans="2:9">
      <c r="B72" s="138"/>
      <c r="C72" s="138"/>
      <c r="D72" s="138"/>
      <c r="E72" s="138"/>
      <c r="F72" s="138"/>
      <c r="G72" s="138"/>
      <c r="H72" s="138"/>
      <c r="I72" s="138"/>
    </row>
    <row r="73" spans="2:9">
      <c r="B73" s="138"/>
      <c r="C73" s="138"/>
      <c r="D73" s="138"/>
      <c r="E73" s="138"/>
      <c r="F73" s="138"/>
      <c r="G73" s="138"/>
      <c r="H73" s="138"/>
      <c r="I73" s="138"/>
    </row>
    <row r="74" spans="2:9">
      <c r="B74" s="138"/>
      <c r="C74" s="138"/>
      <c r="D74" s="138"/>
      <c r="E74" s="138"/>
      <c r="F74" s="138"/>
      <c r="G74" s="138"/>
      <c r="H74" s="138"/>
      <c r="I74" s="138"/>
    </row>
    <row r="75" spans="2:9">
      <c r="B75" s="139"/>
      <c r="C75" s="139"/>
      <c r="D75" s="139"/>
      <c r="E75" s="139"/>
      <c r="F75" s="139"/>
      <c r="G75" s="139"/>
      <c r="H75" s="139"/>
      <c r="I75" s="139"/>
    </row>
    <row r="76" spans="2:9">
      <c r="B76" s="80" t="s">
        <v>77</v>
      </c>
      <c r="C76" s="80"/>
      <c r="D76" s="80"/>
      <c r="E76" s="80"/>
      <c r="F76" s="80"/>
      <c r="G76" s="80"/>
      <c r="H76" s="80"/>
      <c r="I76" s="80"/>
    </row>
    <row r="77" spans="2:9">
      <c r="B77" s="2" t="s">
        <v>78</v>
      </c>
      <c r="C77" s="2" t="s">
        <v>79</v>
      </c>
      <c r="D77" s="2" t="s">
        <v>80</v>
      </c>
      <c r="E77" s="2" t="s">
        <v>81</v>
      </c>
      <c r="F77" s="2" t="s">
        <v>82</v>
      </c>
      <c r="G77" s="80" t="s">
        <v>83</v>
      </c>
      <c r="H77" s="80"/>
      <c r="I77" s="80"/>
    </row>
    <row r="78" spans="2:9">
      <c r="B78" s="10"/>
      <c r="C78" s="10"/>
      <c r="D78" s="10"/>
      <c r="E78" s="10"/>
      <c r="F78" s="10"/>
      <c r="G78" s="42"/>
      <c r="H78" s="42"/>
      <c r="I78" s="42"/>
    </row>
    <row r="79" spans="2:9">
      <c r="B79" s="10"/>
      <c r="C79" s="10"/>
      <c r="D79" s="10"/>
      <c r="E79" s="10"/>
      <c r="F79" s="10"/>
      <c r="G79" s="42"/>
      <c r="H79" s="42"/>
      <c r="I79" s="42"/>
    </row>
    <row r="80" spans="2:9">
      <c r="B80" s="10"/>
      <c r="C80" s="10"/>
      <c r="D80" s="10"/>
      <c r="E80" s="10"/>
      <c r="F80" s="10"/>
      <c r="G80" s="42"/>
      <c r="H80" s="42"/>
      <c r="I80" s="42"/>
    </row>
    <row r="81" spans="2:9">
      <c r="B81" s="10"/>
      <c r="C81" s="10"/>
      <c r="D81" s="10"/>
      <c r="E81" s="10"/>
      <c r="F81" s="10"/>
      <c r="G81" s="42"/>
      <c r="H81" s="42"/>
      <c r="I81" s="42"/>
    </row>
    <row r="82" spans="2:9">
      <c r="B82" s="10"/>
      <c r="C82" s="10"/>
      <c r="D82" s="10"/>
      <c r="E82" s="10"/>
      <c r="F82" s="10"/>
      <c r="G82" s="42"/>
      <c r="H82" s="42"/>
      <c r="I82" s="42"/>
    </row>
    <row r="83" spans="2:9">
      <c r="B83" s="10"/>
      <c r="C83" s="10"/>
      <c r="D83" s="10"/>
      <c r="E83" s="10"/>
      <c r="F83" s="10"/>
      <c r="G83" s="42"/>
      <c r="H83" s="42"/>
      <c r="I83" s="42"/>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200-000000000000}">
          <x14:formula1>
            <xm:f>Parámetros!$G$1:$G$10</xm:f>
          </x14:formula1>
          <xm:sqref>I55:I59</xm:sqref>
        </x14:dataValidation>
        <x14:dataValidation type="list" allowBlank="1" showInputMessage="1" showErrorMessage="1" xr:uid="{00000000-0002-0000-0200-000001000000}">
          <x14:formula1>
            <xm:f>Parámetros!$F$1:$F$5</xm:f>
          </x14:formula1>
          <xm:sqref>F55:G59</xm:sqref>
        </x14:dataValidation>
        <x14:dataValidation type="list" allowBlank="1" showInputMessage="1" showErrorMessage="1" xr:uid="{00000000-0002-0000-0200-000002000000}">
          <x14:formula1>
            <xm:f>Parámetros!$E$1:$E$15</xm:f>
          </x14:formula1>
          <xm:sqref>G9</xm:sqref>
        </x14:dataValidation>
        <x14:dataValidation type="list" allowBlank="1" showInputMessage="1" showErrorMessage="1" xr:uid="{00000000-0002-0000-0200-000003000000}">
          <x14:formula1>
            <xm:f>Parámetros!$D$1:$D$15</xm:f>
          </x14:formula1>
          <xm:sqref>E9</xm:sqref>
        </x14:dataValidation>
        <x14:dataValidation type="list" allowBlank="1" showInputMessage="1" showErrorMessage="1" xr:uid="{00000000-0002-0000-0200-000004000000}">
          <x14:formula1>
            <xm:f>Parámetros!$C$1:$C$6</xm:f>
          </x14:formula1>
          <xm:sqref>C9</xm:sqref>
        </x14:dataValidation>
        <x14:dataValidation type="list" allowBlank="1" showInputMessage="1" showErrorMessage="1" xr:uid="{00000000-0002-0000-0200-000005000000}">
          <x14:formula1>
            <xm:f>Parámetros!$B$1:$B$9</xm:f>
          </x14:formula1>
          <xm:sqref>C8</xm:sqref>
        </x14:dataValidation>
        <x14:dataValidation type="list" allowBlank="1" showInputMessage="1" showErrorMessage="1" xr:uid="{00000000-0002-0000-0200-000006000000}">
          <x14:formula1>
            <xm:f>Parámetros!$A$1:$A$5</xm:f>
          </x14:formula1>
          <xm:sqref>I7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sheetPr codeName="Hoja3"/>
  <dimension ref="A1:H25"/>
  <sheetViews>
    <sheetView workbookViewId="0"/>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104</v>
      </c>
      <c r="B1" s="11" t="s">
        <v>105</v>
      </c>
      <c r="C1" s="11">
        <v>2</v>
      </c>
      <c r="D1" s="11">
        <v>36</v>
      </c>
      <c r="E1" s="11">
        <v>60</v>
      </c>
      <c r="F1" s="11" t="s">
        <v>103</v>
      </c>
      <c r="G1" s="13">
        <v>0.1</v>
      </c>
      <c r="H1" s="11" t="s">
        <v>106</v>
      </c>
    </row>
    <row r="2" spans="1:8">
      <c r="A2" s="11" t="s">
        <v>107</v>
      </c>
      <c r="B2" s="11" t="s">
        <v>108</v>
      </c>
      <c r="C2" s="11">
        <v>3</v>
      </c>
      <c r="D2" s="11">
        <v>54</v>
      </c>
      <c r="E2" s="11">
        <v>90</v>
      </c>
      <c r="F2" s="11" t="s">
        <v>109</v>
      </c>
      <c r="G2" s="13">
        <v>0.2</v>
      </c>
      <c r="H2" s="11" t="s">
        <v>110</v>
      </c>
    </row>
    <row r="3" spans="1:8">
      <c r="A3" s="11" t="s">
        <v>111</v>
      </c>
      <c r="B3" s="11" t="s">
        <v>112</v>
      </c>
      <c r="C3" s="11">
        <v>4</v>
      </c>
      <c r="D3" s="11">
        <v>72</v>
      </c>
      <c r="E3" s="11">
        <v>120</v>
      </c>
      <c r="F3" s="11" t="s">
        <v>113</v>
      </c>
      <c r="G3" s="13">
        <v>0.3</v>
      </c>
    </row>
    <row r="4" spans="1:8">
      <c r="A4" s="11" t="s">
        <v>114</v>
      </c>
      <c r="B4" s="11" t="s">
        <v>115</v>
      </c>
      <c r="C4" s="11">
        <v>5</v>
      </c>
      <c r="D4" s="11">
        <v>90</v>
      </c>
      <c r="E4" s="11">
        <v>102</v>
      </c>
      <c r="F4" s="11" t="s">
        <v>116</v>
      </c>
      <c r="G4" s="13">
        <v>0.4</v>
      </c>
    </row>
    <row r="5" spans="1:8">
      <c r="A5" s="11" t="s">
        <v>117</v>
      </c>
      <c r="B5" s="11" t="s">
        <v>118</v>
      </c>
      <c r="C5" s="11">
        <v>6</v>
      </c>
      <c r="D5" s="11">
        <v>90</v>
      </c>
      <c r="E5" s="11">
        <v>150</v>
      </c>
      <c r="F5" s="11" t="s">
        <v>119</v>
      </c>
      <c r="G5" s="13">
        <v>0.5</v>
      </c>
    </row>
    <row r="6" spans="1:8">
      <c r="B6" s="11" t="s">
        <v>120</v>
      </c>
      <c r="C6" s="11">
        <v>8</v>
      </c>
      <c r="D6" s="11">
        <v>108</v>
      </c>
      <c r="E6" s="11">
        <v>180</v>
      </c>
      <c r="G6" s="13">
        <v>0.6</v>
      </c>
    </row>
    <row r="7" spans="1:8">
      <c r="B7" s="11" t="s">
        <v>121</v>
      </c>
      <c r="D7" s="11">
        <v>144</v>
      </c>
      <c r="E7" s="11">
        <v>240</v>
      </c>
      <c r="G7" s="13">
        <v>0.7</v>
      </c>
    </row>
    <row r="8" spans="1:8">
      <c r="B8" s="11" t="s">
        <v>122</v>
      </c>
      <c r="D8" s="11">
        <v>32</v>
      </c>
      <c r="E8" s="11">
        <v>64</v>
      </c>
      <c r="G8" s="13">
        <v>0.8</v>
      </c>
    </row>
    <row r="9" spans="1:8">
      <c r="B9" s="11" t="s">
        <v>123</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4B6B3-8FBE-4414-A1FA-3E2E2A75BD6D}">
  <sheetPr codeName="Hoja6"/>
  <dimension ref="B1:I60"/>
  <sheetViews>
    <sheetView workbookViewId="0">
      <selection activeCell="K26" sqref="K26"/>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127</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1</v>
      </c>
      <c r="I9" s="98"/>
    </row>
    <row r="10" spans="2:9" ht="29.45" thickBot="1">
      <c r="B10" s="26" t="s">
        <v>32</v>
      </c>
      <c r="C10" s="28">
        <v>4</v>
      </c>
      <c r="D10" s="27" t="s">
        <v>33</v>
      </c>
      <c r="E10" s="28">
        <v>72</v>
      </c>
      <c r="F10" s="27" t="s">
        <v>34</v>
      </c>
      <c r="G10" s="28">
        <v>120</v>
      </c>
      <c r="H10" s="27" t="s">
        <v>35</v>
      </c>
      <c r="I10" s="29">
        <v>192</v>
      </c>
    </row>
    <row r="11" spans="2:9">
      <c r="B11" s="68" t="s">
        <v>133</v>
      </c>
      <c r="C11" s="69"/>
      <c r="D11" s="69"/>
      <c r="E11" s="69"/>
      <c r="F11" s="69"/>
      <c r="G11" s="69"/>
      <c r="H11" s="69"/>
      <c r="I11" s="70"/>
    </row>
    <row r="12" spans="2:9" ht="31.5" customHeight="1">
      <c r="B12" s="99" t="s">
        <v>134</v>
      </c>
      <c r="C12" s="100"/>
      <c r="D12" s="101" t="s">
        <v>135</v>
      </c>
      <c r="E12" s="102"/>
      <c r="F12" s="102"/>
      <c r="G12" s="102"/>
      <c r="H12" s="102"/>
      <c r="I12" s="103"/>
    </row>
    <row r="13" spans="2:9" ht="15" thickBot="1">
      <c r="B13" s="104" t="s">
        <v>136</v>
      </c>
      <c r="C13" s="105"/>
      <c r="D13" s="106" t="s">
        <v>137</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c r="E20" s="89"/>
      <c r="F20" s="90"/>
      <c r="G20" s="88" t="s">
        <v>147</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149</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151</v>
      </c>
      <c r="G33" s="61"/>
      <c r="H33" s="61"/>
      <c r="I33" s="64"/>
    </row>
    <row r="34" spans="2:9" ht="15" thickBot="1">
      <c r="B34" s="65" t="s">
        <v>152</v>
      </c>
      <c r="C34" s="66"/>
      <c r="D34" s="66"/>
      <c r="E34" s="66"/>
      <c r="F34" s="67"/>
      <c r="G34" s="67"/>
      <c r="H34" s="34" t="s">
        <v>73</v>
      </c>
      <c r="I34" s="18"/>
    </row>
    <row r="35" spans="2:9" ht="72" customHeight="1">
      <c r="B35" s="158" t="s">
        <v>153</v>
      </c>
      <c r="C35" s="159"/>
      <c r="D35" s="159"/>
      <c r="E35" s="159"/>
      <c r="F35" s="159"/>
      <c r="G35" s="159"/>
      <c r="H35" s="159"/>
      <c r="I35" s="160"/>
    </row>
    <row r="36" spans="2:9" ht="15" customHeight="1">
      <c r="B36" s="71" t="s">
        <v>154</v>
      </c>
      <c r="C36" s="72"/>
      <c r="D36" s="72"/>
      <c r="E36" s="73"/>
      <c r="F36" s="71" t="s">
        <v>155</v>
      </c>
      <c r="G36" s="72"/>
      <c r="H36" s="72"/>
      <c r="I36" s="73"/>
    </row>
    <row r="37" spans="2:9" ht="14.45" customHeight="1">
      <c r="B37" s="74"/>
      <c r="C37" s="75"/>
      <c r="D37" s="75"/>
      <c r="E37" s="76"/>
      <c r="F37" s="74"/>
      <c r="G37" s="75"/>
      <c r="H37" s="75"/>
      <c r="I37" s="76"/>
    </row>
    <row r="38" spans="2:9" ht="14.45" customHeight="1">
      <c r="B38" s="74"/>
      <c r="C38" s="75"/>
      <c r="D38" s="75"/>
      <c r="E38" s="76"/>
      <c r="F38" s="74"/>
      <c r="G38" s="75"/>
      <c r="H38" s="75"/>
      <c r="I38" s="76"/>
    </row>
    <row r="39" spans="2:9" ht="14.45" customHeight="1">
      <c r="B39" s="74"/>
      <c r="C39" s="75"/>
      <c r="D39" s="75"/>
      <c r="E39" s="76"/>
      <c r="F39" s="74"/>
      <c r="G39" s="75"/>
      <c r="H39" s="75"/>
      <c r="I39" s="76"/>
    </row>
    <row r="40" spans="2:9" ht="14.45" customHeight="1">
      <c r="B40" s="74"/>
      <c r="C40" s="75"/>
      <c r="D40" s="75"/>
      <c r="E40" s="76"/>
      <c r="F40" s="74"/>
      <c r="G40" s="75"/>
      <c r="H40" s="75"/>
      <c r="I40" s="76"/>
    </row>
    <row r="41" spans="2:9" ht="14.45" customHeight="1">
      <c r="B41" s="74"/>
      <c r="C41" s="75"/>
      <c r="D41" s="75"/>
      <c r="E41" s="76"/>
      <c r="F41" s="74"/>
      <c r="G41" s="75"/>
      <c r="H41" s="75"/>
      <c r="I41" s="76"/>
    </row>
    <row r="42" spans="2:9" ht="131.25" customHeight="1">
      <c r="B42" s="77"/>
      <c r="C42" s="78"/>
      <c r="D42" s="78"/>
      <c r="E42" s="79"/>
      <c r="F42" s="77"/>
      <c r="G42" s="78"/>
      <c r="H42" s="78"/>
      <c r="I42" s="79"/>
    </row>
    <row r="43" spans="2:9" ht="15">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43.5">
      <c r="B45" s="35">
        <v>0</v>
      </c>
      <c r="C45" s="36">
        <v>46083</v>
      </c>
      <c r="D45" s="37" t="s">
        <v>158</v>
      </c>
      <c r="E45" s="37" t="s">
        <v>159</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row r="52" spans="2:9" ht="15.75">
      <c r="B52" s="40"/>
    </row>
    <row r="54" spans="2:9" ht="15">
      <c r="B54" s="2" t="s">
        <v>162</v>
      </c>
      <c r="C54" s="2" t="s">
        <v>163</v>
      </c>
      <c r="D54" s="2" t="s">
        <v>164</v>
      </c>
    </row>
    <row r="55" spans="2:9" ht="61.5" customHeight="1">
      <c r="B55" s="41" t="s">
        <v>165</v>
      </c>
      <c r="C55" s="41" t="s">
        <v>166</v>
      </c>
      <c r="D55" s="41" t="s">
        <v>167</v>
      </c>
    </row>
    <row r="56" spans="2:9" ht="99.75" customHeight="1">
      <c r="B56" s="41" t="s">
        <v>168</v>
      </c>
      <c r="C56" s="41" t="s">
        <v>166</v>
      </c>
      <c r="D56" s="41" t="s">
        <v>169</v>
      </c>
    </row>
    <row r="57" spans="2:9" ht="15"/>
    <row r="58" spans="2:9" ht="15"/>
    <row r="59" spans="2:9" ht="15"/>
    <row r="60" spans="2:9" ht="15"/>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400-000000000000}">
          <x14:formula1>
            <xm:f>Parámetros!$C$1:$C$6</xm:f>
          </x14:formula1>
          <xm:sqref>C10</xm:sqref>
        </x14:dataValidation>
        <x14:dataValidation type="list" allowBlank="1" showInputMessage="1" showErrorMessage="1" xr:uid="{00000000-0002-0000-0400-000001000000}">
          <x14:formula1>
            <xm:f>Parámetros!$D$1:$D$15</xm:f>
          </x14:formula1>
          <xm:sqref>E10</xm:sqref>
        </x14:dataValidation>
        <x14:dataValidation type="list" allowBlank="1" showInputMessage="1" showErrorMessage="1" xr:uid="{00000000-0002-0000-0400-000002000000}">
          <x14:formula1>
            <xm:f>Parámetros!$E$1:$E$15</xm:f>
          </x14:formula1>
          <xm:sqref>G10</xm:sqref>
        </x14:dataValidation>
        <x14:dataValidation type="list" allowBlank="1" showInputMessage="1" showErrorMessage="1" xr:uid="{00000000-0002-0000-0400-000003000000}">
          <x14:formula1>
            <xm:f>Parámetros!$G$1:$G$10</xm:f>
          </x14:formula1>
          <xm:sqref>I34</xm:sqref>
        </x14:dataValidation>
        <x14:dataValidation type="list" allowBlank="1" showInputMessage="1" showErrorMessage="1" xr:uid="{00000000-0002-0000-0400-000004000000}">
          <x14:formula1>
            <xm:f>Parámetros!$F$1:$F$5</xm:f>
          </x14:formula1>
          <xm:sqref>F34:G34</xm:sqref>
        </x14:dataValidation>
        <x14:dataValidation type="list" allowBlank="1" showInputMessage="1" showErrorMessage="1" xr:uid="{00000000-0002-0000-0400-000005000000}">
          <x14:formula1>
            <xm:f>Parámetros!$H$1:$H$2</xm:f>
          </x14:formula1>
          <xm:sqref>C9</xm:sqref>
        </x14:dataValidation>
        <x14:dataValidation type="list" allowBlank="1" showInputMessage="1" showErrorMessage="1" xr:uid="{00000000-0002-0000-0400-000006000000}">
          <x14:formula1>
            <xm:f>Parámetros!$A$1:$A$5</xm:f>
          </x14:formula1>
          <xm:sqref>I7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3E961-7217-44BB-AFCC-F52398DE5EF3}">
  <sheetPr codeName="Hoja7"/>
  <dimension ref="B1:I50"/>
  <sheetViews>
    <sheetView workbookViewId="0">
      <selection activeCell="B36" sqref="B36:E42"/>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170</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2</v>
      </c>
      <c r="I9" s="98"/>
    </row>
    <row r="10" spans="2:9" ht="29.45" thickBot="1">
      <c r="B10" s="26" t="s">
        <v>32</v>
      </c>
      <c r="C10" s="28">
        <v>4</v>
      </c>
      <c r="D10" s="27" t="s">
        <v>33</v>
      </c>
      <c r="E10" s="28">
        <v>72</v>
      </c>
      <c r="F10" s="27" t="s">
        <v>34</v>
      </c>
      <c r="G10" s="28">
        <v>120</v>
      </c>
      <c r="H10" s="27" t="s">
        <v>35</v>
      </c>
      <c r="I10" s="29">
        <v>192</v>
      </c>
    </row>
    <row r="11" spans="2:9">
      <c r="B11" s="68" t="s">
        <v>133</v>
      </c>
      <c r="C11" s="69"/>
      <c r="D11" s="69"/>
      <c r="E11" s="69"/>
      <c r="F11" s="69"/>
      <c r="G11" s="69"/>
      <c r="H11" s="69"/>
      <c r="I11" s="70"/>
    </row>
    <row r="12" spans="2:9" ht="31.5" customHeight="1">
      <c r="B12" s="99" t="s">
        <v>134</v>
      </c>
      <c r="C12" s="100"/>
      <c r="D12" s="101" t="s">
        <v>171</v>
      </c>
      <c r="E12" s="102"/>
      <c r="F12" s="102"/>
      <c r="G12" s="102"/>
      <c r="H12" s="102"/>
      <c r="I12" s="103"/>
    </row>
    <row r="13" spans="2:9" ht="15" thickBot="1">
      <c r="B13" s="104" t="s">
        <v>136</v>
      </c>
      <c r="C13" s="105"/>
      <c r="D13" s="106" t="s">
        <v>172</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c r="E20" s="89"/>
      <c r="F20" s="90"/>
      <c r="G20" s="88" t="s">
        <v>173</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174</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175</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177</v>
      </c>
      <c r="C36" s="72"/>
      <c r="D36" s="72"/>
      <c r="E36" s="73"/>
      <c r="F36" s="71" t="s">
        <v>155</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178</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500-000000000000}">
          <x14:formula1>
            <xm:f>Parámetros!$C$1:$C$6</xm:f>
          </x14:formula1>
          <xm:sqref>C10</xm:sqref>
        </x14:dataValidation>
        <x14:dataValidation type="list" allowBlank="1" showInputMessage="1" showErrorMessage="1" xr:uid="{00000000-0002-0000-0500-000001000000}">
          <x14:formula1>
            <xm:f>Parámetros!$D$1:$D$15</xm:f>
          </x14:formula1>
          <xm:sqref>E10</xm:sqref>
        </x14:dataValidation>
        <x14:dataValidation type="list" allowBlank="1" showInputMessage="1" showErrorMessage="1" xr:uid="{00000000-0002-0000-0500-000002000000}">
          <x14:formula1>
            <xm:f>Parámetros!$E$1:$E$15</xm:f>
          </x14:formula1>
          <xm:sqref>G10</xm:sqref>
        </x14:dataValidation>
        <x14:dataValidation type="list" allowBlank="1" showInputMessage="1" showErrorMessage="1" xr:uid="{00000000-0002-0000-0500-000003000000}">
          <x14:formula1>
            <xm:f>Parámetros!$G$1:$G$10</xm:f>
          </x14:formula1>
          <xm:sqref>I34</xm:sqref>
        </x14:dataValidation>
        <x14:dataValidation type="list" allowBlank="1" showInputMessage="1" showErrorMessage="1" xr:uid="{00000000-0002-0000-0500-000004000000}">
          <x14:formula1>
            <xm:f>Parámetros!$F$1:$F$5</xm:f>
          </x14:formula1>
          <xm:sqref>F34:G34</xm:sqref>
        </x14:dataValidation>
        <x14:dataValidation type="list" allowBlank="1" showInputMessage="1" showErrorMessage="1" xr:uid="{00000000-0002-0000-0500-000005000000}">
          <x14:formula1>
            <xm:f>Parámetros!$H$1:$H$2</xm:f>
          </x14:formula1>
          <xm:sqref>C9</xm:sqref>
        </x14:dataValidation>
        <x14:dataValidation type="list" allowBlank="1" showInputMessage="1" showErrorMessage="1" xr:uid="{00000000-0002-0000-0500-000006000000}">
          <x14:formula1>
            <xm:f>Parámetros!$A$1:$A$5</xm:f>
          </x14:formula1>
          <xm:sqref>I7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DBBC1-719C-4C11-A350-B3116ACFD59F}">
  <sheetPr codeName="Hoja8"/>
  <dimension ref="B1:I50"/>
  <sheetViews>
    <sheetView topLeftCell="A22" workbookViewId="0">
      <selection activeCell="A20" sqref="A20:XFD26"/>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179</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180</v>
      </c>
      <c r="I9" s="98"/>
    </row>
    <row r="10" spans="2:9" ht="29.45" thickBot="1">
      <c r="B10" s="26" t="s">
        <v>32</v>
      </c>
      <c r="C10" s="28">
        <v>4</v>
      </c>
      <c r="D10" s="27" t="s">
        <v>33</v>
      </c>
      <c r="E10" s="28">
        <v>72</v>
      </c>
      <c r="F10" s="27" t="s">
        <v>34</v>
      </c>
      <c r="G10" s="28">
        <v>120</v>
      </c>
      <c r="H10" s="27" t="s">
        <v>35</v>
      </c>
      <c r="I10" s="29">
        <v>192</v>
      </c>
    </row>
    <row r="11" spans="2:9">
      <c r="B11" s="68" t="s">
        <v>133</v>
      </c>
      <c r="C11" s="69"/>
      <c r="D11" s="69"/>
      <c r="E11" s="69"/>
      <c r="F11" s="69"/>
      <c r="G11" s="69"/>
      <c r="H11" s="69"/>
      <c r="I11" s="70"/>
    </row>
    <row r="12" spans="2:9" ht="31.5" customHeight="1">
      <c r="B12" s="99" t="s">
        <v>134</v>
      </c>
      <c r="C12" s="100"/>
      <c r="D12" s="101" t="s">
        <v>181</v>
      </c>
      <c r="E12" s="102"/>
      <c r="F12" s="102"/>
      <c r="G12" s="102"/>
      <c r="H12" s="102"/>
      <c r="I12" s="103"/>
    </row>
    <row r="13" spans="2:9" ht="15" thickBot="1">
      <c r="B13" s="104" t="s">
        <v>136</v>
      </c>
      <c r="C13" s="105"/>
      <c r="D13" s="106" t="s">
        <v>182</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5">
      <c r="B20" s="82"/>
      <c r="C20" s="83"/>
      <c r="D20" s="88" t="s">
        <v>183</v>
      </c>
      <c r="E20" s="89"/>
      <c r="F20" s="90"/>
      <c r="G20" s="88"/>
      <c r="H20" s="89"/>
      <c r="I20" s="90"/>
    </row>
    <row r="21" spans="2:9" ht="15">
      <c r="B21" s="84"/>
      <c r="C21" s="85"/>
      <c r="D21" s="91"/>
      <c r="E21" s="92"/>
      <c r="F21" s="93"/>
      <c r="G21" s="91"/>
      <c r="H21" s="92"/>
      <c r="I21" s="93"/>
    </row>
    <row r="22" spans="2:9" ht="15">
      <c r="B22" s="84"/>
      <c r="C22" s="85"/>
      <c r="D22" s="91"/>
      <c r="E22" s="92"/>
      <c r="F22" s="93"/>
      <c r="G22" s="91"/>
      <c r="H22" s="92"/>
      <c r="I22" s="93"/>
    </row>
    <row r="23" spans="2:9" ht="15">
      <c r="B23" s="84"/>
      <c r="C23" s="85"/>
      <c r="D23" s="91"/>
      <c r="E23" s="92"/>
      <c r="F23" s="93"/>
      <c r="G23" s="91"/>
      <c r="H23" s="92"/>
      <c r="I23" s="93"/>
    </row>
    <row r="24" spans="2:9" ht="15">
      <c r="B24" s="84"/>
      <c r="C24" s="85"/>
      <c r="D24" s="91"/>
      <c r="E24" s="92"/>
      <c r="F24" s="93"/>
      <c r="G24" s="91"/>
      <c r="H24" s="92"/>
      <c r="I24" s="93"/>
    </row>
    <row r="25" spans="2:9" ht="15">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184</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185</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186</v>
      </c>
      <c r="C36" s="72"/>
      <c r="D36" s="72"/>
      <c r="E36" s="73"/>
      <c r="F36" s="71" t="s">
        <v>155</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187</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600-000000000000}">
          <x14:formula1>
            <xm:f>Parámetros!$C$1:$C$6</xm:f>
          </x14:formula1>
          <xm:sqref>C10</xm:sqref>
        </x14:dataValidation>
        <x14:dataValidation type="list" allowBlank="1" showInputMessage="1" showErrorMessage="1" xr:uid="{00000000-0002-0000-0600-000001000000}">
          <x14:formula1>
            <xm:f>Parámetros!$D$1:$D$15</xm:f>
          </x14:formula1>
          <xm:sqref>E10</xm:sqref>
        </x14:dataValidation>
        <x14:dataValidation type="list" allowBlank="1" showInputMessage="1" showErrorMessage="1" xr:uid="{00000000-0002-0000-0600-000002000000}">
          <x14:formula1>
            <xm:f>Parámetros!$E$1:$E$15</xm:f>
          </x14:formula1>
          <xm:sqref>G10</xm:sqref>
        </x14:dataValidation>
        <x14:dataValidation type="list" allowBlank="1" showInputMessage="1" showErrorMessage="1" xr:uid="{00000000-0002-0000-0600-000003000000}">
          <x14:formula1>
            <xm:f>Parámetros!$G$1:$G$10</xm:f>
          </x14:formula1>
          <xm:sqref>I34</xm:sqref>
        </x14:dataValidation>
        <x14:dataValidation type="list" allowBlank="1" showInputMessage="1" showErrorMessage="1" xr:uid="{00000000-0002-0000-0600-000004000000}">
          <x14:formula1>
            <xm:f>Parámetros!$F$1:$F$5</xm:f>
          </x14:formula1>
          <xm:sqref>F34:G34</xm:sqref>
        </x14:dataValidation>
        <x14:dataValidation type="list" allowBlank="1" showInputMessage="1" showErrorMessage="1" xr:uid="{00000000-0002-0000-0600-000005000000}">
          <x14:formula1>
            <xm:f>Parámetros!$H$1:$H$2</xm:f>
          </x14:formula1>
          <xm:sqref>C9</xm:sqref>
        </x14:dataValidation>
        <x14:dataValidation type="list" allowBlank="1" showInputMessage="1" showErrorMessage="1" xr:uid="{00000000-0002-0000-0600-000006000000}">
          <x14:formula1>
            <xm:f>Parámetros!$A$1:$A$5</xm:f>
          </x14:formula1>
          <xm:sqref>I7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F882F-3285-47C6-94BF-D5FE6D482B6F}">
  <sheetPr codeName="Hoja9"/>
  <dimension ref="B1:I50"/>
  <sheetViews>
    <sheetView topLeftCell="A10"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188</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189</v>
      </c>
      <c r="I9" s="98"/>
    </row>
    <row r="10" spans="2:9" ht="29.45" thickBot="1">
      <c r="B10" s="26" t="s">
        <v>32</v>
      </c>
      <c r="C10" s="28">
        <v>4</v>
      </c>
      <c r="D10" s="27" t="s">
        <v>33</v>
      </c>
      <c r="E10" s="28">
        <v>72</v>
      </c>
      <c r="F10" s="27" t="s">
        <v>34</v>
      </c>
      <c r="G10" s="28">
        <v>120</v>
      </c>
      <c r="H10" s="27" t="s">
        <v>35</v>
      </c>
      <c r="I10" s="29">
        <v>192</v>
      </c>
    </row>
    <row r="11" spans="2:9">
      <c r="B11" s="68" t="s">
        <v>133</v>
      </c>
      <c r="C11" s="69"/>
      <c r="D11" s="69"/>
      <c r="E11" s="69"/>
      <c r="F11" s="69"/>
      <c r="G11" s="69"/>
      <c r="H11" s="69"/>
      <c r="I11" s="70"/>
    </row>
    <row r="12" spans="2:9" ht="31.5" customHeight="1">
      <c r="B12" s="99" t="s">
        <v>134</v>
      </c>
      <c r="C12" s="100"/>
      <c r="D12" s="101" t="s">
        <v>190</v>
      </c>
      <c r="E12" s="102"/>
      <c r="F12" s="102"/>
      <c r="G12" s="102"/>
      <c r="H12" s="102"/>
      <c r="I12" s="103"/>
    </row>
    <row r="13" spans="2:9" ht="15" thickBot="1">
      <c r="B13" s="104" t="s">
        <v>136</v>
      </c>
      <c r="C13" s="105"/>
      <c r="D13" s="106" t="s">
        <v>191</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t="s">
        <v>192</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184</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185</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186</v>
      </c>
      <c r="C36" s="72"/>
      <c r="D36" s="72"/>
      <c r="E36" s="73"/>
      <c r="F36" s="71" t="s">
        <v>193</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187</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700-000000000000}">
          <x14:formula1>
            <xm:f>Parámetros!$C$1:$C$6</xm:f>
          </x14:formula1>
          <xm:sqref>C10</xm:sqref>
        </x14:dataValidation>
        <x14:dataValidation type="list" allowBlank="1" showInputMessage="1" showErrorMessage="1" xr:uid="{00000000-0002-0000-0700-000001000000}">
          <x14:formula1>
            <xm:f>Parámetros!$D$1:$D$15</xm:f>
          </x14:formula1>
          <xm:sqref>E10</xm:sqref>
        </x14:dataValidation>
        <x14:dataValidation type="list" allowBlank="1" showInputMessage="1" showErrorMessage="1" xr:uid="{00000000-0002-0000-0700-000002000000}">
          <x14:formula1>
            <xm:f>Parámetros!$E$1:$E$15</xm:f>
          </x14:formula1>
          <xm:sqref>G10</xm:sqref>
        </x14:dataValidation>
        <x14:dataValidation type="list" allowBlank="1" showInputMessage="1" showErrorMessage="1" xr:uid="{00000000-0002-0000-0700-000003000000}">
          <x14:formula1>
            <xm:f>Parámetros!$G$1:$G$10</xm:f>
          </x14:formula1>
          <xm:sqref>I34</xm:sqref>
        </x14:dataValidation>
        <x14:dataValidation type="list" allowBlank="1" showInputMessage="1" showErrorMessage="1" xr:uid="{00000000-0002-0000-0700-000004000000}">
          <x14:formula1>
            <xm:f>Parámetros!$F$1:$F$5</xm:f>
          </x14:formula1>
          <xm:sqref>F34:G34</xm:sqref>
        </x14:dataValidation>
        <x14:dataValidation type="list" allowBlank="1" showInputMessage="1" showErrorMessage="1" xr:uid="{00000000-0002-0000-0700-000005000000}">
          <x14:formula1>
            <xm:f>Parámetros!$H$1:$H$2</xm:f>
          </x14:formula1>
          <xm:sqref>C9</xm:sqref>
        </x14:dataValidation>
        <x14:dataValidation type="list" allowBlank="1" showInputMessage="1" showErrorMessage="1" xr:uid="{00000000-0002-0000-0700-000006000000}">
          <x14:formula1>
            <xm:f>Parámetros!$A$1:$A$5</xm:f>
          </x14:formula1>
          <xm:sqref>I7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45074-E92C-425D-AE07-D014E172D523}">
  <sheetPr codeName="Hoja10"/>
  <dimension ref="B1:I50"/>
  <sheetViews>
    <sheetView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194</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5</v>
      </c>
      <c r="I9" s="98"/>
    </row>
    <row r="10" spans="2:9" ht="29.45" thickBot="1">
      <c r="B10" s="26" t="s">
        <v>32</v>
      </c>
      <c r="C10" s="28">
        <v>3</v>
      </c>
      <c r="D10" s="27" t="s">
        <v>33</v>
      </c>
      <c r="E10" s="28">
        <v>54</v>
      </c>
      <c r="F10" s="27" t="s">
        <v>34</v>
      </c>
      <c r="G10" s="28">
        <v>90</v>
      </c>
      <c r="H10" s="27" t="s">
        <v>35</v>
      </c>
      <c r="I10" s="29">
        <v>144</v>
      </c>
    </row>
    <row r="11" spans="2:9">
      <c r="B11" s="68" t="s">
        <v>133</v>
      </c>
      <c r="C11" s="69"/>
      <c r="D11" s="69"/>
      <c r="E11" s="69"/>
      <c r="F11" s="69"/>
      <c r="G11" s="69"/>
      <c r="H11" s="69"/>
      <c r="I11" s="70"/>
    </row>
    <row r="12" spans="2:9" ht="31.5" customHeight="1">
      <c r="B12" s="99" t="s">
        <v>134</v>
      </c>
      <c r="C12" s="100"/>
      <c r="D12" s="101" t="s">
        <v>195</v>
      </c>
      <c r="E12" s="102"/>
      <c r="F12" s="102"/>
      <c r="G12" s="102"/>
      <c r="H12" s="102"/>
      <c r="I12" s="103"/>
    </row>
    <row r="13" spans="2:9" ht="15" thickBot="1">
      <c r="B13" s="104" t="s">
        <v>136</v>
      </c>
      <c r="C13" s="105"/>
      <c r="D13" s="106" t="s">
        <v>196</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c r="E20" s="89"/>
      <c r="F20" s="90"/>
      <c r="G20" s="88" t="s">
        <v>197</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198</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199</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200</v>
      </c>
      <c r="C36" s="72"/>
      <c r="D36" s="72"/>
      <c r="E36" s="73"/>
      <c r="F36" s="71" t="s">
        <v>201</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202</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800-000000000000}">
          <x14:formula1>
            <xm:f>Parámetros!$C$1:$C$6</xm:f>
          </x14:formula1>
          <xm:sqref>C10</xm:sqref>
        </x14:dataValidation>
        <x14:dataValidation type="list" allowBlank="1" showInputMessage="1" showErrorMessage="1" xr:uid="{00000000-0002-0000-0800-000001000000}">
          <x14:formula1>
            <xm:f>Parámetros!$D$1:$D$15</xm:f>
          </x14:formula1>
          <xm:sqref>E10</xm:sqref>
        </x14:dataValidation>
        <x14:dataValidation type="list" allowBlank="1" showInputMessage="1" showErrorMessage="1" xr:uid="{00000000-0002-0000-0800-000002000000}">
          <x14:formula1>
            <xm:f>Parámetros!$E$1:$E$15</xm:f>
          </x14:formula1>
          <xm:sqref>G10</xm:sqref>
        </x14:dataValidation>
        <x14:dataValidation type="list" allowBlank="1" showInputMessage="1" showErrorMessage="1" xr:uid="{00000000-0002-0000-0800-000003000000}">
          <x14:formula1>
            <xm:f>Parámetros!$G$1:$G$10</xm:f>
          </x14:formula1>
          <xm:sqref>I34</xm:sqref>
        </x14:dataValidation>
        <x14:dataValidation type="list" allowBlank="1" showInputMessage="1" showErrorMessage="1" xr:uid="{00000000-0002-0000-0800-000004000000}">
          <x14:formula1>
            <xm:f>Parámetros!$F$1:$F$5</xm:f>
          </x14:formula1>
          <xm:sqref>F34:G34</xm:sqref>
        </x14:dataValidation>
        <x14:dataValidation type="list" allowBlank="1" showInputMessage="1" showErrorMessage="1" xr:uid="{00000000-0002-0000-0800-000005000000}">
          <x14:formula1>
            <xm:f>Parámetros!$H$1:$H$2</xm:f>
          </x14:formula1>
          <xm:sqref>C9</xm:sqref>
        </x14:dataValidation>
        <x14:dataValidation type="list" allowBlank="1" showInputMessage="1" showErrorMessage="1" xr:uid="{00000000-0002-0000-0800-000006000000}">
          <x14:formula1>
            <xm:f>Parámetros!$A$1:$A$5</xm:f>
          </x14:formula1>
          <xm:sqref>I7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61F91-371F-4AFE-B7ED-7FC95CE40EED}">
  <sheetPr codeName="Hoja11"/>
  <dimension ref="B1:I50"/>
  <sheetViews>
    <sheetView topLeftCell="A40" workbookViewId="0">
      <selection activeCell="L53" sqref="L53"/>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203</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6</v>
      </c>
      <c r="I9" s="98"/>
    </row>
    <row r="10" spans="2:9" ht="29.45" thickBot="1">
      <c r="B10" s="26" t="s">
        <v>32</v>
      </c>
      <c r="C10" s="28">
        <v>3</v>
      </c>
      <c r="D10" s="27" t="s">
        <v>33</v>
      </c>
      <c r="E10" s="28">
        <v>54</v>
      </c>
      <c r="F10" s="27" t="s">
        <v>34</v>
      </c>
      <c r="G10" s="28">
        <v>90</v>
      </c>
      <c r="H10" s="27" t="s">
        <v>35</v>
      </c>
      <c r="I10" s="29">
        <v>144</v>
      </c>
    </row>
    <row r="11" spans="2:9">
      <c r="B11" s="68" t="s">
        <v>133</v>
      </c>
      <c r="C11" s="69"/>
      <c r="D11" s="69"/>
      <c r="E11" s="69"/>
      <c r="F11" s="69"/>
      <c r="G11" s="69"/>
      <c r="H11" s="69"/>
      <c r="I11" s="70"/>
    </row>
    <row r="12" spans="2:9" ht="31.5" customHeight="1">
      <c r="B12" s="99" t="s">
        <v>134</v>
      </c>
      <c r="C12" s="100"/>
      <c r="D12" s="101" t="s">
        <v>204</v>
      </c>
      <c r="E12" s="102"/>
      <c r="F12" s="102"/>
      <c r="G12" s="102"/>
      <c r="H12" s="102"/>
      <c r="I12" s="103"/>
    </row>
    <row r="13" spans="2:9" ht="15" thickBot="1">
      <c r="B13" s="104" t="s">
        <v>136</v>
      </c>
      <c r="C13" s="105"/>
      <c r="D13" s="106" t="s">
        <v>205</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c r="E20" s="89"/>
      <c r="F20" s="90"/>
      <c r="G20" s="88" t="s">
        <v>206</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198</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207</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208</v>
      </c>
      <c r="C36" s="72"/>
      <c r="D36" s="72"/>
      <c r="E36" s="73"/>
      <c r="F36" s="71" t="s">
        <v>209</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47.25" customHeight="1"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210</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900-000000000000}">
          <x14:formula1>
            <xm:f>Parámetros!$C$1:$C$6</xm:f>
          </x14:formula1>
          <xm:sqref>C10</xm:sqref>
        </x14:dataValidation>
        <x14:dataValidation type="list" allowBlank="1" showInputMessage="1" showErrorMessage="1" xr:uid="{00000000-0002-0000-0900-000001000000}">
          <x14:formula1>
            <xm:f>Parámetros!$D$1:$D$15</xm:f>
          </x14:formula1>
          <xm:sqref>E10</xm:sqref>
        </x14:dataValidation>
        <x14:dataValidation type="list" allowBlank="1" showInputMessage="1" showErrorMessage="1" xr:uid="{00000000-0002-0000-0900-000002000000}">
          <x14:formula1>
            <xm:f>Parámetros!$E$1:$E$15</xm:f>
          </x14:formula1>
          <xm:sqref>G10</xm:sqref>
        </x14:dataValidation>
        <x14:dataValidation type="list" allowBlank="1" showInputMessage="1" showErrorMessage="1" xr:uid="{00000000-0002-0000-0900-000003000000}">
          <x14:formula1>
            <xm:f>Parámetros!$G$1:$G$10</xm:f>
          </x14:formula1>
          <xm:sqref>I34</xm:sqref>
        </x14:dataValidation>
        <x14:dataValidation type="list" allowBlank="1" showInputMessage="1" showErrorMessage="1" xr:uid="{00000000-0002-0000-0900-000004000000}">
          <x14:formula1>
            <xm:f>Parámetros!$F$1:$F$5</xm:f>
          </x14:formula1>
          <xm:sqref>F34:G34</xm:sqref>
        </x14:dataValidation>
        <x14:dataValidation type="list" allowBlank="1" showInputMessage="1" showErrorMessage="1" xr:uid="{00000000-0002-0000-0900-000005000000}">
          <x14:formula1>
            <xm:f>Parámetros!$H$1:$H$2</xm:f>
          </x14:formula1>
          <xm:sqref>C9</xm:sqref>
        </x14:dataValidation>
        <x14:dataValidation type="list" allowBlank="1" showInputMessage="1" showErrorMessage="1" xr:uid="{00000000-0002-0000-0900-000006000000}">
          <x14:formula1>
            <xm:f>Parámetros!$A$1:$A$5</xm:f>
          </x14:formula1>
          <xm:sqref>I7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B8D68-31E5-4329-9323-5DFA6EBF71DD}">
  <sheetPr codeName="Hoja12"/>
  <dimension ref="B1:I50"/>
  <sheetViews>
    <sheetView workbookViewId="0">
      <selection activeCell="M56" sqref="M56"/>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211</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7</v>
      </c>
      <c r="I9" s="98"/>
    </row>
    <row r="10" spans="2:9" ht="29.45" thickBot="1">
      <c r="B10" s="26" t="s">
        <v>32</v>
      </c>
      <c r="C10" s="28">
        <v>4</v>
      </c>
      <c r="D10" s="27" t="s">
        <v>33</v>
      </c>
      <c r="E10" s="28">
        <v>72</v>
      </c>
      <c r="F10" s="27" t="s">
        <v>34</v>
      </c>
      <c r="G10" s="28">
        <v>120</v>
      </c>
      <c r="H10" s="27" t="s">
        <v>35</v>
      </c>
      <c r="I10" s="29">
        <v>192</v>
      </c>
    </row>
    <row r="11" spans="2:9">
      <c r="B11" s="68" t="s">
        <v>133</v>
      </c>
      <c r="C11" s="69"/>
      <c r="D11" s="69"/>
      <c r="E11" s="69"/>
      <c r="F11" s="69"/>
      <c r="G11" s="69"/>
      <c r="H11" s="69"/>
      <c r="I11" s="70"/>
    </row>
    <row r="12" spans="2:9" ht="31.5" customHeight="1">
      <c r="B12" s="99" t="s">
        <v>134</v>
      </c>
      <c r="C12" s="100"/>
      <c r="D12" s="161" t="s">
        <v>212</v>
      </c>
      <c r="E12" s="102"/>
      <c r="F12" s="102"/>
      <c r="G12" s="102"/>
      <c r="H12" s="102"/>
      <c r="I12" s="103"/>
    </row>
    <row r="13" spans="2:9" ht="15" thickBot="1">
      <c r="B13" s="104" t="s">
        <v>136</v>
      </c>
      <c r="C13" s="105"/>
      <c r="D13" s="106" t="s">
        <v>213</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c r="E20" s="89"/>
      <c r="F20" s="90"/>
      <c r="G20" s="88" t="s">
        <v>214</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215</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216</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217</v>
      </c>
      <c r="C36" s="72"/>
      <c r="D36" s="72"/>
      <c r="E36" s="73"/>
      <c r="F36" s="71" t="s">
        <v>218</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202</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A00-000000000000}">
          <x14:formula1>
            <xm:f>Parámetros!$C$1:$C$6</xm:f>
          </x14:formula1>
          <xm:sqref>C10</xm:sqref>
        </x14:dataValidation>
        <x14:dataValidation type="list" allowBlank="1" showInputMessage="1" showErrorMessage="1" xr:uid="{00000000-0002-0000-0A00-000001000000}">
          <x14:formula1>
            <xm:f>Parámetros!$D$1:$D$15</xm:f>
          </x14:formula1>
          <xm:sqref>E10</xm:sqref>
        </x14:dataValidation>
        <x14:dataValidation type="list" allowBlank="1" showInputMessage="1" showErrorMessage="1" xr:uid="{00000000-0002-0000-0A00-000002000000}">
          <x14:formula1>
            <xm:f>Parámetros!$E$1:$E$15</xm:f>
          </x14:formula1>
          <xm:sqref>G10</xm:sqref>
        </x14:dataValidation>
        <x14:dataValidation type="list" allowBlank="1" showInputMessage="1" showErrorMessage="1" xr:uid="{00000000-0002-0000-0A00-000003000000}">
          <x14:formula1>
            <xm:f>Parámetros!$G$1:$G$10</xm:f>
          </x14:formula1>
          <xm:sqref>I34</xm:sqref>
        </x14:dataValidation>
        <x14:dataValidation type="list" allowBlank="1" showInputMessage="1" showErrorMessage="1" xr:uid="{00000000-0002-0000-0A00-000004000000}">
          <x14:formula1>
            <xm:f>Parámetros!$F$1:$F$5</xm:f>
          </x14:formula1>
          <xm:sqref>F34:G34</xm:sqref>
        </x14:dataValidation>
        <x14:dataValidation type="list" allowBlank="1" showInputMessage="1" showErrorMessage="1" xr:uid="{00000000-0002-0000-0A00-000005000000}">
          <x14:formula1>
            <xm:f>Parámetros!$H$1:$H$2</xm:f>
          </x14:formula1>
          <xm:sqref>C9</xm:sqref>
        </x14:dataValidation>
        <x14:dataValidation type="list" allowBlank="1" showInputMessage="1" showErrorMessage="1" xr:uid="{00000000-0002-0000-0A00-000006000000}">
          <x14:formula1>
            <xm:f>Parámetros!$A$1:$A$5</xm:f>
          </x14:formula1>
          <xm:sqref>I7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8294F-BECC-451D-9254-3FAF6B22D927}">
  <sheetPr codeName="Hoja13"/>
  <dimension ref="B1:I50"/>
  <sheetViews>
    <sheetView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219</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8</v>
      </c>
      <c r="I9" s="98"/>
    </row>
    <row r="10" spans="2:9" ht="29.45" thickBot="1">
      <c r="B10" s="26" t="s">
        <v>32</v>
      </c>
      <c r="C10" s="28">
        <v>3</v>
      </c>
      <c r="D10" s="27" t="s">
        <v>33</v>
      </c>
      <c r="E10" s="28">
        <v>54</v>
      </c>
      <c r="F10" s="27" t="s">
        <v>34</v>
      </c>
      <c r="G10" s="28">
        <v>90</v>
      </c>
      <c r="H10" s="27" t="s">
        <v>35</v>
      </c>
      <c r="I10" s="29">
        <v>144</v>
      </c>
    </row>
    <row r="11" spans="2:9">
      <c r="B11" s="68" t="s">
        <v>133</v>
      </c>
      <c r="C11" s="69"/>
      <c r="D11" s="69"/>
      <c r="E11" s="69"/>
      <c r="F11" s="69"/>
      <c r="G11" s="69"/>
      <c r="H11" s="69"/>
      <c r="I11" s="70"/>
    </row>
    <row r="12" spans="2:9" ht="31.5" customHeight="1">
      <c r="B12" s="99" t="s">
        <v>134</v>
      </c>
      <c r="C12" s="100"/>
      <c r="D12" s="101" t="s">
        <v>220</v>
      </c>
      <c r="E12" s="102"/>
      <c r="F12" s="102"/>
      <c r="G12" s="102"/>
      <c r="H12" s="102"/>
      <c r="I12" s="103"/>
    </row>
    <row r="13" spans="2:9" ht="15" thickBot="1">
      <c r="B13" s="104" t="s">
        <v>136</v>
      </c>
      <c r="C13" s="105"/>
      <c r="D13" s="106" t="s">
        <v>221</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c r="E20" s="89"/>
      <c r="F20" s="90"/>
      <c r="G20" s="88" t="s">
        <v>197</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222</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223</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224</v>
      </c>
      <c r="C36" s="72"/>
      <c r="D36" s="72"/>
      <c r="E36" s="73"/>
      <c r="F36" s="71" t="s">
        <v>225</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202</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B00-000000000000}">
          <x14:formula1>
            <xm:f>Parámetros!$C$1:$C$6</xm:f>
          </x14:formula1>
          <xm:sqref>C10</xm:sqref>
        </x14:dataValidation>
        <x14:dataValidation type="list" allowBlank="1" showInputMessage="1" showErrorMessage="1" xr:uid="{00000000-0002-0000-0B00-000001000000}">
          <x14:formula1>
            <xm:f>Parámetros!$D$1:$D$15</xm:f>
          </x14:formula1>
          <xm:sqref>E10</xm:sqref>
        </x14:dataValidation>
        <x14:dataValidation type="list" allowBlank="1" showInputMessage="1" showErrorMessage="1" xr:uid="{00000000-0002-0000-0B00-000002000000}">
          <x14:formula1>
            <xm:f>Parámetros!$E$1:$E$15</xm:f>
          </x14:formula1>
          <xm:sqref>G10</xm:sqref>
        </x14:dataValidation>
        <x14:dataValidation type="list" allowBlank="1" showInputMessage="1" showErrorMessage="1" xr:uid="{00000000-0002-0000-0B00-000003000000}">
          <x14:formula1>
            <xm:f>Parámetros!$G$1:$G$10</xm:f>
          </x14:formula1>
          <xm:sqref>I34</xm:sqref>
        </x14:dataValidation>
        <x14:dataValidation type="list" allowBlank="1" showInputMessage="1" showErrorMessage="1" xr:uid="{00000000-0002-0000-0B00-000004000000}">
          <x14:formula1>
            <xm:f>Parámetros!$F$1:$F$5</xm:f>
          </x14:formula1>
          <xm:sqref>F34:G34</xm:sqref>
        </x14:dataValidation>
        <x14:dataValidation type="list" allowBlank="1" showInputMessage="1" showErrorMessage="1" xr:uid="{00000000-0002-0000-0B00-000005000000}">
          <x14:formula1>
            <xm:f>Parámetros!$H$1:$H$2</xm:f>
          </x14:formula1>
          <xm:sqref>C9</xm:sqref>
        </x14:dataValidation>
        <x14:dataValidation type="list" allowBlank="1" showInputMessage="1" showErrorMessage="1" xr:uid="{00000000-0002-0000-0B00-000006000000}">
          <x14:formula1>
            <xm:f>Parámetros!$A$1:$A$5</xm:f>
          </x14:formula1>
          <xm:sqref>I7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B5512-23C8-43AF-AE7B-6D9BD2ADF51E}">
  <sheetPr codeName="Hoja14"/>
  <dimension ref="B1:I50"/>
  <sheetViews>
    <sheetView tabSelected="1" topLeftCell="A9" workbookViewId="0">
      <selection activeCell="D12" sqref="D12:I12"/>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226</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9</v>
      </c>
      <c r="I9" s="98"/>
    </row>
    <row r="10" spans="2:9" ht="29.45" thickBot="1">
      <c r="B10" s="26" t="s">
        <v>32</v>
      </c>
      <c r="C10" s="28">
        <v>3</v>
      </c>
      <c r="D10" s="27" t="s">
        <v>33</v>
      </c>
      <c r="E10" s="28">
        <v>54</v>
      </c>
      <c r="F10" s="27" t="s">
        <v>34</v>
      </c>
      <c r="G10" s="28">
        <v>90</v>
      </c>
      <c r="H10" s="27" t="s">
        <v>35</v>
      </c>
      <c r="I10" s="29">
        <v>144</v>
      </c>
    </row>
    <row r="11" spans="2:9">
      <c r="B11" s="68" t="s">
        <v>133</v>
      </c>
      <c r="C11" s="69"/>
      <c r="D11" s="69"/>
      <c r="E11" s="69"/>
      <c r="F11" s="69"/>
      <c r="G11" s="69"/>
      <c r="H11" s="69"/>
      <c r="I11" s="70"/>
    </row>
    <row r="12" spans="2:9" ht="37.5" customHeight="1">
      <c r="B12" s="99" t="s">
        <v>134</v>
      </c>
      <c r="C12" s="100"/>
      <c r="D12" s="101" t="s">
        <v>227</v>
      </c>
      <c r="E12" s="102"/>
      <c r="F12" s="102"/>
      <c r="G12" s="102"/>
      <c r="H12" s="102"/>
      <c r="I12" s="103"/>
    </row>
    <row r="13" spans="2:9" ht="15" thickBot="1">
      <c r="B13" s="104" t="s">
        <v>136</v>
      </c>
      <c r="C13" s="105"/>
      <c r="D13" s="106" t="s">
        <v>228</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c r="E20" s="89"/>
      <c r="F20" s="90"/>
      <c r="G20" s="88" t="s">
        <v>229</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230</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223</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231</v>
      </c>
      <c r="C36" s="72"/>
      <c r="D36" s="72"/>
      <c r="E36" s="73"/>
      <c r="F36" s="71" t="s">
        <v>232</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409.5" customHeight="1"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210</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C00-000000000000}">
          <x14:formula1>
            <xm:f>Parámetros!$C$1:$C$6</xm:f>
          </x14:formula1>
          <xm:sqref>C10</xm:sqref>
        </x14:dataValidation>
        <x14:dataValidation type="list" allowBlank="1" showInputMessage="1" showErrorMessage="1" xr:uid="{00000000-0002-0000-0C00-000001000000}">
          <x14:formula1>
            <xm:f>Parámetros!$D$1:$D$15</xm:f>
          </x14:formula1>
          <xm:sqref>E10</xm:sqref>
        </x14:dataValidation>
        <x14:dataValidation type="list" allowBlank="1" showInputMessage="1" showErrorMessage="1" xr:uid="{00000000-0002-0000-0C00-000002000000}">
          <x14:formula1>
            <xm:f>Parámetros!$E$1:$E$15</xm:f>
          </x14:formula1>
          <xm:sqref>G10</xm:sqref>
        </x14:dataValidation>
        <x14:dataValidation type="list" allowBlank="1" showInputMessage="1" showErrorMessage="1" xr:uid="{00000000-0002-0000-0C00-000003000000}">
          <x14:formula1>
            <xm:f>Parámetros!$G$1:$G$10</xm:f>
          </x14:formula1>
          <xm:sqref>I34</xm:sqref>
        </x14:dataValidation>
        <x14:dataValidation type="list" allowBlank="1" showInputMessage="1" showErrorMessage="1" xr:uid="{00000000-0002-0000-0C00-000004000000}">
          <x14:formula1>
            <xm:f>Parámetros!$F$1:$F$5</xm:f>
          </x14:formula1>
          <xm:sqref>F34:G34</xm:sqref>
        </x14:dataValidation>
        <x14:dataValidation type="list" allowBlank="1" showInputMessage="1" showErrorMessage="1" xr:uid="{00000000-0002-0000-0C00-000005000000}">
          <x14:formula1>
            <xm:f>Parámetros!$H$1:$H$2</xm:f>
          </x14:formula1>
          <xm:sqref>C9</xm:sqref>
        </x14:dataValidation>
        <x14:dataValidation type="list" allowBlank="1" showInputMessage="1" showErrorMessage="1" xr:uid="{00000000-0002-0000-0C00-000006000000}">
          <x14:formula1>
            <xm:f>Parámetros!$A$1:$A$5</xm:f>
          </x14:formula1>
          <xm:sqref>I7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1754C-C4DA-4C95-94E7-56827237A57D}">
  <sheetPr codeName="Hoja15"/>
  <dimension ref="B1:I50"/>
  <sheetViews>
    <sheetView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233</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234</v>
      </c>
      <c r="I9" s="98"/>
    </row>
    <row r="10" spans="2:9" ht="29.45" thickBot="1">
      <c r="B10" s="26" t="s">
        <v>32</v>
      </c>
      <c r="C10" s="28">
        <v>4</v>
      </c>
      <c r="D10" s="27" t="s">
        <v>33</v>
      </c>
      <c r="E10" s="28">
        <v>72</v>
      </c>
      <c r="F10" s="27" t="s">
        <v>34</v>
      </c>
      <c r="G10" s="28">
        <v>120</v>
      </c>
      <c r="H10" s="27" t="s">
        <v>35</v>
      </c>
      <c r="I10" s="29">
        <v>192</v>
      </c>
    </row>
    <row r="11" spans="2:9">
      <c r="B11" s="68" t="s">
        <v>133</v>
      </c>
      <c r="C11" s="69"/>
      <c r="D11" s="69"/>
      <c r="E11" s="69"/>
      <c r="F11" s="69"/>
      <c r="G11" s="69"/>
      <c r="H11" s="69"/>
      <c r="I11" s="70"/>
    </row>
    <row r="12" spans="2:9" ht="31.5" customHeight="1">
      <c r="B12" s="99" t="s">
        <v>134</v>
      </c>
      <c r="C12" s="100"/>
      <c r="D12" s="161" t="s">
        <v>235</v>
      </c>
      <c r="E12" s="102"/>
      <c r="F12" s="102"/>
      <c r="G12" s="102"/>
      <c r="H12" s="102"/>
      <c r="I12" s="103"/>
    </row>
    <row r="13" spans="2:9" ht="15" thickBot="1">
      <c r="B13" s="104" t="s">
        <v>136</v>
      </c>
      <c r="C13" s="105"/>
      <c r="D13" s="106" t="s">
        <v>236</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t="s">
        <v>237</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184</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238</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239</v>
      </c>
      <c r="C36" s="72"/>
      <c r="D36" s="72"/>
      <c r="E36" s="73"/>
      <c r="F36" s="71" t="s">
        <v>240</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241</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D00-000000000000}">
          <x14:formula1>
            <xm:f>Parámetros!$C$1:$C$6</xm:f>
          </x14:formula1>
          <xm:sqref>C10</xm:sqref>
        </x14:dataValidation>
        <x14:dataValidation type="list" allowBlank="1" showInputMessage="1" showErrorMessage="1" xr:uid="{00000000-0002-0000-0D00-000001000000}">
          <x14:formula1>
            <xm:f>Parámetros!$D$1:$D$15</xm:f>
          </x14:formula1>
          <xm:sqref>E10</xm:sqref>
        </x14:dataValidation>
        <x14:dataValidation type="list" allowBlank="1" showInputMessage="1" showErrorMessage="1" xr:uid="{00000000-0002-0000-0D00-000002000000}">
          <x14:formula1>
            <xm:f>Parámetros!$E$1:$E$15</xm:f>
          </x14:formula1>
          <xm:sqref>G10</xm:sqref>
        </x14:dataValidation>
        <x14:dataValidation type="list" allowBlank="1" showInputMessage="1" showErrorMessage="1" xr:uid="{00000000-0002-0000-0D00-000003000000}">
          <x14:formula1>
            <xm:f>Parámetros!$G$1:$G$10</xm:f>
          </x14:formula1>
          <xm:sqref>I34</xm:sqref>
        </x14:dataValidation>
        <x14:dataValidation type="list" allowBlank="1" showInputMessage="1" showErrorMessage="1" xr:uid="{00000000-0002-0000-0D00-000004000000}">
          <x14:formula1>
            <xm:f>Parámetros!$F$1:$F$5</xm:f>
          </x14:formula1>
          <xm:sqref>F34:G34</xm:sqref>
        </x14:dataValidation>
        <x14:dataValidation type="list" allowBlank="1" showInputMessage="1" showErrorMessage="1" xr:uid="{00000000-0002-0000-0D00-000005000000}">
          <x14:formula1>
            <xm:f>Parámetros!$H$1:$H$2</xm:f>
          </x14:formula1>
          <xm:sqref>C9</xm:sqref>
        </x14:dataValidation>
        <x14:dataValidation type="list" allowBlank="1" showInputMessage="1" showErrorMessage="1" xr:uid="{00000000-0002-0000-0D00-000006000000}">
          <x14:formula1>
            <xm:f>Parámetros!$A$1:$A$5</xm:f>
          </x14:formula1>
          <xm:sqref>I7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491A2-662D-491C-87A9-1D58A5E940B8}">
  <sheetPr codeName="Hoja16"/>
  <dimension ref="B1:I50"/>
  <sheetViews>
    <sheetView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242</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243</v>
      </c>
      <c r="I9" s="98"/>
    </row>
    <row r="10" spans="2:9" ht="29.45" thickBot="1">
      <c r="B10" s="26" t="s">
        <v>32</v>
      </c>
      <c r="C10" s="28">
        <v>4</v>
      </c>
      <c r="D10" s="27" t="s">
        <v>33</v>
      </c>
      <c r="E10" s="28">
        <v>72</v>
      </c>
      <c r="F10" s="27" t="s">
        <v>34</v>
      </c>
      <c r="G10" s="28">
        <v>120</v>
      </c>
      <c r="H10" s="27" t="s">
        <v>35</v>
      </c>
      <c r="I10" s="29">
        <v>192</v>
      </c>
    </row>
    <row r="11" spans="2:9">
      <c r="B11" s="68" t="s">
        <v>133</v>
      </c>
      <c r="C11" s="69"/>
      <c r="D11" s="69"/>
      <c r="E11" s="69"/>
      <c r="F11" s="69"/>
      <c r="G11" s="69"/>
      <c r="H11" s="69"/>
      <c r="I11" s="70"/>
    </row>
    <row r="12" spans="2:9" ht="31.5" customHeight="1">
      <c r="B12" s="99" t="s">
        <v>134</v>
      </c>
      <c r="C12" s="100"/>
      <c r="D12" s="101" t="s">
        <v>244</v>
      </c>
      <c r="E12" s="102"/>
      <c r="F12" s="102"/>
      <c r="G12" s="102"/>
      <c r="H12" s="102"/>
      <c r="I12" s="103"/>
    </row>
    <row r="13" spans="2:9" ht="15" thickBot="1">
      <c r="B13" s="104" t="s">
        <v>136</v>
      </c>
      <c r="C13" s="105"/>
      <c r="D13" s="106" t="s">
        <v>245</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t="s">
        <v>246</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184</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247</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248</v>
      </c>
      <c r="C36" s="72"/>
      <c r="D36" s="72"/>
      <c r="E36" s="73"/>
      <c r="F36" s="71" t="s">
        <v>249</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241</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E00-000000000000}">
          <x14:formula1>
            <xm:f>Parámetros!$C$1:$C$6</xm:f>
          </x14:formula1>
          <xm:sqref>C10</xm:sqref>
        </x14:dataValidation>
        <x14:dataValidation type="list" allowBlank="1" showInputMessage="1" showErrorMessage="1" xr:uid="{00000000-0002-0000-0E00-000001000000}">
          <x14:formula1>
            <xm:f>Parámetros!$D$1:$D$15</xm:f>
          </x14:formula1>
          <xm:sqref>E10</xm:sqref>
        </x14:dataValidation>
        <x14:dataValidation type="list" allowBlank="1" showInputMessage="1" showErrorMessage="1" xr:uid="{00000000-0002-0000-0E00-000002000000}">
          <x14:formula1>
            <xm:f>Parámetros!$E$1:$E$15</xm:f>
          </x14:formula1>
          <xm:sqref>G10</xm:sqref>
        </x14:dataValidation>
        <x14:dataValidation type="list" allowBlank="1" showInputMessage="1" showErrorMessage="1" xr:uid="{00000000-0002-0000-0E00-000003000000}">
          <x14:formula1>
            <xm:f>Parámetros!$G$1:$G$10</xm:f>
          </x14:formula1>
          <xm:sqref>I34</xm:sqref>
        </x14:dataValidation>
        <x14:dataValidation type="list" allowBlank="1" showInputMessage="1" showErrorMessage="1" xr:uid="{00000000-0002-0000-0E00-000004000000}">
          <x14:formula1>
            <xm:f>Parámetros!$F$1:$F$5</xm:f>
          </x14:formula1>
          <xm:sqref>F34:G34</xm:sqref>
        </x14:dataValidation>
        <x14:dataValidation type="list" allowBlank="1" showInputMessage="1" showErrorMessage="1" xr:uid="{00000000-0002-0000-0E00-000005000000}">
          <x14:formula1>
            <xm:f>Parámetros!$H$1:$H$2</xm:f>
          </x14:formula1>
          <xm:sqref>C9</xm:sqref>
        </x14:dataValidation>
        <x14:dataValidation type="list" allowBlank="1" showInputMessage="1" showErrorMessage="1" xr:uid="{00000000-0002-0000-0E00-000006000000}">
          <x14:formula1>
            <xm:f>Parámetros!$A$1:$A$5</xm:f>
          </x14:formula1>
          <xm:sqref>I7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ABD4D-AB07-4931-8B7F-22FFCE201F14}">
  <sheetPr codeName="Hoja17"/>
  <dimension ref="B1:I50"/>
  <sheetViews>
    <sheetView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250</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251</v>
      </c>
      <c r="I9" s="98"/>
    </row>
    <row r="10" spans="2:9" ht="29.45" thickBot="1">
      <c r="B10" s="26" t="s">
        <v>32</v>
      </c>
      <c r="C10" s="28">
        <v>4</v>
      </c>
      <c r="D10" s="27" t="s">
        <v>33</v>
      </c>
      <c r="E10" s="28">
        <v>72</v>
      </c>
      <c r="F10" s="27" t="s">
        <v>34</v>
      </c>
      <c r="G10" s="28">
        <v>120</v>
      </c>
      <c r="H10" s="27" t="s">
        <v>35</v>
      </c>
      <c r="I10" s="29">
        <v>192</v>
      </c>
    </row>
    <row r="11" spans="2:9">
      <c r="B11" s="68" t="s">
        <v>133</v>
      </c>
      <c r="C11" s="69"/>
      <c r="D11" s="69"/>
      <c r="E11" s="69"/>
      <c r="F11" s="69"/>
      <c r="G11" s="69"/>
      <c r="H11" s="69"/>
      <c r="I11" s="70"/>
    </row>
    <row r="12" spans="2:9" ht="31.5" customHeight="1">
      <c r="B12" s="99" t="s">
        <v>134</v>
      </c>
      <c r="C12" s="100"/>
      <c r="D12" s="161" t="s">
        <v>252</v>
      </c>
      <c r="E12" s="102"/>
      <c r="F12" s="102"/>
      <c r="G12" s="102"/>
      <c r="H12" s="102"/>
      <c r="I12" s="103"/>
    </row>
    <row r="13" spans="2:9" ht="15" thickBot="1">
      <c r="B13" s="104" t="s">
        <v>136</v>
      </c>
      <c r="C13" s="105"/>
      <c r="D13" s="106" t="s">
        <v>253</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t="s">
        <v>254</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255</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256</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257</v>
      </c>
      <c r="C36" s="72"/>
      <c r="D36" s="72"/>
      <c r="E36" s="73"/>
      <c r="F36" s="71" t="s">
        <v>258</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187</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F00-000000000000}">
          <x14:formula1>
            <xm:f>Parámetros!$C$1:$C$6</xm:f>
          </x14:formula1>
          <xm:sqref>C10</xm:sqref>
        </x14:dataValidation>
        <x14:dataValidation type="list" allowBlank="1" showInputMessage="1" showErrorMessage="1" xr:uid="{00000000-0002-0000-0F00-000001000000}">
          <x14:formula1>
            <xm:f>Parámetros!$D$1:$D$15</xm:f>
          </x14:formula1>
          <xm:sqref>E10</xm:sqref>
        </x14:dataValidation>
        <x14:dataValidation type="list" allowBlank="1" showInputMessage="1" showErrorMessage="1" xr:uid="{00000000-0002-0000-0F00-000002000000}">
          <x14:formula1>
            <xm:f>Parámetros!$E$1:$E$15</xm:f>
          </x14:formula1>
          <xm:sqref>G10</xm:sqref>
        </x14:dataValidation>
        <x14:dataValidation type="list" allowBlank="1" showInputMessage="1" showErrorMessage="1" xr:uid="{00000000-0002-0000-0F00-000003000000}">
          <x14:formula1>
            <xm:f>Parámetros!$G$1:$G$10</xm:f>
          </x14:formula1>
          <xm:sqref>I34</xm:sqref>
        </x14:dataValidation>
        <x14:dataValidation type="list" allowBlank="1" showInputMessage="1" showErrorMessage="1" xr:uid="{00000000-0002-0000-0F00-000004000000}">
          <x14:formula1>
            <xm:f>Parámetros!$F$1:$F$5</xm:f>
          </x14:formula1>
          <xm:sqref>F34:G34</xm:sqref>
        </x14:dataValidation>
        <x14:dataValidation type="list" allowBlank="1" showInputMessage="1" showErrorMessage="1" xr:uid="{00000000-0002-0000-0F00-000005000000}">
          <x14:formula1>
            <xm:f>Parámetros!$H$1:$H$2</xm:f>
          </x14:formula1>
          <xm:sqref>C9</xm:sqref>
        </x14:dataValidation>
        <x14:dataValidation type="list" allowBlank="1" showInputMessage="1" showErrorMessage="1" xr:uid="{00000000-0002-0000-0F00-000006000000}">
          <x14:formula1>
            <xm:f>Parámetros!$A$1:$A$5</xm:f>
          </x14:formula1>
          <xm:sqref>I7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D2646-3A17-4542-B854-7DBBD11AEA96}">
  <sheetPr codeName="Hoja18"/>
  <dimension ref="B1:I50"/>
  <sheetViews>
    <sheetView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259</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260</v>
      </c>
      <c r="I9" s="98"/>
    </row>
    <row r="10" spans="2:9" ht="29.45" thickBot="1">
      <c r="B10" s="26" t="s">
        <v>32</v>
      </c>
      <c r="C10" s="28">
        <v>4</v>
      </c>
      <c r="D10" s="27" t="s">
        <v>33</v>
      </c>
      <c r="E10" s="28">
        <v>72</v>
      </c>
      <c r="F10" s="27" t="s">
        <v>34</v>
      </c>
      <c r="G10" s="28">
        <v>120</v>
      </c>
      <c r="H10" s="27" t="s">
        <v>35</v>
      </c>
      <c r="I10" s="29">
        <v>192</v>
      </c>
    </row>
    <row r="11" spans="2:9">
      <c r="B11" s="68" t="s">
        <v>133</v>
      </c>
      <c r="C11" s="69"/>
      <c r="D11" s="69"/>
      <c r="E11" s="69"/>
      <c r="F11" s="69"/>
      <c r="G11" s="69"/>
      <c r="H11" s="69"/>
      <c r="I11" s="70"/>
    </row>
    <row r="12" spans="2:9" ht="31.5" customHeight="1">
      <c r="B12" s="99" t="s">
        <v>134</v>
      </c>
      <c r="C12" s="100"/>
      <c r="D12" s="101" t="s">
        <v>261</v>
      </c>
      <c r="E12" s="102"/>
      <c r="F12" s="102"/>
      <c r="G12" s="102"/>
      <c r="H12" s="102"/>
      <c r="I12" s="103"/>
    </row>
    <row r="13" spans="2:9" ht="15" thickBot="1">
      <c r="B13" s="104" t="s">
        <v>136</v>
      </c>
      <c r="C13" s="105"/>
      <c r="D13" s="106" t="s">
        <v>262</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t="s">
        <v>263</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255</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264</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265</v>
      </c>
      <c r="C36" s="72"/>
      <c r="D36" s="72"/>
      <c r="E36" s="73"/>
      <c r="F36" s="71" t="s">
        <v>266</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187</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000-000000000000}">
          <x14:formula1>
            <xm:f>Parámetros!$C$1:$C$6</xm:f>
          </x14:formula1>
          <xm:sqref>C10</xm:sqref>
        </x14:dataValidation>
        <x14:dataValidation type="list" allowBlank="1" showInputMessage="1" showErrorMessage="1" xr:uid="{00000000-0002-0000-1000-000001000000}">
          <x14:formula1>
            <xm:f>Parámetros!$D$1:$D$15</xm:f>
          </x14:formula1>
          <xm:sqref>E10</xm:sqref>
        </x14:dataValidation>
        <x14:dataValidation type="list" allowBlank="1" showInputMessage="1" showErrorMessage="1" xr:uid="{00000000-0002-0000-1000-000002000000}">
          <x14:formula1>
            <xm:f>Parámetros!$E$1:$E$15</xm:f>
          </x14:formula1>
          <xm:sqref>G10</xm:sqref>
        </x14:dataValidation>
        <x14:dataValidation type="list" allowBlank="1" showInputMessage="1" showErrorMessage="1" xr:uid="{00000000-0002-0000-1000-000003000000}">
          <x14:formula1>
            <xm:f>Parámetros!$G$1:$G$10</xm:f>
          </x14:formula1>
          <xm:sqref>I34</xm:sqref>
        </x14:dataValidation>
        <x14:dataValidation type="list" allowBlank="1" showInputMessage="1" showErrorMessage="1" xr:uid="{00000000-0002-0000-1000-000004000000}">
          <x14:formula1>
            <xm:f>Parámetros!$F$1:$F$5</xm:f>
          </x14:formula1>
          <xm:sqref>F34:G34</xm:sqref>
        </x14:dataValidation>
        <x14:dataValidation type="list" allowBlank="1" showInputMessage="1" showErrorMessage="1" xr:uid="{00000000-0002-0000-1000-000005000000}">
          <x14:formula1>
            <xm:f>Parámetros!$H$1:$H$2</xm:f>
          </x14:formula1>
          <xm:sqref>C9</xm:sqref>
        </x14:dataValidation>
        <x14:dataValidation type="list" allowBlank="1" showInputMessage="1" showErrorMessage="1" xr:uid="{00000000-0002-0000-1000-000006000000}">
          <x14:formula1>
            <xm:f>Parámetros!$A$1:$A$5</xm:f>
          </x14:formula1>
          <xm:sqref>I7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3DBE-E601-4759-AB5B-6F39530EB14E}">
  <sheetPr codeName="Hoja19"/>
  <dimension ref="B1:I50"/>
  <sheetViews>
    <sheetView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267</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14</v>
      </c>
      <c r="I9" s="98"/>
    </row>
    <row r="10" spans="2:9" ht="29.45" thickBot="1">
      <c r="B10" s="26" t="s">
        <v>32</v>
      </c>
      <c r="C10" s="28">
        <v>4</v>
      </c>
      <c r="D10" s="27" t="s">
        <v>33</v>
      </c>
      <c r="E10" s="28">
        <v>72</v>
      </c>
      <c r="F10" s="27" t="s">
        <v>34</v>
      </c>
      <c r="G10" s="28">
        <v>120</v>
      </c>
      <c r="H10" s="27" t="s">
        <v>35</v>
      </c>
      <c r="I10" s="29">
        <v>192</v>
      </c>
    </row>
    <row r="11" spans="2:9">
      <c r="B11" s="68" t="s">
        <v>133</v>
      </c>
      <c r="C11" s="69"/>
      <c r="D11" s="69"/>
      <c r="E11" s="69"/>
      <c r="F11" s="69"/>
      <c r="G11" s="69"/>
      <c r="H11" s="69"/>
      <c r="I11" s="70"/>
    </row>
    <row r="12" spans="2:9" ht="31.5" customHeight="1">
      <c r="B12" s="99" t="s">
        <v>134</v>
      </c>
      <c r="C12" s="100"/>
      <c r="D12" s="101" t="s">
        <v>268</v>
      </c>
      <c r="E12" s="102"/>
      <c r="F12" s="102"/>
      <c r="G12" s="102"/>
      <c r="H12" s="102"/>
      <c r="I12" s="103"/>
    </row>
    <row r="13" spans="2:9" ht="15" thickBot="1">
      <c r="B13" s="104" t="s">
        <v>136</v>
      </c>
      <c r="C13" s="105"/>
      <c r="D13" s="106" t="s">
        <v>269</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t="s">
        <v>270</v>
      </c>
      <c r="E20" s="89"/>
      <c r="F20" s="90"/>
      <c r="G20" s="88" t="s">
        <v>270</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271</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272</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273</v>
      </c>
      <c r="C36" s="72"/>
      <c r="D36" s="72"/>
      <c r="E36" s="73"/>
      <c r="F36" s="71" t="s">
        <v>274</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275</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100-000000000000}">
          <x14:formula1>
            <xm:f>Parámetros!$C$1:$C$6</xm:f>
          </x14:formula1>
          <xm:sqref>C10</xm:sqref>
        </x14:dataValidation>
        <x14:dataValidation type="list" allowBlank="1" showInputMessage="1" showErrorMessage="1" xr:uid="{00000000-0002-0000-1100-000001000000}">
          <x14:formula1>
            <xm:f>Parámetros!$D$1:$D$15</xm:f>
          </x14:formula1>
          <xm:sqref>E10</xm:sqref>
        </x14:dataValidation>
        <x14:dataValidation type="list" allowBlank="1" showInputMessage="1" showErrorMessage="1" xr:uid="{00000000-0002-0000-1100-000002000000}">
          <x14:formula1>
            <xm:f>Parámetros!$E$1:$E$15</xm:f>
          </x14:formula1>
          <xm:sqref>G10</xm:sqref>
        </x14:dataValidation>
        <x14:dataValidation type="list" allowBlank="1" showInputMessage="1" showErrorMessage="1" xr:uid="{00000000-0002-0000-1100-000003000000}">
          <x14:formula1>
            <xm:f>Parámetros!$G$1:$G$10</xm:f>
          </x14:formula1>
          <xm:sqref>I34</xm:sqref>
        </x14:dataValidation>
        <x14:dataValidation type="list" allowBlank="1" showInputMessage="1" showErrorMessage="1" xr:uid="{00000000-0002-0000-1100-000004000000}">
          <x14:formula1>
            <xm:f>Parámetros!$F$1:$F$5</xm:f>
          </x14:formula1>
          <xm:sqref>F34:G34</xm:sqref>
        </x14:dataValidation>
        <x14:dataValidation type="list" allowBlank="1" showInputMessage="1" showErrorMessage="1" xr:uid="{00000000-0002-0000-1100-000005000000}">
          <x14:formula1>
            <xm:f>Parámetros!$H$1:$H$2</xm:f>
          </x14:formula1>
          <xm:sqref>C9</xm:sqref>
        </x14:dataValidation>
        <x14:dataValidation type="list" allowBlank="1" showInputMessage="1" showErrorMessage="1" xr:uid="{00000000-0002-0000-1100-000006000000}">
          <x14:formula1>
            <xm:f>Parámetros!$A$1:$A$5</xm:f>
          </x14:formula1>
          <xm:sqref>I7</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2CBA1-7950-495E-9776-661BB4FAB3AD}">
  <sheetPr codeName="Hoja20"/>
  <dimension ref="B1:I50"/>
  <sheetViews>
    <sheetView workbookViewId="0"/>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276</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15</v>
      </c>
      <c r="I9" s="98"/>
    </row>
    <row r="10" spans="2:9" ht="29.45" thickBot="1">
      <c r="B10" s="26" t="s">
        <v>32</v>
      </c>
      <c r="C10" s="28">
        <v>4</v>
      </c>
      <c r="D10" s="27" t="s">
        <v>33</v>
      </c>
      <c r="E10" s="28">
        <v>72</v>
      </c>
      <c r="F10" s="27" t="s">
        <v>34</v>
      </c>
      <c r="G10" s="28">
        <v>120</v>
      </c>
      <c r="H10" s="27" t="s">
        <v>35</v>
      </c>
      <c r="I10" s="29">
        <v>192</v>
      </c>
    </row>
    <row r="11" spans="2:9">
      <c r="B11" s="68" t="s">
        <v>133</v>
      </c>
      <c r="C11" s="69"/>
      <c r="D11" s="69"/>
      <c r="E11" s="69"/>
      <c r="F11" s="69"/>
      <c r="G11" s="69"/>
      <c r="H11" s="69"/>
      <c r="I11" s="70"/>
    </row>
    <row r="12" spans="2:9" ht="31.5" customHeight="1">
      <c r="B12" s="99" t="s">
        <v>134</v>
      </c>
      <c r="C12" s="100"/>
      <c r="D12" s="101" t="s">
        <v>277</v>
      </c>
      <c r="E12" s="102"/>
      <c r="F12" s="102"/>
      <c r="G12" s="102"/>
      <c r="H12" s="102"/>
      <c r="I12" s="103"/>
    </row>
    <row r="13" spans="2:9" ht="15" thickBot="1">
      <c r="B13" s="104" t="s">
        <v>136</v>
      </c>
      <c r="C13" s="105"/>
      <c r="D13" s="106" t="s">
        <v>278</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t="s">
        <v>279</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271</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280</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281</v>
      </c>
      <c r="C36" s="72"/>
      <c r="D36" s="72"/>
      <c r="E36" s="73"/>
      <c r="F36" s="71" t="s">
        <v>282</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283</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200-000000000000}">
          <x14:formula1>
            <xm:f>Parámetros!$C$1:$C$6</xm:f>
          </x14:formula1>
          <xm:sqref>C10</xm:sqref>
        </x14:dataValidation>
        <x14:dataValidation type="list" allowBlank="1" showInputMessage="1" showErrorMessage="1" xr:uid="{00000000-0002-0000-1200-000001000000}">
          <x14:formula1>
            <xm:f>Parámetros!$D$1:$D$15</xm:f>
          </x14:formula1>
          <xm:sqref>E10</xm:sqref>
        </x14:dataValidation>
        <x14:dataValidation type="list" allowBlank="1" showInputMessage="1" showErrorMessage="1" xr:uid="{00000000-0002-0000-1200-000002000000}">
          <x14:formula1>
            <xm:f>Parámetros!$E$1:$E$15</xm:f>
          </x14:formula1>
          <xm:sqref>G10</xm:sqref>
        </x14:dataValidation>
        <x14:dataValidation type="list" allowBlank="1" showInputMessage="1" showErrorMessage="1" xr:uid="{00000000-0002-0000-1200-000003000000}">
          <x14:formula1>
            <xm:f>Parámetros!$G$1:$G$10</xm:f>
          </x14:formula1>
          <xm:sqref>I34</xm:sqref>
        </x14:dataValidation>
        <x14:dataValidation type="list" allowBlank="1" showInputMessage="1" showErrorMessage="1" xr:uid="{00000000-0002-0000-1200-000004000000}">
          <x14:formula1>
            <xm:f>Parámetros!$F$1:$F$5</xm:f>
          </x14:formula1>
          <xm:sqref>F34:G34</xm:sqref>
        </x14:dataValidation>
        <x14:dataValidation type="list" allowBlank="1" showInputMessage="1" showErrorMessage="1" xr:uid="{00000000-0002-0000-1200-000005000000}">
          <x14:formula1>
            <xm:f>Parámetros!$H$1:$H$2</xm:f>
          </x14:formula1>
          <xm:sqref>C9</xm:sqref>
        </x14:dataValidation>
        <x14:dataValidation type="list" allowBlank="1" showInputMessage="1" showErrorMessage="1" xr:uid="{00000000-0002-0000-1200-000006000000}">
          <x14:formula1>
            <xm:f>Parámetros!$A$1:$A$5</xm:f>
          </x14:formula1>
          <xm:sqref>I7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F2F46-E064-4BE1-9EDA-509243CFCF69}">
  <sheetPr codeName="Hoja21"/>
  <dimension ref="B1:I50"/>
  <sheetViews>
    <sheetView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284</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16</v>
      </c>
      <c r="I9" s="98"/>
    </row>
    <row r="10" spans="2:9" ht="29.45" thickBot="1">
      <c r="B10" s="26" t="s">
        <v>32</v>
      </c>
      <c r="C10" s="28">
        <v>4</v>
      </c>
      <c r="D10" s="27" t="s">
        <v>33</v>
      </c>
      <c r="E10" s="28">
        <v>72</v>
      </c>
      <c r="F10" s="27" t="s">
        <v>34</v>
      </c>
      <c r="G10" s="28">
        <v>120</v>
      </c>
      <c r="H10" s="27" t="s">
        <v>35</v>
      </c>
      <c r="I10" s="29">
        <v>192</v>
      </c>
    </row>
    <row r="11" spans="2:9">
      <c r="B11" s="68" t="s">
        <v>133</v>
      </c>
      <c r="C11" s="69"/>
      <c r="D11" s="69"/>
      <c r="E11" s="69"/>
      <c r="F11" s="69"/>
      <c r="G11" s="69"/>
      <c r="H11" s="69"/>
      <c r="I11" s="70"/>
    </row>
    <row r="12" spans="2:9" ht="31.5" customHeight="1">
      <c r="B12" s="99" t="s">
        <v>134</v>
      </c>
      <c r="C12" s="100"/>
      <c r="D12" s="101" t="s">
        <v>285</v>
      </c>
      <c r="E12" s="102"/>
      <c r="F12" s="102"/>
      <c r="G12" s="102"/>
      <c r="H12" s="102"/>
      <c r="I12" s="103"/>
    </row>
    <row r="13" spans="2:9" ht="15" thickBot="1">
      <c r="B13" s="104" t="s">
        <v>136</v>
      </c>
      <c r="C13" s="105"/>
      <c r="D13" s="106" t="s">
        <v>286</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c r="E20" s="89"/>
      <c r="F20" s="90"/>
      <c r="G20" s="88" t="s">
        <v>287</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288</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289</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290</v>
      </c>
      <c r="C36" s="72"/>
      <c r="D36" s="72"/>
      <c r="E36" s="73"/>
      <c r="F36" s="71" t="s">
        <v>291</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187</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300-000000000000}">
          <x14:formula1>
            <xm:f>Parámetros!$C$1:$C$6</xm:f>
          </x14:formula1>
          <xm:sqref>C10</xm:sqref>
        </x14:dataValidation>
        <x14:dataValidation type="list" allowBlank="1" showInputMessage="1" showErrorMessage="1" xr:uid="{00000000-0002-0000-1300-000001000000}">
          <x14:formula1>
            <xm:f>Parámetros!$D$1:$D$15</xm:f>
          </x14:formula1>
          <xm:sqref>E10</xm:sqref>
        </x14:dataValidation>
        <x14:dataValidation type="list" allowBlank="1" showInputMessage="1" showErrorMessage="1" xr:uid="{00000000-0002-0000-1300-000002000000}">
          <x14:formula1>
            <xm:f>Parámetros!$E$1:$E$15</xm:f>
          </x14:formula1>
          <xm:sqref>G10</xm:sqref>
        </x14:dataValidation>
        <x14:dataValidation type="list" allowBlank="1" showInputMessage="1" showErrorMessage="1" xr:uid="{00000000-0002-0000-1300-000003000000}">
          <x14:formula1>
            <xm:f>Parámetros!$G$1:$G$10</xm:f>
          </x14:formula1>
          <xm:sqref>I34</xm:sqref>
        </x14:dataValidation>
        <x14:dataValidation type="list" allowBlank="1" showInputMessage="1" showErrorMessage="1" xr:uid="{00000000-0002-0000-1300-000004000000}">
          <x14:formula1>
            <xm:f>Parámetros!$F$1:$F$5</xm:f>
          </x14:formula1>
          <xm:sqref>F34:G34</xm:sqref>
        </x14:dataValidation>
        <x14:dataValidation type="list" allowBlank="1" showInputMessage="1" showErrorMessage="1" xr:uid="{00000000-0002-0000-1300-000005000000}">
          <x14:formula1>
            <xm:f>Parámetros!$H$1:$H$2</xm:f>
          </x14:formula1>
          <xm:sqref>C9</xm:sqref>
        </x14:dataValidation>
        <x14:dataValidation type="list" allowBlank="1" showInputMessage="1" showErrorMessage="1" xr:uid="{00000000-0002-0000-1300-000006000000}">
          <x14:formula1>
            <xm:f>Parámetros!$A$1:$A$5</xm:f>
          </x14:formula1>
          <xm:sqref>I7</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B9A28-ABCD-4D14-8DC2-E55E52D380A3}">
  <sheetPr codeName="Hoja22"/>
  <dimension ref="B1:I50"/>
  <sheetViews>
    <sheetView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292</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17</v>
      </c>
      <c r="I9" s="98"/>
    </row>
    <row r="10" spans="2:9" ht="29.45" thickBot="1">
      <c r="B10" s="26" t="s">
        <v>32</v>
      </c>
      <c r="C10" s="28">
        <v>3</v>
      </c>
      <c r="D10" s="27" t="s">
        <v>33</v>
      </c>
      <c r="E10" s="28">
        <v>54</v>
      </c>
      <c r="F10" s="27" t="s">
        <v>34</v>
      </c>
      <c r="G10" s="28">
        <v>90</v>
      </c>
      <c r="H10" s="27" t="s">
        <v>35</v>
      </c>
      <c r="I10" s="29">
        <v>144</v>
      </c>
    </row>
    <row r="11" spans="2:9">
      <c r="B11" s="68" t="s">
        <v>133</v>
      </c>
      <c r="C11" s="69"/>
      <c r="D11" s="69"/>
      <c r="E11" s="69"/>
      <c r="F11" s="69"/>
      <c r="G11" s="69"/>
      <c r="H11" s="69"/>
      <c r="I11" s="70"/>
    </row>
    <row r="12" spans="2:9" ht="31.5" customHeight="1">
      <c r="B12" s="99" t="s">
        <v>134</v>
      </c>
      <c r="C12" s="100"/>
      <c r="D12" s="101" t="s">
        <v>293</v>
      </c>
      <c r="E12" s="102"/>
      <c r="F12" s="102"/>
      <c r="G12" s="102"/>
      <c r="H12" s="102"/>
      <c r="I12" s="103"/>
    </row>
    <row r="13" spans="2:9" ht="15" thickBot="1">
      <c r="B13" s="104" t="s">
        <v>136</v>
      </c>
      <c r="C13" s="105"/>
      <c r="D13" s="106" t="s">
        <v>294</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c r="E20" s="89"/>
      <c r="F20" s="90"/>
      <c r="G20" s="88" t="s">
        <v>295</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296</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297</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298</v>
      </c>
      <c r="C36" s="72"/>
      <c r="D36" s="72"/>
      <c r="E36" s="73"/>
      <c r="F36" s="71" t="s">
        <v>299</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275</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400-000000000000}">
          <x14:formula1>
            <xm:f>Parámetros!$C$1:$C$6</xm:f>
          </x14:formula1>
          <xm:sqref>C10</xm:sqref>
        </x14:dataValidation>
        <x14:dataValidation type="list" allowBlank="1" showInputMessage="1" showErrorMessage="1" xr:uid="{00000000-0002-0000-1400-000001000000}">
          <x14:formula1>
            <xm:f>Parámetros!$D$1:$D$15</xm:f>
          </x14:formula1>
          <xm:sqref>E10</xm:sqref>
        </x14:dataValidation>
        <x14:dataValidation type="list" allowBlank="1" showInputMessage="1" showErrorMessage="1" xr:uid="{00000000-0002-0000-1400-000002000000}">
          <x14:formula1>
            <xm:f>Parámetros!$E$1:$E$15</xm:f>
          </x14:formula1>
          <xm:sqref>G10</xm:sqref>
        </x14:dataValidation>
        <x14:dataValidation type="list" allowBlank="1" showInputMessage="1" showErrorMessage="1" xr:uid="{00000000-0002-0000-1400-000003000000}">
          <x14:formula1>
            <xm:f>Parámetros!$G$1:$G$10</xm:f>
          </x14:formula1>
          <xm:sqref>I34</xm:sqref>
        </x14:dataValidation>
        <x14:dataValidation type="list" allowBlank="1" showInputMessage="1" showErrorMessage="1" xr:uid="{00000000-0002-0000-1400-000004000000}">
          <x14:formula1>
            <xm:f>Parámetros!$F$1:$F$5</xm:f>
          </x14:formula1>
          <xm:sqref>F34:G34</xm:sqref>
        </x14:dataValidation>
        <x14:dataValidation type="list" allowBlank="1" showInputMessage="1" showErrorMessage="1" xr:uid="{00000000-0002-0000-1400-000005000000}">
          <x14:formula1>
            <xm:f>Parámetros!$H$1:$H$2</xm:f>
          </x14:formula1>
          <xm:sqref>C9</xm:sqref>
        </x14:dataValidation>
        <x14:dataValidation type="list" allowBlank="1" showInputMessage="1" showErrorMessage="1" xr:uid="{00000000-0002-0000-1400-000006000000}">
          <x14:formula1>
            <xm:f>Parámetros!$A$1:$A$5</xm:f>
          </x14:formula1>
          <xm:sqref>I7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A405E-F101-4683-A2CF-727834557691}">
  <sheetPr codeName="Hoja23"/>
  <dimension ref="B1:I50"/>
  <sheetViews>
    <sheetView topLeftCell="A12"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22"/>
      <c r="C2" s="124" t="s">
        <v>19</v>
      </c>
      <c r="D2" s="124"/>
      <c r="E2" s="124"/>
      <c r="F2" s="124"/>
      <c r="G2" s="124"/>
      <c r="H2" s="124"/>
      <c r="I2" s="7" t="s">
        <v>124</v>
      </c>
    </row>
    <row r="3" spans="2:9" ht="20.25" customHeight="1">
      <c r="B3" s="123"/>
      <c r="C3" s="125"/>
      <c r="D3" s="125"/>
      <c r="E3" s="125"/>
      <c r="F3" s="125"/>
      <c r="G3" s="125"/>
      <c r="H3" s="125"/>
      <c r="I3" s="8" t="s">
        <v>21</v>
      </c>
    </row>
    <row r="4" spans="2:9" ht="21" customHeight="1" thickBot="1">
      <c r="B4" s="126" t="s">
        <v>22</v>
      </c>
      <c r="C4" s="127"/>
      <c r="D4" s="127"/>
      <c r="E4" s="127"/>
      <c r="F4" s="127"/>
      <c r="G4" s="127"/>
      <c r="H4" s="127"/>
      <c r="I4" s="9" t="s">
        <v>125</v>
      </c>
    </row>
    <row r="5" spans="2:9" ht="15.6" thickTop="1" thickBot="1">
      <c r="B5" s="128"/>
      <c r="C5" s="128"/>
      <c r="D5" s="128"/>
      <c r="E5" s="128"/>
      <c r="F5" s="128"/>
      <c r="G5" s="128"/>
      <c r="H5" s="128"/>
      <c r="I5" s="128"/>
    </row>
    <row r="6" spans="2:9">
      <c r="B6" s="129" t="s">
        <v>24</v>
      </c>
      <c r="C6" s="130"/>
      <c r="D6" s="130"/>
      <c r="E6" s="130"/>
      <c r="F6" s="130"/>
      <c r="G6" s="130"/>
      <c r="H6" s="130"/>
      <c r="I6" s="131"/>
    </row>
    <row r="7" spans="2:9" ht="43.5">
      <c r="B7" s="24" t="s">
        <v>25</v>
      </c>
      <c r="C7" s="3">
        <v>2026</v>
      </c>
      <c r="D7" s="1" t="s">
        <v>26</v>
      </c>
      <c r="E7" s="30" t="s">
        <v>126</v>
      </c>
      <c r="F7" s="1" t="s">
        <v>27</v>
      </c>
      <c r="G7" s="30" t="s">
        <v>300</v>
      </c>
      <c r="H7" s="1" t="s">
        <v>28</v>
      </c>
      <c r="I7" s="31" t="s">
        <v>104</v>
      </c>
    </row>
    <row r="8" spans="2:9" ht="29.1">
      <c r="B8" s="24" t="s">
        <v>128</v>
      </c>
      <c r="C8" s="4" t="s">
        <v>38</v>
      </c>
      <c r="D8" s="1" t="s">
        <v>129</v>
      </c>
      <c r="E8" s="4" t="s">
        <v>39</v>
      </c>
      <c r="F8" s="1"/>
      <c r="G8" s="1" t="s">
        <v>130</v>
      </c>
      <c r="H8" s="120"/>
      <c r="I8" s="121"/>
    </row>
    <row r="9" spans="2:9" ht="43.5">
      <c r="B9" s="25" t="s">
        <v>131</v>
      </c>
      <c r="C9" s="23" t="s">
        <v>110</v>
      </c>
      <c r="D9" s="4" t="s">
        <v>84</v>
      </c>
      <c r="E9" s="97" t="s">
        <v>132</v>
      </c>
      <c r="F9" s="97"/>
      <c r="G9" s="1" t="s">
        <v>31</v>
      </c>
      <c r="H9" s="97" t="s">
        <v>18</v>
      </c>
      <c r="I9" s="98"/>
    </row>
    <row r="10" spans="2:9" ht="29.45" thickBot="1">
      <c r="B10" s="26" t="s">
        <v>32</v>
      </c>
      <c r="C10" s="28">
        <v>3</v>
      </c>
      <c r="D10" s="27" t="s">
        <v>33</v>
      </c>
      <c r="E10" s="28">
        <v>54</v>
      </c>
      <c r="F10" s="27" t="s">
        <v>34</v>
      </c>
      <c r="G10" s="28">
        <v>90</v>
      </c>
      <c r="H10" s="27" t="s">
        <v>35</v>
      </c>
      <c r="I10" s="29">
        <v>144</v>
      </c>
    </row>
    <row r="11" spans="2:9">
      <c r="B11" s="68" t="s">
        <v>133</v>
      </c>
      <c r="C11" s="69"/>
      <c r="D11" s="69"/>
      <c r="E11" s="69"/>
      <c r="F11" s="69"/>
      <c r="G11" s="69"/>
      <c r="H11" s="69"/>
      <c r="I11" s="70"/>
    </row>
    <row r="12" spans="2:9" ht="31.5" customHeight="1">
      <c r="B12" s="99" t="s">
        <v>134</v>
      </c>
      <c r="C12" s="100"/>
      <c r="D12" s="161" t="s">
        <v>301</v>
      </c>
      <c r="E12" s="102"/>
      <c r="F12" s="102"/>
      <c r="G12" s="102"/>
      <c r="H12" s="102"/>
      <c r="I12" s="103"/>
    </row>
    <row r="13" spans="2:9" ht="15" thickBot="1">
      <c r="B13" s="104" t="s">
        <v>136</v>
      </c>
      <c r="C13" s="105"/>
      <c r="D13" s="106" t="s">
        <v>302</v>
      </c>
      <c r="E13" s="107"/>
      <c r="F13" s="107"/>
      <c r="G13" s="107"/>
      <c r="H13" s="107"/>
      <c r="I13" s="108"/>
    </row>
    <row r="14" spans="2:9">
      <c r="B14" s="68" t="s">
        <v>138</v>
      </c>
      <c r="C14" s="69"/>
      <c r="D14" s="69"/>
      <c r="E14" s="69"/>
      <c r="F14" s="69"/>
      <c r="G14" s="69"/>
      <c r="H14" s="69"/>
      <c r="I14" s="70"/>
    </row>
    <row r="15" spans="2:9">
      <c r="B15" s="109" t="s">
        <v>139</v>
      </c>
      <c r="C15" s="42"/>
      <c r="D15" s="42"/>
      <c r="E15" s="42"/>
      <c r="F15" s="42"/>
      <c r="G15" s="42"/>
      <c r="H15" s="42"/>
      <c r="I15" s="43"/>
    </row>
    <row r="16" spans="2:9">
      <c r="B16" s="109"/>
      <c r="C16" s="42"/>
      <c r="D16" s="42"/>
      <c r="E16" s="42"/>
      <c r="F16" s="42"/>
      <c r="G16" s="42"/>
      <c r="H16" s="42"/>
      <c r="I16" s="43"/>
    </row>
    <row r="17" spans="2:9" ht="15" thickBot="1">
      <c r="B17" s="110"/>
      <c r="C17" s="111"/>
      <c r="D17" s="111"/>
      <c r="E17" s="111"/>
      <c r="F17" s="111"/>
      <c r="G17" s="111"/>
      <c r="H17" s="111"/>
      <c r="I17" s="112"/>
    </row>
    <row r="18" spans="2:9" ht="15" thickBot="1">
      <c r="B18" s="113" t="s">
        <v>140</v>
      </c>
      <c r="C18" s="114"/>
      <c r="D18" s="114"/>
      <c r="E18" s="114"/>
      <c r="F18" s="114"/>
      <c r="G18" s="114"/>
      <c r="H18" s="114"/>
      <c r="I18" s="115"/>
    </row>
    <row r="19" spans="2:9">
      <c r="B19" s="32" t="s">
        <v>141</v>
      </c>
      <c r="C19" s="33" t="s">
        <v>142</v>
      </c>
      <c r="D19" s="32" t="s">
        <v>143</v>
      </c>
      <c r="E19" s="116" t="s">
        <v>144</v>
      </c>
      <c r="F19" s="117"/>
      <c r="G19" s="17" t="s">
        <v>145</v>
      </c>
      <c r="H19" s="118" t="s">
        <v>146</v>
      </c>
      <c r="I19" s="119"/>
    </row>
    <row r="20" spans="2:9" ht="14.45" customHeight="1">
      <c r="B20" s="82"/>
      <c r="C20" s="83"/>
      <c r="D20" s="88" t="s">
        <v>303</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48" t="s">
        <v>148</v>
      </c>
      <c r="C27" s="49"/>
      <c r="D27" s="49"/>
      <c r="E27" s="49"/>
      <c r="F27" s="49"/>
      <c r="G27" s="49"/>
      <c r="H27" s="49"/>
      <c r="I27" s="50"/>
    </row>
    <row r="28" spans="2:9" ht="14.45" customHeight="1">
      <c r="B28" s="51" t="s">
        <v>198</v>
      </c>
      <c r="C28" s="52"/>
      <c r="D28" s="52"/>
      <c r="E28" s="52"/>
      <c r="F28" s="52"/>
      <c r="G28" s="52"/>
      <c r="H28" s="52"/>
      <c r="I28" s="53"/>
    </row>
    <row r="29" spans="2:9">
      <c r="B29" s="54"/>
      <c r="C29" s="55"/>
      <c r="D29" s="55"/>
      <c r="E29" s="55"/>
      <c r="F29" s="55"/>
      <c r="G29" s="55"/>
      <c r="H29" s="55"/>
      <c r="I29" s="56"/>
    </row>
    <row r="30" spans="2:9">
      <c r="B30" s="54"/>
      <c r="C30" s="55"/>
      <c r="D30" s="55"/>
      <c r="E30" s="55"/>
      <c r="F30" s="55"/>
      <c r="G30" s="55"/>
      <c r="H30" s="55"/>
      <c r="I30" s="56"/>
    </row>
    <row r="31" spans="2:9">
      <c r="B31" s="54"/>
      <c r="C31" s="55"/>
      <c r="D31" s="55"/>
      <c r="E31" s="55"/>
      <c r="F31" s="55"/>
      <c r="G31" s="55"/>
      <c r="H31" s="55"/>
      <c r="I31" s="56"/>
    </row>
    <row r="32" spans="2:9" ht="15" thickBot="1">
      <c r="B32" s="57"/>
      <c r="C32" s="58"/>
      <c r="D32" s="58"/>
      <c r="E32" s="58"/>
      <c r="F32" s="58"/>
      <c r="G32" s="58"/>
      <c r="H32" s="58"/>
      <c r="I32" s="59"/>
    </row>
    <row r="33" spans="2:9" ht="34.5" customHeight="1" thickBot="1">
      <c r="B33" s="60" t="s">
        <v>150</v>
      </c>
      <c r="C33" s="61"/>
      <c r="D33" s="61"/>
      <c r="E33" s="62"/>
      <c r="F33" s="63" t="s">
        <v>304</v>
      </c>
      <c r="G33" s="61"/>
      <c r="H33" s="61"/>
      <c r="I33" s="64"/>
    </row>
    <row r="34" spans="2:9" ht="15" thickBot="1">
      <c r="B34" s="65" t="s">
        <v>152</v>
      </c>
      <c r="C34" s="66"/>
      <c r="D34" s="66"/>
      <c r="E34" s="66"/>
      <c r="F34" s="67"/>
      <c r="G34" s="67"/>
      <c r="H34" s="34" t="s">
        <v>73</v>
      </c>
      <c r="I34" s="18"/>
    </row>
    <row r="35" spans="2:9">
      <c r="B35" s="68" t="s">
        <v>176</v>
      </c>
      <c r="C35" s="69"/>
      <c r="D35" s="69"/>
      <c r="E35" s="69"/>
      <c r="F35" s="69"/>
      <c r="G35" s="69"/>
      <c r="H35" s="69"/>
      <c r="I35" s="70"/>
    </row>
    <row r="36" spans="2:9">
      <c r="B36" s="71" t="s">
        <v>305</v>
      </c>
      <c r="C36" s="72"/>
      <c r="D36" s="72"/>
      <c r="E36" s="73"/>
      <c r="F36" s="71" t="s">
        <v>306</v>
      </c>
      <c r="G36" s="72"/>
      <c r="H36" s="72"/>
      <c r="I36" s="73"/>
    </row>
    <row r="37" spans="2:9">
      <c r="B37" s="74"/>
      <c r="C37" s="75"/>
      <c r="D37" s="75"/>
      <c r="E37" s="76"/>
      <c r="F37" s="74"/>
      <c r="G37" s="75"/>
      <c r="H37" s="75"/>
      <c r="I37" s="76"/>
    </row>
    <row r="38" spans="2:9">
      <c r="B38" s="74"/>
      <c r="C38" s="75"/>
      <c r="D38" s="75"/>
      <c r="E38" s="76"/>
      <c r="F38" s="74"/>
      <c r="G38" s="75"/>
      <c r="H38" s="75"/>
      <c r="I38" s="76"/>
    </row>
    <row r="39" spans="2:9">
      <c r="B39" s="74"/>
      <c r="C39" s="75"/>
      <c r="D39" s="75"/>
      <c r="E39" s="76"/>
      <c r="F39" s="74"/>
      <c r="G39" s="75"/>
      <c r="H39" s="75"/>
      <c r="I39" s="76"/>
    </row>
    <row r="40" spans="2:9">
      <c r="B40" s="74"/>
      <c r="C40" s="75"/>
      <c r="D40" s="75"/>
      <c r="E40" s="76"/>
      <c r="F40" s="74"/>
      <c r="G40" s="75"/>
      <c r="H40" s="75"/>
      <c r="I40" s="76"/>
    </row>
    <row r="41" spans="2:9">
      <c r="B41" s="74"/>
      <c r="C41" s="75"/>
      <c r="D41" s="75"/>
      <c r="E41" s="76"/>
      <c r="F41" s="74"/>
      <c r="G41" s="75"/>
      <c r="H41" s="75"/>
      <c r="I41" s="76"/>
    </row>
    <row r="42" spans="2:9" ht="15" thickBot="1">
      <c r="B42" s="77"/>
      <c r="C42" s="78"/>
      <c r="D42" s="78"/>
      <c r="E42" s="79"/>
      <c r="F42" s="77"/>
      <c r="G42" s="78"/>
      <c r="H42" s="78"/>
      <c r="I42" s="79"/>
    </row>
    <row r="43" spans="2:9">
      <c r="B43" s="68" t="s">
        <v>156</v>
      </c>
      <c r="C43" s="69"/>
      <c r="D43" s="69"/>
      <c r="E43" s="69"/>
      <c r="F43" s="69"/>
      <c r="G43" s="69"/>
      <c r="H43" s="69"/>
      <c r="I43" s="70"/>
    </row>
    <row r="44" spans="2:9">
      <c r="B44" s="19" t="s">
        <v>78</v>
      </c>
      <c r="C44" s="2" t="s">
        <v>79</v>
      </c>
      <c r="D44" s="2" t="s">
        <v>157</v>
      </c>
      <c r="E44" s="2" t="s">
        <v>81</v>
      </c>
      <c r="F44" s="2" t="s">
        <v>82</v>
      </c>
      <c r="G44" s="80" t="s">
        <v>83</v>
      </c>
      <c r="H44" s="80"/>
      <c r="I44" s="81"/>
    </row>
    <row r="45" spans="2:9" ht="29.1">
      <c r="B45" s="35">
        <v>0</v>
      </c>
      <c r="C45" s="36">
        <v>46083</v>
      </c>
      <c r="D45" s="37" t="s">
        <v>158</v>
      </c>
      <c r="E45" s="37" t="s">
        <v>283</v>
      </c>
      <c r="F45" s="37" t="s">
        <v>160</v>
      </c>
      <c r="G45" s="46" t="s">
        <v>161</v>
      </c>
      <c r="H45" s="46"/>
      <c r="I45" s="47"/>
    </row>
    <row r="46" spans="2:9">
      <c r="B46" s="20"/>
      <c r="C46" s="10"/>
      <c r="D46" s="10"/>
      <c r="E46" s="10"/>
      <c r="F46" s="10"/>
      <c r="G46" s="42"/>
      <c r="H46" s="42"/>
      <c r="I46" s="43"/>
    </row>
    <row r="47" spans="2:9">
      <c r="B47" s="20"/>
      <c r="C47" s="10"/>
      <c r="D47" s="10"/>
      <c r="E47" s="10"/>
      <c r="F47" s="10"/>
      <c r="G47" s="42"/>
      <c r="H47" s="42"/>
      <c r="I47" s="43"/>
    </row>
    <row r="48" spans="2:9">
      <c r="B48" s="20"/>
      <c r="C48" s="10"/>
      <c r="D48" s="10"/>
      <c r="E48" s="10"/>
      <c r="F48" s="10"/>
      <c r="G48" s="42"/>
      <c r="H48" s="42"/>
      <c r="I48" s="43"/>
    </row>
    <row r="49" spans="2:9">
      <c r="B49" s="20"/>
      <c r="C49" s="10"/>
      <c r="D49" s="10"/>
      <c r="E49" s="10"/>
      <c r="F49" s="10"/>
      <c r="G49" s="42"/>
      <c r="H49" s="42"/>
      <c r="I49" s="43"/>
    </row>
    <row r="50" spans="2:9" ht="15" thickBot="1">
      <c r="B50" s="21"/>
      <c r="C50" s="22"/>
      <c r="D50" s="22"/>
      <c r="E50" s="22"/>
      <c r="F50" s="22"/>
      <c r="G50" s="44"/>
      <c r="H50" s="44"/>
      <c r="I50" s="45"/>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500-000000000000}">
          <x14:formula1>
            <xm:f>Parámetros!$C$1:$C$6</xm:f>
          </x14:formula1>
          <xm:sqref>C10</xm:sqref>
        </x14:dataValidation>
        <x14:dataValidation type="list" allowBlank="1" showInputMessage="1" showErrorMessage="1" xr:uid="{00000000-0002-0000-1500-000001000000}">
          <x14:formula1>
            <xm:f>Parámetros!$D$1:$D$15</xm:f>
          </x14:formula1>
          <xm:sqref>E10</xm:sqref>
        </x14:dataValidation>
        <x14:dataValidation type="list" allowBlank="1" showInputMessage="1" showErrorMessage="1" xr:uid="{00000000-0002-0000-1500-000002000000}">
          <x14:formula1>
            <xm:f>Parámetros!$E$1:$E$15</xm:f>
          </x14:formula1>
          <xm:sqref>G10</xm:sqref>
        </x14:dataValidation>
        <x14:dataValidation type="list" allowBlank="1" showInputMessage="1" showErrorMessage="1" xr:uid="{00000000-0002-0000-1500-000003000000}">
          <x14:formula1>
            <xm:f>Parámetros!$G$1:$G$10</xm:f>
          </x14:formula1>
          <xm:sqref>I34</xm:sqref>
        </x14:dataValidation>
        <x14:dataValidation type="list" allowBlank="1" showInputMessage="1" showErrorMessage="1" xr:uid="{00000000-0002-0000-1500-000004000000}">
          <x14:formula1>
            <xm:f>Parámetros!$F$1:$F$5</xm:f>
          </x14:formula1>
          <xm:sqref>F34:G34</xm:sqref>
        </x14:dataValidation>
        <x14:dataValidation type="list" allowBlank="1" showInputMessage="1" showErrorMessage="1" xr:uid="{00000000-0002-0000-1500-000005000000}">
          <x14:formula1>
            <xm:f>Parámetros!$H$1:$H$2</xm:f>
          </x14:formula1>
          <xm:sqref>C9</xm:sqref>
        </x14:dataValidation>
        <x14:dataValidation type="list" allowBlank="1" showInputMessage="1" showErrorMessage="1" xr:uid="{00000000-0002-0000-1500-000006000000}">
          <x14:formula1>
            <xm:f>Parámetros!$A$1:$A$5</xm:f>
          </x14:formula1>
          <xm:sqref>I7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ARLEY XIOMARA ULLOA GUAVITA</cp:lastModifiedBy>
  <cp:revision/>
  <dcterms:created xsi:type="dcterms:W3CDTF">2025-08-27T15:39:23Z</dcterms:created>
  <dcterms:modified xsi:type="dcterms:W3CDTF">2026-08-19T00:45:15Z</dcterms:modified>
  <cp:category/>
  <cp:contentStatus/>
</cp:coreProperties>
</file>