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Doctorado En Administración Para La Sostenibilidad/"/>
    </mc:Choice>
  </mc:AlternateContent>
  <xr:revisionPtr revIDLastSave="19" documentId="11_EBDF4C4F20F278AB0751A89799B9E20BF0597C6F" xr6:coauthVersionLast="47" xr6:coauthVersionMax="47" xr10:uidLastSave="{638422DC-4478-4327-8D37-DB288DC56F35}"/>
  <bookViews>
    <workbookView xWindow="-110" yWindow="-110" windowWidth="19420" windowHeight="10300" firstSheet="8" activeTab="8" xr2:uid="{00000000-000D-0000-FFFF-FFFF00000000}"/>
  </bookViews>
  <sheets>
    <sheet name="Menú Principal" sheetId="24" r:id="rId1"/>
    <sheet name="Tabla" sheetId="1" r:id="rId2"/>
    <sheet name="Anteproyecto de Tesis Doctoral" sheetId="3" r:id="rId3"/>
    <sheet name="OPES" sheetId="4" r:id="rId4"/>
    <sheet name="Gestión para la Sostenibilidad" sheetId="5" r:id="rId5"/>
    <sheet name="Gestión del Talento Humano" sheetId="6" r:id="rId6"/>
    <sheet name="Gestión Financiera" sheetId="7" r:id="rId7"/>
    <sheet name="Innovación Tecnológica y Social" sheetId="8" r:id="rId8"/>
    <sheet name="Teorías y Modelos Gestión Org" sheetId="9" r:id="rId9"/>
    <sheet name="Mercadeo Estratégico" sheetId="10" r:id="rId10"/>
    <sheet name="Economía para la Sostenibilidad" sheetId="11" r:id="rId11"/>
    <sheet name="Economía Circular" sheetId="12" r:id="rId12"/>
    <sheet name="Gobernanza Territorial" sheetId="13" r:id="rId13"/>
    <sheet name="Pensamiento Holístico" sheetId="14" r:id="rId14"/>
    <sheet name="Territorios Inteligentes y Sost" sheetId="15" r:id="rId15"/>
    <sheet name="Seminario de Investigación I" sheetId="16" r:id="rId16"/>
    <sheet name="Seminario de Investigación II" sheetId="17" r:id="rId17"/>
    <sheet name="Metodología de la Investigación" sheetId="18" r:id="rId18"/>
    <sheet name="Tesis Doctoral" sheetId="19" r:id="rId19"/>
    <sheet name="Aplic. Modelos Estadísticos" sheetId="20" r:id="rId20"/>
    <sheet name="Coloquio Doctoral" sheetId="21" r:id="rId21"/>
    <sheet name="Estrategia y Prospectiva Organi" sheetId="22" r:id="rId22"/>
    <sheet name="Metodología Avanzada de Investi" sheetId="23" r:id="rId23"/>
  </sheets>
  <definedNames>
    <definedName name="_xlnm._FilterDatabase" localSheetId="1" hidden="1">Tabla!$A$1:$V$22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4" l="1"/>
  <c r="G60" i="23" a="1"/>
  <c r="G60" i="23"/>
  <c r="F60" i="23" a="1"/>
  <c r="F60" i="23"/>
  <c r="E60" i="23" a="1"/>
  <c r="E60" i="23"/>
  <c r="D60" i="23" a="1"/>
  <c r="D60" i="23"/>
  <c r="C60" i="23" a="1"/>
  <c r="C60" i="23"/>
  <c r="B60" i="23" a="1"/>
  <c r="B60" i="23"/>
  <c r="F44" i="23" a="1"/>
  <c r="F44" i="23"/>
  <c r="B44" i="23" a="1"/>
  <c r="B44" i="23"/>
  <c r="I41" i="23" a="1"/>
  <c r="I41" i="23"/>
  <c r="F41" i="23" a="1"/>
  <c r="F41" i="23"/>
  <c r="F40" i="23" a="1"/>
  <c r="F40" i="23"/>
  <c r="B37" i="23" a="1"/>
  <c r="B37" i="23"/>
  <c r="B20" i="23" a="1"/>
  <c r="B20" i="23"/>
  <c r="C19" i="23" a="1"/>
  <c r="C19" i="23"/>
  <c r="D13" i="23" a="1"/>
  <c r="D13" i="23"/>
  <c r="D12" i="23" a="1"/>
  <c r="D12" i="23"/>
  <c r="I10" i="23"/>
  <c r="G10" i="23" a="1"/>
  <c r="G10" i="23"/>
  <c r="E10" i="23" a="1"/>
  <c r="E10" i="23"/>
  <c r="C10" i="23" a="1"/>
  <c r="C10" i="23"/>
  <c r="E9" i="23" a="1"/>
  <c r="E9" i="23"/>
  <c r="C9" i="23" a="1"/>
  <c r="C9" i="23"/>
  <c r="I7" i="23" a="1"/>
  <c r="I7" i="23"/>
  <c r="G7" i="23" a="1"/>
  <c r="G7" i="23"/>
  <c r="E7" i="23" a="1"/>
  <c r="E7" i="23"/>
  <c r="C7" i="23" a="1"/>
  <c r="C7" i="23"/>
  <c r="G60" i="22" a="1"/>
  <c r="G60" i="22"/>
  <c r="F60" i="22" a="1"/>
  <c r="F60" i="22"/>
  <c r="E60" i="22" a="1"/>
  <c r="E60" i="22"/>
  <c r="D60" i="22" a="1"/>
  <c r="D60" i="22"/>
  <c r="C60" i="22" a="1"/>
  <c r="C60" i="22"/>
  <c r="B60" i="22" a="1"/>
  <c r="B60" i="22"/>
  <c r="F44" i="22" a="1"/>
  <c r="F44" i="22"/>
  <c r="B44" i="22" a="1"/>
  <c r="B44" i="22"/>
  <c r="I41" i="22" a="1"/>
  <c r="I41" i="22"/>
  <c r="F41" i="22" a="1"/>
  <c r="F41" i="22"/>
  <c r="F40" i="22" a="1"/>
  <c r="F40" i="22"/>
  <c r="B37" i="22" a="1"/>
  <c r="B37" i="22"/>
  <c r="B20" i="22" a="1"/>
  <c r="B20" i="22"/>
  <c r="C19" i="22" a="1"/>
  <c r="C19" i="22"/>
  <c r="D13" i="22" a="1"/>
  <c r="D13" i="22"/>
  <c r="D12" i="22" a="1"/>
  <c r="D12" i="22"/>
  <c r="I10" i="22"/>
  <c r="G10" i="22" a="1"/>
  <c r="G10" i="22"/>
  <c r="E10" i="22" a="1"/>
  <c r="E10" i="22"/>
  <c r="C10" i="22" a="1"/>
  <c r="C10" i="22"/>
  <c r="E9" i="22" a="1"/>
  <c r="E9" i="22"/>
  <c r="C9" i="22" a="1"/>
  <c r="C9" i="22"/>
  <c r="I7" i="22" a="1"/>
  <c r="I7" i="22"/>
  <c r="G7" i="22" a="1"/>
  <c r="G7" i="22"/>
  <c r="E7" i="22" a="1"/>
  <c r="E7" i="22"/>
  <c r="C7" i="22" a="1"/>
  <c r="C7" i="22"/>
  <c r="G60" i="21" a="1"/>
  <c r="G60" i="21"/>
  <c r="F60" i="21" a="1"/>
  <c r="F60" i="21"/>
  <c r="E60" i="21" a="1"/>
  <c r="E60" i="21"/>
  <c r="D60" i="21" a="1"/>
  <c r="D60" i="21"/>
  <c r="C60" i="21" a="1"/>
  <c r="C60" i="21"/>
  <c r="B60" i="21" a="1"/>
  <c r="B60" i="21"/>
  <c r="F44" i="21" a="1"/>
  <c r="F44" i="21"/>
  <c r="B44" i="21" a="1"/>
  <c r="B44" i="21"/>
  <c r="I41" i="21" a="1"/>
  <c r="I41" i="21"/>
  <c r="F41" i="21" a="1"/>
  <c r="F41" i="21"/>
  <c r="F40" i="21" a="1"/>
  <c r="F40" i="21"/>
  <c r="B37" i="21" a="1"/>
  <c r="B37" i="21"/>
  <c r="B20" i="21" a="1"/>
  <c r="B20" i="21"/>
  <c r="C19" i="21" a="1"/>
  <c r="C19" i="21"/>
  <c r="D13" i="21" a="1"/>
  <c r="D13" i="21"/>
  <c r="D12" i="21" a="1"/>
  <c r="D12" i="21"/>
  <c r="I10" i="21"/>
  <c r="G10" i="21" a="1"/>
  <c r="G10" i="21"/>
  <c r="E10" i="21" a="1"/>
  <c r="E10" i="21"/>
  <c r="C10" i="21" a="1"/>
  <c r="C10" i="21"/>
  <c r="E9" i="21" a="1"/>
  <c r="E9" i="21"/>
  <c r="C9" i="21" a="1"/>
  <c r="C9" i="21"/>
  <c r="I7" i="21" a="1"/>
  <c r="I7" i="21"/>
  <c r="G7" i="21" a="1"/>
  <c r="G7" i="21"/>
  <c r="E7" i="21" a="1"/>
  <c r="E7" i="21"/>
  <c r="C7" i="21" a="1"/>
  <c r="C7" i="21"/>
  <c r="G60" i="20" a="1"/>
  <c r="G60" i="20"/>
  <c r="F60" i="20" a="1"/>
  <c r="F60" i="20"/>
  <c r="E60" i="20" a="1"/>
  <c r="E60" i="20"/>
  <c r="D60" i="20" a="1"/>
  <c r="D60" i="20"/>
  <c r="C60" i="20" a="1"/>
  <c r="C60" i="20"/>
  <c r="B60" i="20" a="1"/>
  <c r="B60" i="20"/>
  <c r="F44" i="20" a="1"/>
  <c r="F44" i="20"/>
  <c r="B44" i="20" a="1"/>
  <c r="B44" i="20"/>
  <c r="I41" i="20" a="1"/>
  <c r="I41" i="20"/>
  <c r="F41" i="20" a="1"/>
  <c r="F41" i="20"/>
  <c r="F40" i="20" a="1"/>
  <c r="F40" i="20"/>
  <c r="B37" i="20" a="1"/>
  <c r="B37" i="20"/>
  <c r="B20" i="20" a="1"/>
  <c r="B20" i="20"/>
  <c r="C19" i="20" a="1"/>
  <c r="C19" i="20"/>
  <c r="D13" i="20" a="1"/>
  <c r="D13" i="20"/>
  <c r="D12" i="20" a="1"/>
  <c r="D12" i="20"/>
  <c r="I10" i="20"/>
  <c r="G10" i="20" a="1"/>
  <c r="G10" i="20"/>
  <c r="E10" i="20" a="1"/>
  <c r="E10" i="20"/>
  <c r="C10" i="20" a="1"/>
  <c r="C10" i="20"/>
  <c r="E9" i="20" a="1"/>
  <c r="E9" i="20"/>
  <c r="C9" i="20" a="1"/>
  <c r="C9" i="20"/>
  <c r="I7" i="20" a="1"/>
  <c r="I7" i="20"/>
  <c r="G7" i="20" a="1"/>
  <c r="G7" i="20"/>
  <c r="E7" i="20" a="1"/>
  <c r="E7" i="20"/>
  <c r="C7" i="20" a="1"/>
  <c r="C7" i="20"/>
  <c r="G60" i="19" a="1"/>
  <c r="G60" i="19"/>
  <c r="F60" i="19" a="1"/>
  <c r="F60" i="19"/>
  <c r="E60" i="19" a="1"/>
  <c r="E60" i="19"/>
  <c r="D60" i="19" a="1"/>
  <c r="D60" i="19"/>
  <c r="C60" i="19" a="1"/>
  <c r="C60" i="19"/>
  <c r="B60" i="19" a="1"/>
  <c r="B60" i="19"/>
  <c r="F44" i="19" a="1"/>
  <c r="F44" i="19"/>
  <c r="B44" i="19" a="1"/>
  <c r="B44" i="19"/>
  <c r="I41" i="19" a="1"/>
  <c r="I41" i="19"/>
  <c r="F41" i="19" a="1"/>
  <c r="F41" i="19"/>
  <c r="F40" i="19" a="1"/>
  <c r="F40" i="19"/>
  <c r="B37" i="19" a="1"/>
  <c r="B37" i="19"/>
  <c r="B20" i="19" a="1"/>
  <c r="B20" i="19"/>
  <c r="C19" i="19" a="1"/>
  <c r="C19" i="19"/>
  <c r="D13" i="19" a="1"/>
  <c r="D13" i="19"/>
  <c r="D12" i="19" a="1"/>
  <c r="D12" i="19"/>
  <c r="I10" i="19"/>
  <c r="G10" i="19" a="1"/>
  <c r="G10" i="19"/>
  <c r="E10" i="19" a="1"/>
  <c r="E10" i="19"/>
  <c r="C10" i="19" a="1"/>
  <c r="C10" i="19"/>
  <c r="E9" i="19" a="1"/>
  <c r="E9" i="19"/>
  <c r="C9" i="19" a="1"/>
  <c r="C9" i="19"/>
  <c r="I7" i="19" a="1"/>
  <c r="I7" i="19"/>
  <c r="G7" i="19" a="1"/>
  <c r="G7" i="19"/>
  <c r="E7" i="19" a="1"/>
  <c r="E7" i="19"/>
  <c r="C7" i="19" a="1"/>
  <c r="C7" i="19"/>
  <c r="G60" i="18" a="1"/>
  <c r="G60" i="18"/>
  <c r="F60" i="18" a="1"/>
  <c r="F60" i="18"/>
  <c r="E60" i="18" a="1"/>
  <c r="E60" i="18"/>
  <c r="D60" i="18" a="1"/>
  <c r="D60" i="18"/>
  <c r="C60" i="18" a="1"/>
  <c r="C60" i="18"/>
  <c r="B60" i="18" a="1"/>
  <c r="B60" i="18"/>
  <c r="F44" i="18" a="1"/>
  <c r="F44" i="18"/>
  <c r="B44" i="18" a="1"/>
  <c r="B44" i="18"/>
  <c r="I41" i="18" a="1"/>
  <c r="I41" i="18"/>
  <c r="F41" i="18" a="1"/>
  <c r="F41" i="18"/>
  <c r="F40" i="18" a="1"/>
  <c r="F40" i="18"/>
  <c r="B37" i="18" a="1"/>
  <c r="B37" i="18"/>
  <c r="B20" i="18" a="1"/>
  <c r="B20" i="18"/>
  <c r="C19" i="18" a="1"/>
  <c r="C19" i="18"/>
  <c r="D13" i="18" a="1"/>
  <c r="D13" i="18"/>
  <c r="D12" i="18" a="1"/>
  <c r="D12" i="18"/>
  <c r="I10" i="18"/>
  <c r="G10" i="18" a="1"/>
  <c r="G10" i="18"/>
  <c r="E10" i="18" a="1"/>
  <c r="E10" i="18"/>
  <c r="C10" i="18" a="1"/>
  <c r="C10" i="18"/>
  <c r="E9" i="18" a="1"/>
  <c r="E9" i="18"/>
  <c r="C9" i="18" a="1"/>
  <c r="C9" i="18"/>
  <c r="I7" i="18" a="1"/>
  <c r="I7" i="18"/>
  <c r="G7" i="18" a="1"/>
  <c r="G7" i="18"/>
  <c r="E7" i="18" a="1"/>
  <c r="E7" i="18"/>
  <c r="C7" i="18" a="1"/>
  <c r="C7" i="18"/>
  <c r="G60" i="17" a="1"/>
  <c r="G60" i="17"/>
  <c r="F60" i="17" a="1"/>
  <c r="F60" i="17"/>
  <c r="E60" i="17" a="1"/>
  <c r="E60" i="17"/>
  <c r="D60" i="17" a="1"/>
  <c r="D60" i="17"/>
  <c r="C60" i="17" a="1"/>
  <c r="C60" i="17"/>
  <c r="B60" i="17" a="1"/>
  <c r="B60" i="17"/>
  <c r="F44" i="17" a="1"/>
  <c r="F44" i="17"/>
  <c r="B44" i="17" a="1"/>
  <c r="B44" i="17"/>
  <c r="I41" i="17" a="1"/>
  <c r="I41" i="17"/>
  <c r="F41" i="17" a="1"/>
  <c r="F41" i="17"/>
  <c r="F40" i="17" a="1"/>
  <c r="F40" i="17"/>
  <c r="B37" i="17" a="1"/>
  <c r="B37" i="17"/>
  <c r="B20" i="17" a="1"/>
  <c r="B20" i="17"/>
  <c r="C19" i="17" a="1"/>
  <c r="C19" i="17"/>
  <c r="D13" i="17" a="1"/>
  <c r="D13" i="17"/>
  <c r="D12" i="17" a="1"/>
  <c r="D12" i="17"/>
  <c r="I10" i="17"/>
  <c r="G10" i="17" a="1"/>
  <c r="G10" i="17"/>
  <c r="E10" i="17" a="1"/>
  <c r="E10" i="17"/>
  <c r="C10" i="17" a="1"/>
  <c r="C10" i="17"/>
  <c r="E9" i="17" a="1"/>
  <c r="E9" i="17"/>
  <c r="C9" i="17" a="1"/>
  <c r="C9" i="17"/>
  <c r="I7" i="17" a="1"/>
  <c r="I7" i="17"/>
  <c r="G7" i="17" a="1"/>
  <c r="G7" i="17"/>
  <c r="E7" i="17" a="1"/>
  <c r="E7" i="17"/>
  <c r="C7" i="17" a="1"/>
  <c r="C7" i="17"/>
  <c r="G60" i="16" a="1"/>
  <c r="G60" i="16"/>
  <c r="F60" i="16" a="1"/>
  <c r="F60" i="16"/>
  <c r="E60" i="16" a="1"/>
  <c r="E60" i="16"/>
  <c r="D60" i="16" a="1"/>
  <c r="D60" i="16"/>
  <c r="C60" i="16" a="1"/>
  <c r="C60" i="16"/>
  <c r="B60" i="16" a="1"/>
  <c r="B60" i="16"/>
  <c r="F44" i="16" a="1"/>
  <c r="F44" i="16"/>
  <c r="B44" i="16" a="1"/>
  <c r="B44" i="16"/>
  <c r="I41" i="16" a="1"/>
  <c r="I41" i="16"/>
  <c r="F41" i="16" a="1"/>
  <c r="F41" i="16"/>
  <c r="F40" i="16" a="1"/>
  <c r="F40" i="16"/>
  <c r="B37" i="16" a="1"/>
  <c r="B37" i="16"/>
  <c r="B20" i="16" a="1"/>
  <c r="B20" i="16"/>
  <c r="C19" i="16" a="1"/>
  <c r="C19" i="16"/>
  <c r="D13" i="16" a="1"/>
  <c r="D13" i="16"/>
  <c r="D12" i="16" a="1"/>
  <c r="D12" i="16"/>
  <c r="I10" i="16"/>
  <c r="G10" i="16" a="1"/>
  <c r="G10" i="16"/>
  <c r="E10" i="16" a="1"/>
  <c r="E10" i="16"/>
  <c r="C10" i="16" a="1"/>
  <c r="C10" i="16"/>
  <c r="E9" i="16" a="1"/>
  <c r="E9" i="16"/>
  <c r="C9" i="16" a="1"/>
  <c r="C9" i="16"/>
  <c r="I7" i="16" a="1"/>
  <c r="I7" i="16"/>
  <c r="G7" i="16" a="1"/>
  <c r="G7" i="16"/>
  <c r="E7" i="16" a="1"/>
  <c r="E7" i="16"/>
  <c r="C7" i="16" a="1"/>
  <c r="C7" i="16"/>
  <c r="G60" i="15" a="1"/>
  <c r="G60" i="15"/>
  <c r="F60" i="15" a="1"/>
  <c r="F60" i="15"/>
  <c r="E60" i="15" a="1"/>
  <c r="E60" i="15"/>
  <c r="D60" i="15" a="1"/>
  <c r="D60" i="15"/>
  <c r="C60" i="15" a="1"/>
  <c r="C60" i="15"/>
  <c r="B60" i="15" a="1"/>
  <c r="B60" i="15"/>
  <c r="F44" i="15" a="1"/>
  <c r="F44" i="15"/>
  <c r="B44" i="15" a="1"/>
  <c r="B44" i="15"/>
  <c r="I41" i="15" a="1"/>
  <c r="I41" i="15"/>
  <c r="F41" i="15" a="1"/>
  <c r="F41" i="15"/>
  <c r="F40" i="15" a="1"/>
  <c r="F40" i="15"/>
  <c r="B37" i="15" a="1"/>
  <c r="B37" i="15"/>
  <c r="B20" i="15" a="1"/>
  <c r="B20" i="15"/>
  <c r="C19" i="15" a="1"/>
  <c r="C19" i="15"/>
  <c r="D13" i="15" a="1"/>
  <c r="D13" i="15"/>
  <c r="D12" i="15" a="1"/>
  <c r="D12" i="15"/>
  <c r="I10" i="15"/>
  <c r="G10" i="15" a="1"/>
  <c r="G10" i="15"/>
  <c r="E10" i="15" a="1"/>
  <c r="E10" i="15"/>
  <c r="C10" i="15" a="1"/>
  <c r="C10" i="15"/>
  <c r="E9" i="15" a="1"/>
  <c r="E9" i="15"/>
  <c r="C9" i="15" a="1"/>
  <c r="C9" i="15"/>
  <c r="I7" i="15" a="1"/>
  <c r="I7" i="15"/>
  <c r="G7" i="15" a="1"/>
  <c r="G7" i="15"/>
  <c r="E7" i="15" a="1"/>
  <c r="E7" i="15"/>
  <c r="C7" i="15" a="1"/>
  <c r="C7" i="15"/>
  <c r="G60" i="14" a="1"/>
  <c r="G60" i="14"/>
  <c r="F60" i="14" a="1"/>
  <c r="F60" i="14"/>
  <c r="E60" i="14" a="1"/>
  <c r="E60" i="14"/>
  <c r="D60" i="14" a="1"/>
  <c r="D60" i="14"/>
  <c r="C60" i="14" a="1"/>
  <c r="C60" i="14"/>
  <c r="B60" i="14" a="1"/>
  <c r="B60" i="14"/>
  <c r="F44" i="14" a="1"/>
  <c r="F44" i="14"/>
  <c r="B44" i="14" a="1"/>
  <c r="B44" i="14"/>
  <c r="I41" i="14" a="1"/>
  <c r="I41" i="14"/>
  <c r="F41" i="14" a="1"/>
  <c r="F41" i="14"/>
  <c r="F40" i="14" a="1"/>
  <c r="F40" i="14"/>
  <c r="B37" i="14" a="1"/>
  <c r="B37" i="14"/>
  <c r="B20" i="14" a="1"/>
  <c r="B20" i="14"/>
  <c r="C19" i="14" a="1"/>
  <c r="C19" i="14"/>
  <c r="D13" i="14" a="1"/>
  <c r="D13" i="14"/>
  <c r="D12" i="14" a="1"/>
  <c r="D12" i="14"/>
  <c r="I10" i="14"/>
  <c r="G10" i="14" a="1"/>
  <c r="G10" i="14"/>
  <c r="E10" i="14" a="1"/>
  <c r="E10" i="14"/>
  <c r="C10" i="14" a="1"/>
  <c r="C10" i="14"/>
  <c r="E9" i="14" a="1"/>
  <c r="E9" i="14"/>
  <c r="C9" i="14" a="1"/>
  <c r="C9" i="14"/>
  <c r="I7" i="14" a="1"/>
  <c r="I7" i="14"/>
  <c r="G7" i="14" a="1"/>
  <c r="G7" i="14"/>
  <c r="E7" i="14" a="1"/>
  <c r="E7" i="14"/>
  <c r="C7" i="14" a="1"/>
  <c r="C7" i="14"/>
  <c r="G60" i="13" a="1"/>
  <c r="G60" i="13"/>
  <c r="F60" i="13" a="1"/>
  <c r="F60" i="13"/>
  <c r="E60" i="13" a="1"/>
  <c r="E60" i="13"/>
  <c r="D60" i="13" a="1"/>
  <c r="D60" i="13"/>
  <c r="C60" i="13" a="1"/>
  <c r="C60" i="13"/>
  <c r="B60" i="13" a="1"/>
  <c r="B60" i="13"/>
  <c r="F44" i="13" a="1"/>
  <c r="F44" i="13"/>
  <c r="B44" i="13" a="1"/>
  <c r="B44" i="13"/>
  <c r="I41" i="13" a="1"/>
  <c r="I41" i="13"/>
  <c r="F41" i="13" a="1"/>
  <c r="F41" i="13"/>
  <c r="F40" i="13" a="1"/>
  <c r="F40" i="13"/>
  <c r="B37" i="13" a="1"/>
  <c r="B37" i="13"/>
  <c r="B20" i="13" a="1"/>
  <c r="B20" i="13"/>
  <c r="C19" i="13" a="1"/>
  <c r="C19" i="13"/>
  <c r="D13" i="13" a="1"/>
  <c r="D13" i="13"/>
  <c r="D12" i="13" a="1"/>
  <c r="D12" i="13"/>
  <c r="I10" i="13"/>
  <c r="G10" i="13" a="1"/>
  <c r="G10" i="13"/>
  <c r="E10" i="13" a="1"/>
  <c r="E10" i="13"/>
  <c r="C10" i="13" a="1"/>
  <c r="C10" i="13"/>
  <c r="E9" i="13" a="1"/>
  <c r="E9" i="13"/>
  <c r="C9" i="13" a="1"/>
  <c r="C9" i="13"/>
  <c r="I7" i="13" a="1"/>
  <c r="I7" i="13"/>
  <c r="G7" i="13" a="1"/>
  <c r="G7" i="13"/>
  <c r="E7" i="13" a="1"/>
  <c r="E7" i="13"/>
  <c r="C7" i="13" a="1"/>
  <c r="C7" i="13"/>
  <c r="G60" i="12" a="1"/>
  <c r="G60" i="12"/>
  <c r="F60" i="12" a="1"/>
  <c r="F60" i="12"/>
  <c r="E60" i="12" a="1"/>
  <c r="E60" i="12"/>
  <c r="D60" i="12" a="1"/>
  <c r="D60" i="12"/>
  <c r="C60" i="12" a="1"/>
  <c r="C60" i="12"/>
  <c r="B60" i="12" a="1"/>
  <c r="B60" i="12"/>
  <c r="F44" i="12" a="1"/>
  <c r="F44" i="12"/>
  <c r="B44" i="12" a="1"/>
  <c r="B44" i="12"/>
  <c r="I41" i="12" a="1"/>
  <c r="I41" i="12"/>
  <c r="F41" i="12" a="1"/>
  <c r="F41" i="12"/>
  <c r="F40" i="12" a="1"/>
  <c r="F40" i="12"/>
  <c r="B37" i="12" a="1"/>
  <c r="B37" i="12"/>
  <c r="B20" i="12" a="1"/>
  <c r="B20" i="12"/>
  <c r="C19" i="12" a="1"/>
  <c r="C19" i="12"/>
  <c r="D13" i="12" a="1"/>
  <c r="D13" i="12"/>
  <c r="D12" i="12" a="1"/>
  <c r="D12" i="12"/>
  <c r="I10" i="12"/>
  <c r="G10" i="12" a="1"/>
  <c r="G10" i="12"/>
  <c r="E10" i="12" a="1"/>
  <c r="E10" i="12"/>
  <c r="C10" i="12" a="1"/>
  <c r="C10" i="12"/>
  <c r="E9" i="12" a="1"/>
  <c r="E9" i="12"/>
  <c r="C9" i="12" a="1"/>
  <c r="C9" i="12"/>
  <c r="I7" i="12" a="1"/>
  <c r="I7" i="12"/>
  <c r="G7" i="12" a="1"/>
  <c r="G7" i="12"/>
  <c r="E7" i="12" a="1"/>
  <c r="E7" i="12"/>
  <c r="C7" i="12" a="1"/>
  <c r="C7" i="12"/>
  <c r="G60" i="11" a="1"/>
  <c r="G60" i="11"/>
  <c r="F60" i="11" a="1"/>
  <c r="F60" i="11"/>
  <c r="E60" i="11" a="1"/>
  <c r="E60" i="11"/>
  <c r="D60" i="11" a="1"/>
  <c r="D60" i="11"/>
  <c r="C60" i="11" a="1"/>
  <c r="C60" i="11"/>
  <c r="B60" i="11" a="1"/>
  <c r="B60" i="11"/>
  <c r="F44" i="11" a="1"/>
  <c r="F44" i="11"/>
  <c r="B44" i="11" a="1"/>
  <c r="B44" i="11"/>
  <c r="I41" i="11" a="1"/>
  <c r="I41" i="11"/>
  <c r="F41" i="11" a="1"/>
  <c r="F41" i="11"/>
  <c r="F40" i="11" a="1"/>
  <c r="F40" i="11"/>
  <c r="B37" i="11" a="1"/>
  <c r="B37" i="11"/>
  <c r="B20" i="11" a="1"/>
  <c r="B20" i="11"/>
  <c r="C19" i="11" a="1"/>
  <c r="C19" i="11"/>
  <c r="D13" i="11" a="1"/>
  <c r="D13" i="11"/>
  <c r="D12" i="11" a="1"/>
  <c r="D12" i="11"/>
  <c r="I10" i="11"/>
  <c r="G10" i="11" a="1"/>
  <c r="G10" i="11"/>
  <c r="E10" i="11" a="1"/>
  <c r="E10" i="11"/>
  <c r="C10" i="11" a="1"/>
  <c r="C10" i="11"/>
  <c r="E9" i="11" a="1"/>
  <c r="E9" i="11"/>
  <c r="C9" i="11" a="1"/>
  <c r="C9" i="11"/>
  <c r="I7" i="11" a="1"/>
  <c r="I7" i="11"/>
  <c r="G7" i="11" a="1"/>
  <c r="G7" i="11"/>
  <c r="E7" i="11" a="1"/>
  <c r="E7" i="11"/>
  <c r="C7" i="11" a="1"/>
  <c r="C7" i="11"/>
  <c r="G60" i="10" a="1"/>
  <c r="G60" i="10"/>
  <c r="F60" i="10" a="1"/>
  <c r="F60" i="10"/>
  <c r="E60" i="10" a="1"/>
  <c r="E60" i="10"/>
  <c r="D60" i="10" a="1"/>
  <c r="D60" i="10"/>
  <c r="C60" i="10" a="1"/>
  <c r="C60" i="10"/>
  <c r="B60" i="10" a="1"/>
  <c r="B60" i="10"/>
  <c r="F44" i="10" a="1"/>
  <c r="F44" i="10"/>
  <c r="B44" i="10" a="1"/>
  <c r="B44" i="10"/>
  <c r="I41" i="10" a="1"/>
  <c r="I41" i="10"/>
  <c r="F41" i="10" a="1"/>
  <c r="F41" i="10"/>
  <c r="F40" i="10" a="1"/>
  <c r="F40" i="10"/>
  <c r="B37" i="10" a="1"/>
  <c r="B37" i="10"/>
  <c r="C19" i="10" a="1"/>
  <c r="C19" i="10"/>
  <c r="I10" i="10"/>
  <c r="G10" i="10" a="1"/>
  <c r="G10" i="10"/>
  <c r="E10" i="10" a="1"/>
  <c r="E10" i="10"/>
  <c r="C10" i="10" a="1"/>
  <c r="C10" i="10"/>
  <c r="E9" i="10" a="1"/>
  <c r="E9" i="10"/>
  <c r="C9" i="10" a="1"/>
  <c r="C9" i="10"/>
  <c r="I7" i="10" a="1"/>
  <c r="I7" i="10"/>
  <c r="G7" i="10" a="1"/>
  <c r="G7" i="10"/>
  <c r="E7" i="10" a="1"/>
  <c r="E7" i="10"/>
  <c r="C7" i="10" a="1"/>
  <c r="C7" i="10"/>
  <c r="G60" i="9" a="1"/>
  <c r="G60" i="9"/>
  <c r="F60" i="9" a="1"/>
  <c r="F60" i="9"/>
  <c r="E60" i="9" a="1"/>
  <c r="E60" i="9"/>
  <c r="D60" i="9" a="1"/>
  <c r="D60" i="9"/>
  <c r="C60" i="9" a="1"/>
  <c r="C60" i="9"/>
  <c r="B60" i="9" a="1"/>
  <c r="B60" i="9"/>
  <c r="F44" i="9" a="1"/>
  <c r="F44" i="9"/>
  <c r="B44" i="9" a="1"/>
  <c r="B44" i="9"/>
  <c r="I41" i="9" a="1"/>
  <c r="I41" i="9"/>
  <c r="F41" i="9" a="1"/>
  <c r="F41" i="9"/>
  <c r="F40" i="9" a="1"/>
  <c r="F40" i="9"/>
  <c r="B37" i="9" a="1"/>
  <c r="B37" i="9"/>
  <c r="C19" i="9" a="1"/>
  <c r="C19" i="9"/>
  <c r="I10" i="9"/>
  <c r="G10" i="9" a="1"/>
  <c r="G10" i="9"/>
  <c r="E10" i="9" a="1"/>
  <c r="E10" i="9"/>
  <c r="C10" i="9" a="1"/>
  <c r="C10" i="9"/>
  <c r="E9" i="9" a="1"/>
  <c r="E9" i="9"/>
  <c r="C9" i="9" a="1"/>
  <c r="C9" i="9"/>
  <c r="I7" i="9" a="1"/>
  <c r="I7" i="9"/>
  <c r="G7" i="9" a="1"/>
  <c r="G7" i="9"/>
  <c r="E7" i="9" a="1"/>
  <c r="E7" i="9"/>
  <c r="C7" i="9" a="1"/>
  <c r="C7" i="9"/>
  <c r="G60" i="8" a="1"/>
  <c r="G60" i="8"/>
  <c r="F60" i="8" a="1"/>
  <c r="F60" i="8"/>
  <c r="E60" i="8" a="1"/>
  <c r="E60" i="8"/>
  <c r="D60" i="8" a="1"/>
  <c r="D60" i="8"/>
  <c r="C60" i="8" a="1"/>
  <c r="C60" i="8"/>
  <c r="B60" i="8" a="1"/>
  <c r="B60" i="8"/>
  <c r="F44" i="8" a="1"/>
  <c r="F44" i="8"/>
  <c r="B44" i="8" a="1"/>
  <c r="B44" i="8"/>
  <c r="I41" i="8" a="1"/>
  <c r="I41" i="8"/>
  <c r="F41" i="8" a="1"/>
  <c r="F41" i="8"/>
  <c r="F40" i="8" a="1"/>
  <c r="F40" i="8"/>
  <c r="B37" i="8" a="1"/>
  <c r="B37" i="8"/>
  <c r="B20" i="8" a="1"/>
  <c r="B20" i="8"/>
  <c r="C19" i="8" a="1"/>
  <c r="C19" i="8"/>
  <c r="D13" i="8" a="1"/>
  <c r="D13" i="8"/>
  <c r="D12" i="8" a="1"/>
  <c r="D12" i="8"/>
  <c r="I10" i="8"/>
  <c r="G10" i="8" a="1"/>
  <c r="G10" i="8"/>
  <c r="E10" i="8" a="1"/>
  <c r="E10" i="8"/>
  <c r="C10" i="8" a="1"/>
  <c r="C10" i="8"/>
  <c r="E9" i="8" a="1"/>
  <c r="E9" i="8"/>
  <c r="C9" i="8" a="1"/>
  <c r="C9" i="8"/>
  <c r="I7" i="8" a="1"/>
  <c r="I7" i="8"/>
  <c r="G7" i="8" a="1"/>
  <c r="G7" i="8"/>
  <c r="E7" i="8" a="1"/>
  <c r="E7" i="8"/>
  <c r="C7" i="8" a="1"/>
  <c r="C7" i="8"/>
  <c r="G60" i="7" a="1"/>
  <c r="G60" i="7"/>
  <c r="F60" i="7" a="1"/>
  <c r="F60" i="7"/>
  <c r="E60" i="7" a="1"/>
  <c r="E60" i="7"/>
  <c r="D60" i="7" a="1"/>
  <c r="D60" i="7"/>
  <c r="C60" i="7" a="1"/>
  <c r="C60" i="7"/>
  <c r="B60" i="7" a="1"/>
  <c r="B60" i="7"/>
  <c r="F44" i="7" a="1"/>
  <c r="F44" i="7"/>
  <c r="B44" i="7" a="1"/>
  <c r="B44" i="7"/>
  <c r="I41" i="7" a="1"/>
  <c r="I41" i="7"/>
  <c r="F41" i="7" a="1"/>
  <c r="F41" i="7"/>
  <c r="F40" i="7" a="1"/>
  <c r="F40" i="7"/>
  <c r="B37" i="7" a="1"/>
  <c r="B37" i="7"/>
  <c r="B20" i="7" a="1"/>
  <c r="B20" i="7"/>
  <c r="C19" i="7" a="1"/>
  <c r="C19" i="7"/>
  <c r="D13" i="7" a="1"/>
  <c r="D13" i="7"/>
  <c r="D12" i="7" a="1"/>
  <c r="D12" i="7"/>
  <c r="I10" i="7"/>
  <c r="G10" i="7" a="1"/>
  <c r="G10" i="7"/>
  <c r="E10" i="7" a="1"/>
  <c r="E10" i="7"/>
  <c r="C10" i="7" a="1"/>
  <c r="C10" i="7"/>
  <c r="E9" i="7" a="1"/>
  <c r="E9" i="7"/>
  <c r="C9" i="7" a="1"/>
  <c r="C9" i="7"/>
  <c r="I7" i="7" a="1"/>
  <c r="I7" i="7"/>
  <c r="G7" i="7" a="1"/>
  <c r="G7" i="7"/>
  <c r="E7" i="7" a="1"/>
  <c r="E7" i="7"/>
  <c r="C7" i="7" a="1"/>
  <c r="C7" i="7"/>
  <c r="G60" i="6" a="1"/>
  <c r="G60" i="6"/>
  <c r="F60" i="6" a="1"/>
  <c r="F60" i="6"/>
  <c r="E60" i="6" a="1"/>
  <c r="E60" i="6"/>
  <c r="D60" i="6" a="1"/>
  <c r="D60" i="6"/>
  <c r="C60" i="6" a="1"/>
  <c r="C60" i="6"/>
  <c r="B60" i="6" a="1"/>
  <c r="B60" i="6"/>
  <c r="F44" i="6" a="1"/>
  <c r="F44" i="6"/>
  <c r="B44" i="6" a="1"/>
  <c r="B44" i="6"/>
  <c r="I41" i="6" a="1"/>
  <c r="I41" i="6"/>
  <c r="F41" i="6" a="1"/>
  <c r="F41" i="6"/>
  <c r="F40" i="6" a="1"/>
  <c r="F40" i="6"/>
  <c r="B37" i="6" a="1"/>
  <c r="B37" i="6"/>
  <c r="C19" i="6" a="1"/>
  <c r="C19" i="6"/>
  <c r="I10" i="6"/>
  <c r="G10" i="6" a="1"/>
  <c r="G10" i="6"/>
  <c r="E10" i="6" a="1"/>
  <c r="E10" i="6"/>
  <c r="C10" i="6" a="1"/>
  <c r="C10" i="6"/>
  <c r="E9" i="6" a="1"/>
  <c r="E9" i="6"/>
  <c r="C9" i="6" a="1"/>
  <c r="C9" i="6"/>
  <c r="I7" i="6" a="1"/>
  <c r="I7" i="6"/>
  <c r="G7" i="6" a="1"/>
  <c r="G7" i="6"/>
  <c r="E7" i="6" a="1"/>
  <c r="E7" i="6"/>
  <c r="C7" i="6" a="1"/>
  <c r="C7" i="6"/>
  <c r="G60" i="5" a="1"/>
  <c r="G60" i="5"/>
  <c r="F60" i="5" a="1"/>
  <c r="F60" i="5"/>
  <c r="E60" i="5" a="1"/>
  <c r="E60" i="5"/>
  <c r="D60" i="5" a="1"/>
  <c r="D60" i="5"/>
  <c r="C60" i="5" a="1"/>
  <c r="C60" i="5"/>
  <c r="B60" i="5" a="1"/>
  <c r="B60" i="5"/>
  <c r="F44" i="5" a="1"/>
  <c r="F44" i="5"/>
  <c r="B44" i="5" a="1"/>
  <c r="B44" i="5"/>
  <c r="I41" i="5" a="1"/>
  <c r="I41" i="5"/>
  <c r="F41" i="5" a="1"/>
  <c r="F41" i="5"/>
  <c r="F40" i="5" a="1"/>
  <c r="F40" i="5"/>
  <c r="B37" i="5" a="1"/>
  <c r="B37" i="5"/>
  <c r="B20" i="5" a="1"/>
  <c r="B20" i="5"/>
  <c r="C19" i="5" a="1"/>
  <c r="C19" i="5"/>
  <c r="D13" i="5" a="1"/>
  <c r="D13" i="5"/>
  <c r="D12" i="5" a="1"/>
  <c r="D12" i="5"/>
  <c r="I10" i="5"/>
  <c r="G10" i="5" a="1"/>
  <c r="G10" i="5"/>
  <c r="E10" i="5" a="1"/>
  <c r="E10" i="5"/>
  <c r="C10" i="5" a="1"/>
  <c r="C10" i="5"/>
  <c r="E9" i="5" a="1"/>
  <c r="E9" i="5"/>
  <c r="C9" i="5" a="1"/>
  <c r="C9" i="5"/>
  <c r="I7" i="5" a="1"/>
  <c r="I7" i="5"/>
  <c r="G7" i="5" a="1"/>
  <c r="G7" i="5"/>
  <c r="E7" i="5" a="1"/>
  <c r="E7" i="5"/>
  <c r="C7" i="5" a="1"/>
  <c r="C7" i="5"/>
  <c r="G56" i="4" a="1"/>
  <c r="G56" i="4"/>
  <c r="F56" i="4" a="1"/>
  <c r="F56" i="4"/>
  <c r="E56" i="4" a="1"/>
  <c r="E56" i="4"/>
  <c r="D56" i="4" a="1"/>
  <c r="D56" i="4"/>
  <c r="C56" i="4" a="1"/>
  <c r="C56" i="4"/>
  <c r="B56" i="4" a="1"/>
  <c r="B56" i="4"/>
  <c r="F44" i="4" a="1"/>
  <c r="F44" i="4"/>
  <c r="B44" i="4" a="1"/>
  <c r="B44" i="4"/>
  <c r="I41" i="4" a="1"/>
  <c r="I41" i="4"/>
  <c r="F41" i="4" a="1"/>
  <c r="F41" i="4"/>
  <c r="F40" i="4" a="1"/>
  <c r="F40" i="4"/>
  <c r="B37" i="4" a="1"/>
  <c r="B37" i="4"/>
  <c r="B20" i="4" a="1"/>
  <c r="B20" i="4"/>
  <c r="C19" i="4" a="1"/>
  <c r="C19" i="4"/>
  <c r="D13" i="4" a="1"/>
  <c r="D13" i="4"/>
  <c r="D12" i="4" a="1"/>
  <c r="D12" i="4"/>
  <c r="I10" i="4"/>
  <c r="G10" i="4" a="1"/>
  <c r="G10" i="4"/>
  <c r="E10" i="4" a="1"/>
  <c r="E10" i="4"/>
  <c r="C10" i="4" a="1"/>
  <c r="C10" i="4"/>
  <c r="E9" i="4" a="1"/>
  <c r="E9" i="4"/>
  <c r="C9" i="4" a="1"/>
  <c r="C9" i="4"/>
  <c r="I7" i="4" a="1"/>
  <c r="I7" i="4"/>
  <c r="G7" i="4" a="1"/>
  <c r="G7" i="4"/>
  <c r="E7" i="4" a="1"/>
  <c r="E7" i="4"/>
  <c r="C7" i="4" a="1"/>
  <c r="C7" i="4"/>
  <c r="G56" i="3" a="1"/>
  <c r="G56" i="3"/>
  <c r="F56" i="3" a="1"/>
  <c r="F56" i="3"/>
  <c r="E56" i="3" a="1"/>
  <c r="E56" i="3"/>
  <c r="D56" i="3" a="1"/>
  <c r="D56" i="3"/>
  <c r="C56" i="3" a="1"/>
  <c r="C56" i="3"/>
  <c r="B56" i="3" a="1"/>
  <c r="B56" i="3"/>
  <c r="F44" i="3" a="1"/>
  <c r="F44" i="3"/>
  <c r="B44" i="3" a="1"/>
  <c r="B44" i="3"/>
  <c r="I41" i="3" a="1"/>
  <c r="I41" i="3"/>
  <c r="F41" i="3" a="1"/>
  <c r="F41" i="3"/>
  <c r="F40" i="3" a="1"/>
  <c r="F40" i="3"/>
  <c r="B37" i="3" a="1"/>
  <c r="B37" i="3"/>
  <c r="B20" i="3" a="1"/>
  <c r="B20" i="3"/>
  <c r="C19" i="3" a="1"/>
  <c r="C19" i="3"/>
  <c r="D13" i="3" a="1"/>
  <c r="D13" i="3"/>
  <c r="D12" i="3" a="1"/>
  <c r="D12" i="3"/>
  <c r="I10" i="3"/>
  <c r="G10" i="3" a="1"/>
  <c r="G10" i="3"/>
  <c r="E10" i="3" a="1"/>
  <c r="E10" i="3"/>
  <c r="C10" i="3" a="1"/>
  <c r="C10" i="3"/>
  <c r="E9" i="3" a="1"/>
  <c r="E9" i="3"/>
  <c r="C9" i="3" a="1"/>
  <c r="C9" i="3"/>
  <c r="I7" i="3" a="1"/>
  <c r="I7" i="3"/>
  <c r="G7" i="3" a="1"/>
  <c r="G7" i="3"/>
  <c r="E7" i="3" a="1"/>
  <c r="E7" i="3"/>
  <c r="C7" i="3" a="1"/>
  <c r="C7" i="3"/>
  <c r="P22" i="1" a="1"/>
  <c r="P22" i="1"/>
  <c r="L22" i="1"/>
  <c r="K22" i="1"/>
  <c r="P21" i="1" a="1"/>
  <c r="P21" i="1"/>
  <c r="L21" i="1"/>
  <c r="K21" i="1"/>
  <c r="P20" i="1" a="1"/>
  <c r="P20" i="1"/>
  <c r="L20" i="1"/>
  <c r="K20" i="1"/>
  <c r="P19" i="1" a="1"/>
  <c r="P19" i="1"/>
  <c r="P18" i="1" a="1"/>
  <c r="P18" i="1"/>
  <c r="P17" i="1" a="1"/>
  <c r="P17" i="1"/>
  <c r="P16" i="1" a="1"/>
  <c r="P16" i="1"/>
  <c r="P15" i="1" a="1"/>
  <c r="P15" i="1"/>
  <c r="P14" i="1" a="1"/>
  <c r="P14" i="1"/>
  <c r="P13" i="1" a="1"/>
  <c r="P13" i="1"/>
  <c r="P12" i="1" a="1"/>
  <c r="P12" i="1"/>
  <c r="P11" i="1" a="1"/>
  <c r="P11" i="1"/>
  <c r="P10" i="1" a="1"/>
  <c r="P10" i="1"/>
  <c r="P9" i="1" a="1"/>
  <c r="P9" i="1"/>
  <c r="P8" i="1" a="1"/>
  <c r="P8" i="1"/>
  <c r="P7" i="1" a="1"/>
  <c r="P7" i="1"/>
  <c r="P6" i="1" a="1"/>
  <c r="P6" i="1"/>
  <c r="P5" i="1" a="1"/>
  <c r="P5" i="1"/>
  <c r="P4" i="1" a="1"/>
  <c r="P4" i="1"/>
  <c r="P3" i="1" a="1"/>
  <c r="P3" i="1"/>
  <c r="P2" i="1" a="1"/>
  <c r="P2" i="1"/>
  <c r="D28" i="24"/>
  <c r="D25" i="24"/>
  <c r="C25" i="24"/>
  <c r="D24" i="24"/>
  <c r="C24" i="24"/>
  <c r="D23" i="24"/>
  <c r="C23" i="24"/>
  <c r="D22" i="24"/>
  <c r="C22" i="24"/>
  <c r="D21" i="24"/>
  <c r="C21" i="24"/>
  <c r="D20" i="24"/>
  <c r="C20" i="24"/>
  <c r="D19" i="24"/>
  <c r="C19" i="24"/>
  <c r="D18" i="24"/>
  <c r="C18" i="24"/>
  <c r="D17" i="24"/>
  <c r="C17" i="24"/>
  <c r="D16" i="24"/>
  <c r="C16" i="24"/>
  <c r="D15" i="24"/>
  <c r="C15" i="24"/>
  <c r="D14" i="24"/>
  <c r="C14" i="24"/>
  <c r="D13" i="24"/>
  <c r="C13" i="24"/>
  <c r="D12" i="24"/>
  <c r="C12" i="24"/>
  <c r="D11" i="24"/>
  <c r="C11" i="24"/>
  <c r="D10" i="24"/>
  <c r="C10" i="24"/>
  <c r="D9" i="24"/>
  <c r="C9" i="24"/>
  <c r="D8" i="24"/>
  <c r="C8" i="24"/>
  <c r="D7" i="24"/>
  <c r="C7" i="24"/>
  <c r="D6" i="24"/>
  <c r="C6" i="24"/>
  <c r="D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<sst xmlns="http://schemas.openxmlformats.org/spreadsheetml/2006/main" count="1515" uniqueCount="241">
  <si>
    <t>Doctorado en Administración para la Sostenibilidad</t>
  </si>
  <si>
    <t>Unidad de Estudios</t>
  </si>
  <si>
    <t>Código</t>
  </si>
  <si>
    <t>Créditos</t>
  </si>
  <si>
    <t>Anteproyecto de Tesis Doctoral</t>
  </si>
  <si>
    <t>Aplicación de Modelos Estadísticos</t>
  </si>
  <si>
    <t>Coloquio Doctoral</t>
  </si>
  <si>
    <t>Economía Circular</t>
  </si>
  <si>
    <t>Economía para la Sostenibilidad</t>
  </si>
  <si>
    <t>Estrategia, Prospectiva y Organización</t>
  </si>
  <si>
    <t>Gestión del Talento Humano y Liderazgo</t>
  </si>
  <si>
    <t>Gestión Financiera</t>
  </si>
  <si>
    <t>Gestión para la Sostenibilidad</t>
  </si>
  <si>
    <t>Gobernanza Territorial</t>
  </si>
  <si>
    <t>Innovación Tecnológica y Social</t>
  </si>
  <si>
    <t>Mercadeo Estratégico para la Sostenibilidad</t>
  </si>
  <si>
    <t>Metodología Avanzada de Investigación Aplicada</t>
  </si>
  <si>
    <t>Metodología de la Investigación</t>
  </si>
  <si>
    <t>Oportunidades para el Emprendimiento Sostenible</t>
  </si>
  <si>
    <t>Pensamiento Holístico</t>
  </si>
  <si>
    <t>Seminario de Investigación I</t>
  </si>
  <si>
    <t>Seminario de Investigación II</t>
  </si>
  <si>
    <t>Teorías y Modelos de Gestión Organizacional</t>
  </si>
  <si>
    <t>Territorios Inteligentes y Sostenibles</t>
  </si>
  <si>
    <t>Tesis Doctoral</t>
  </si>
  <si>
    <t>Electiva 1</t>
  </si>
  <si>
    <t>Electiva 2</t>
  </si>
  <si>
    <t>Total</t>
  </si>
  <si>
    <t>Tabla Resumen</t>
  </si>
  <si>
    <t>Año</t>
  </si>
  <si>
    <t>Código Plan de Estudios</t>
  </si>
  <si>
    <t>Código Unidad de Estudios</t>
  </si>
  <si>
    <t>Tipo Unidad de Estudios</t>
  </si>
  <si>
    <t>Modalidad</t>
  </si>
  <si>
    <t>Nivel</t>
  </si>
  <si>
    <t>Programa</t>
  </si>
  <si>
    <t>Nombre Unidad de Estudios</t>
  </si>
  <si>
    <t>Créditos Académicos</t>
  </si>
  <si>
    <t>Horas de Acompañamiento Directo [HAD]</t>
  </si>
  <si>
    <t>Horas de Trabajo Autónomo [HTA]</t>
  </si>
  <si>
    <t>Horas Totales [HT]</t>
  </si>
  <si>
    <t>Descripción de la Unidad de Estudios</t>
  </si>
  <si>
    <t>Resultado de Aprendizaje de la Unidad de Estudios</t>
  </si>
  <si>
    <t>Contenidos Unidad de Estudios</t>
  </si>
  <si>
    <t>Módulo</t>
  </si>
  <si>
    <t>Esquema de Calificación</t>
  </si>
  <si>
    <t>Recursos Tecnológicos</t>
  </si>
  <si>
    <t>Componente de Lengua Extranjera [Idioma]</t>
  </si>
  <si>
    <t>Componente de Lengua Extranjera [%]</t>
  </si>
  <si>
    <t>Bibliografía Obligatoria</t>
  </si>
  <si>
    <t>Bibliografia Complementaria</t>
  </si>
  <si>
    <t># versión</t>
  </si>
  <si>
    <t>Fecha</t>
  </si>
  <si>
    <t>Elaboró</t>
  </si>
  <si>
    <t>Revisó</t>
  </si>
  <si>
    <t>Aprobó</t>
  </si>
  <si>
    <t>Descripción del cambio</t>
  </si>
  <si>
    <t>DTPAPSBOG001</t>
  </si>
  <si>
    <t>ADA01247</t>
  </si>
  <si>
    <t>Nuclear</t>
  </si>
  <si>
    <t>Presencial</t>
  </si>
  <si>
    <t>Doctorado</t>
  </si>
  <si>
    <t>La investigación como un proceso de generación de conocimiento es la base del desarrollo de una tesis doctoral. La comprensión del problema objeto de la investigación, el diseño metodológico y la construcción del marco teórico son los elementos fundamentales del anteproyecto doctoral.</t>
  </si>
  <si>
    <t>Propone el anteproyecto del trabajo de tesis doctoral aplicando herramientas de habilidades conceptuales, metodológicas y de estilo, con el enfoque de investigación, desarrollo e innovación.</t>
  </si>
  <si>
    <t>Presentación de la normativa institucional acerca de la unidad de estudios, la presentación del anteproyecto y la tesis doctoral. Presentación de versión preliminar de anteproyecto ante el grupo en general. Presentación acerca de estilo de redacción y manejo de normas APA.</t>
  </si>
  <si>
    <t>100% concepto de jurados evaluadores acorde con lineamientos dados por el Comité Doctoral.</t>
  </si>
  <si>
    <t>Base de datos, Material bibliográfico, Plataforma virtual</t>
  </si>
  <si>
    <t>Inglés</t>
  </si>
  <si>
    <t>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t>
  </si>
  <si>
    <t>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t>
  </si>
  <si>
    <t>Omar Patiño</t>
  </si>
  <si>
    <t>Juan Carlos Rentería</t>
  </si>
  <si>
    <t>Comité Curricular</t>
  </si>
  <si>
    <t>Creación syllabus en nuevo formato</t>
  </si>
  <si>
    <t>FPA00020</t>
  </si>
  <si>
    <t>Transversal</t>
  </si>
  <si>
    <t>El emprendimiento, entendido como la acción que lleva a la creación de empresas, se ha consolidado como estrategia de desarrollo social y económico. Esta unidad analiza las oportunidades de emprendimiento sostenible en distintos contextos socioeconómicos.</t>
  </si>
  <si>
    <t>Desarrolla técnicas y estrategias de innovación ante problemáticas de generación y sostenibilidad de los recursos a partir del uso de metodologías de preservación y emprendimiento social para transformar organizaciones y territorios.</t>
  </si>
  <si>
    <t>Aproximaciones teóricas generales al estudio del emprendimiento. Teorías relevantes. Estudios conceptuales sobre la incidencia del entorno en el surgimiento de nuevas empresas. Investigaciones empíricas sobre el entorno y la actividad emprendedora. La investigación en emprendimiento y perspectiva.</t>
  </si>
  <si>
    <t>Trabajo monográfico: 35%. Presentación y discusión de resúmenes analíticos: 35%. Actividades de debate y reflexión, participación como comentarista: 30%.</t>
  </si>
  <si>
    <t>Bosma, N. &amp; Kelley, D. (2020). GEM Global Report 2019/2020. Global Entrepreneurship Monitor. https://www.gemconsortium.org/reports/latest-global-report
Varela, R., Pereira, F., Gómez, L. &amp; Parra, L. (2020). Dinámica de la Actividad Empresarial en Colombia, Informe GEM Colombia (2019/2020). ICESI Ed. http://gemcolombia.org/publicaciones/
Valencia-Arias, A. et al. (2017). [Referencia en syllabus].</t>
  </si>
  <si>
    <t>Gartner, W. B., Welter, F., Baker, T. &amp; Audretsch, D. B. (2016). Everyday Entrepreneurship. Entrepreneurship, Theory and Practice, 41(3). Sage. https://www.researchgate.net/profile/William_Gartner3/publication/309145495</t>
  </si>
  <si>
    <t>FPA00021</t>
  </si>
  <si>
    <t>Este curso aborda la complejidad de la sostenibilidad desde una perspectiva multidisciplinaria. Su propósito es que los estudiantes logren comprenderla y aplicarla en la gestión de organizaciones y territorios.</t>
  </si>
  <si>
    <t>Estructura modelos de diagnóstico a problemas bajo estudio mediante la aplicación de herramientas de gestión sostenible que redunden en los resultados de los territorios.</t>
  </si>
  <si>
    <t>1. Fundamentos del desarrollo sostenible y la sostenibilidad en las organizaciones. 2. Integración de conceptos y teorías en modelos de gestión sostenible. 3. Análisis de modelos y de casos. 4. Diagnóstico organizacional bajo el enfoque de sostenibilidad. 5. Estudios de caso: aplicación y evaluación de modelos.</t>
  </si>
  <si>
    <t>Evaluación de entrega final: caso de estudio / working paper. 100%.</t>
  </si>
  <si>
    <t>Base de datos, Material bibliográfico, Plataforma virtual, Google tools</t>
  </si>
  <si>
    <t>Aguilar Zuluaga, I. (2018). Principios de desarrollo económico (3a ed.). Ecoe ediciones.
Areal, A., McIntosh, B. &amp; Sheppy, B. (2016). Hope and glory: an expanded social strategy diagnosis model. International Journal of Business Performance Management, 17(2), 117-131.
Austermühle, S. (2015). Sostenibilidad y ecoeficiencia en la empresa moderna. Universidad Peruana de Ciencias Aplicadas.
Arias Arbeláez, F. A. (2006). Desarrollo sostenible y sus indicadores. CIDSE.</t>
  </si>
  <si>
    <t>Jiménez Herrero, L. M. (2018). Desarrollo sostenible: transición hacia la coevolución global. Ediciones Pirámide. https://elibro-net.bdbiblioteca.universidadean.edu.co
López Medina, J. D., París Restrepo, R. M. &amp; Arboleda Pereira, J. F. (2019). Hacia el reto de marcas sostenibles. Universidad Católica Luis Amigó.
Luna González, A. C. (2015). Administración estratégica. Grupo Editorial Patria.</t>
  </si>
  <si>
    <t>ADA01234</t>
  </si>
  <si>
    <t>La visión estratégica de los temas de gestión humana y liderazgo viene consolidándose como eje fundamental y decisivo en el impacto directo de las organizaciones. Esta unidad aborda dichos temas con enfoque hacia la sostenibilidad.</t>
  </si>
  <si>
    <t>Plantea acciones estratégicas en la gestión del talento humano mediante la generación de una cultura organizacional hacia el liderazgo de servicio que redunde en el desarrollo del personal de las organizaciones.</t>
  </si>
  <si>
    <t>Direccionamiento Estratégico Corporativo: foco Sostenibilidad. Dirección Estratégica de la Gestión Humana. Liderazgo para la Dirección de Organizaciones Sostenibles. Liderazgo Competitivo en la gestión del Talento Humano con visión estratégica.</t>
  </si>
  <si>
    <t>Participación individual en debates: 30%. Elaboración de talleres individuales: 40%. Elaboración de talleres en equipo: 30%.</t>
  </si>
  <si>
    <t>Allas, T. &amp; Schaninger, B. (2020). The boss factor: Making the world a better place through workplace relationships. McKinsey Quarterly. https://www.mckinsey.com/business-functions/organization/our-insights/the-boss-factor
Blanch, J., Gil, F., Antino, M. &amp; Rodríguez-Muñoz, A. (2016). Modelos de Liderazgo Positivo: Marco Teórico y Líneas de Investigación. Papeles del Psicólogo, 37(3), 170-176.</t>
  </si>
  <si>
    <t>Deloitte Insights. (2020). La empresa Social en acción: la paradoja como camino hacia adelante. Deloitte Development LLC. https://www2.deloitte.com/co/es/pages/human-capital/articles/tendencias-globales-de-capital-humano-2020.html</t>
  </si>
  <si>
    <t>ADA01235</t>
  </si>
  <si>
    <t>Entender los retos fundamentales de los negocios requiere de una visión práctica de la gestión financiera eficaz, que logre desarrollar capacidades y habilidades para la toma de decisiones en proyectos sostenibles.</t>
  </si>
  <si>
    <t>Diseña propuestas y estrategias financieras eficientes a través de proyectos sostenibles que logren el mejor aprovechamiento de las oportunidades en los territorios.</t>
  </si>
  <si>
    <t>El valor del dinero en el tiempo. Interpretación de los estados financieros. Valoración de empresas. Evaluación de proyectos, bonos y acciones. Riesgo. Costo del capital propio. Estructura del capital. Gobierno corporativo.</t>
  </si>
  <si>
    <t>Participación en clase: 30%. Presentación de artículos: 40%. Ejercicios: 30%.</t>
  </si>
  <si>
    <t>Berk, J. (2017). Corporate finance (4a ed.). Pearson Educación. https://www-ebooks7-24-com.bdbiblioteca.universidadean.edu.co/?il=5388
Vera-Colina, M. A. (2012). Metodología para el análisis de la gestión financiera en Pymes. SSRN. https://ssrn.com/abstract=2591117
Bonet-Morón, J. &amp; Pérez-Valbuena, G. J. [Referencia en syllabus].</t>
  </si>
  <si>
    <t>Mejia-Escobar, J. C., González-Ruiz, J. D. &amp; Duque-Grisales, E. (2020). Sustainable financial products in the latin america banking industry. Sustainability, 12(14). https://doi.org/10.3390/su12145648
BVC (2014). Guía del Mercado de Valores. https://www.bvc.com.co
IIRC (2013). The International (IR) framework. https://integratedreporting.org</t>
  </si>
  <si>
    <t>ADA01236</t>
  </si>
  <si>
    <t>Dadas las necesidades de reactivación económica y social de los países en temas socioeconómicos causados por diferentes crisis a nivel mundial, se hace necesario explorar las tendencias de gestión tecnológica e innovación social para la transformación de ciudades y territorios.</t>
  </si>
  <si>
    <t>Evalúa las tendencias de gestión tecnológicas que surgen a partir de procesos de innovación social a través de estrategias y herramientas de innovación para alcanzar un adecuado nivel de técnicas y tecnologías en ciudades y territorios.</t>
  </si>
  <si>
    <t>1. Tendencias de gestión de la Innovación Tecnológica. 2. Gestión de las tecnologías en ciudades y territorios inteligentes. 3. Innovación Social. 4. Estrategias para el desarrollo de Rutas de Innovación Empresarial.</t>
  </si>
  <si>
    <t>Participación en clase: 30%. Evaluación de entrega final: caso de estudio / working paper: 70%.</t>
  </si>
  <si>
    <t>Dyer, J., Gregersen, H. &amp; Christensen, C. (2011). The Innovator's DNA. Harvard Business Review Press.
Ramírez-Salazar, M. P. (2016). Modelo de Innovación Abierta Colaborativa. Tesis Doctoral, Ediciones EAN.
Domingo, C. (2013). El Viaje de la Innovación (Cap. 2). Biblioteca EAN.
Drucker, P. (1986). Innovation and Entrepreneurship.</t>
  </si>
  <si>
    <t>Schoemaker, P. J. H., Day, G. S. &amp; Gunther, R. E. (2004). Managing Emerging Technologies. Wharton.
Perez-Uribe, R., Ramirez-Salazar, M. P. &amp; Moscoso-Duran, F. (2018). Modelo Ean-Rise. Revista Opción, 34(18), 1142-1186. https://www.researchgate.net/publication/333191293</t>
  </si>
  <si>
    <t>ADA01237</t>
  </si>
  <si>
    <t>Las organizaciones operan en entornos dinámicos donde la capacidad de los individuos, grupos y colectivos más grandes para procesar información para tomar decisiones es fundamental. Esta unidad aborda las principales teorías y modelos de gestión organizacional.</t>
  </si>
  <si>
    <t>Estructura soluciones a los problemas sociales de las regiones con base en el uso de herramientas y teorías administrativas para encontrar una óptima estructura y gestión de las organizaciones.</t>
  </si>
  <si>
    <t>Fundamentos teóricos de la Organización. Teorías administrativas Clásicas. Teorías Modernas. Pensamiento sistémico. Otras Teorías posmodernas.</t>
  </si>
  <si>
    <t>Dirección de sesión Individual / Grupal: 25%. Desarrollo Individual de casos: 25%. Redacción final individual artículos: 40%. Participación constructiva en las sesiones: 10%.</t>
  </si>
  <si>
    <t>Murnieks, C. Y., Klotz, A. C. &amp; Shepherd, D. A. (2020). Entrepreneurial motivation. Journal of Organizational Behavior, 41, 115-143.
Zeng, M. (2019). Alibaba and the Future of Business. Harvard Business Review. https://hbr.org/2018/09/alibaba-and-the-future-of-business
Zhu, F. &amp; Lansiti, M. (2019). Why Some Platforms Thrive and Others Don't. Harvard Business Review. https://hbr.org/2019/01/why-some-platforms-thrive-and-others-dont</t>
  </si>
  <si>
    <t>Lawrence, T. B., Suddaby, R. &amp; Leca, B. (2009). Introduction: theorizing and studying Institutional work. https://thomaslawrence.files.wordpress.com
Lundin, M. (2007). Explaining Cooperation. Journal of Public Administration Research and Theory, 17(4), 651-672.
Freeman, J. H. &amp; Audia, P. G. (2006). Community ecology and the sociology of organizations.</t>
  </si>
  <si>
    <t>ADA01238</t>
  </si>
  <si>
    <t>Los desafíos del planeta siguen en aumento año tras año. Los problemas ambientales, la inclusión social y el equilibrio entre las fuerzas del entorno son cada vez más relevantes para el mercadeo estratégico orientado a la sostenibilidad.</t>
  </si>
  <si>
    <t>Plantea soluciones a problemas relacionados con el consumo responsable y la sostenibilidad del mercado a partir del uso de nuevos paradigmas y fundamentos del marketing hacia la mejor gestión de las organizaciones.</t>
  </si>
  <si>
    <t>Paradigma del marketing moderno a partir de la investigación. Mercadeo Estratégico. Sostenibilidad en el mercadeo. Consumo Responsable. Investigación de mercados.</t>
  </si>
  <si>
    <t>50% Working Paper - Individual o en Parejas (15 referencias académicas por integrante). 25% Tipificación de Artículos (antes del módulo). 25% Exposición de artículo de literatura académica en una sesión.</t>
  </si>
  <si>
    <t>Amado, A., Cortez, P., Rita, P. &amp; Moro, S. (2018). Research trends on Big Data in Marketing. European Research on Management and Business Economics, 24(1), 1-7. https://doi.org/10.1016/j.iedeen.2017.06.002
De Haan, E., Wiesel, T. &amp; Pauwels, K. (2015). The effectiveness of different forms of online advertising. International Journal of Research in Marketing, 33(3), 491-507. https://doi.org/10.1016/j.ijresmar.2015.12.001</t>
  </si>
  <si>
    <t>Cacciolatti, L. &amp; Lee, S. H. (2016). Revisiting the relationship between marketing capabilities and firm performance. Journal of Business Research, 69(12), 5597-5610. https://doi.org/10.1016/j.jbusres.2016.03.067
Daud, S. &amp; Asha'ari, M. J. (2018). Sustainable Marketing and Corporate Sustainability Performance. Global Business and Management Research, 10(8), 919-929.</t>
  </si>
  <si>
    <t>ADA01239</t>
  </si>
  <si>
    <t>El estudio de las relaciones económicas contemporáneas es un componente esencial para la comprensión de la situación actual de nuestras sociedades, así como para la formulación de estrategias de desarrollo sostenible.</t>
  </si>
  <si>
    <t>Identifica los principales desafíos que enfrenta la economía contemporánea para el logro de un espacio seguro en la sociedad y con la humanidad.</t>
  </si>
  <si>
    <t>La economía en el marco de las restricciones ecológicas. Un espacio seguro para la humanidad. Perspectivas de análisis: economía tradicional, economía ambiental, economía ecológica, ecología industrial, economía de la sostenibilidad. Fundamentos y principales debates en microeconomía.</t>
  </si>
  <si>
    <t>Participación en foros: 20%. Ejercicios: 30%. Trabajo final: 30%. Presentación final: 20%.</t>
  </si>
  <si>
    <t>Bernal, R. &amp; Peña, X. (2011). Guía Práctica de Evaluación de impacto. Universidad de los Andes.
Cárdenas, J. C. (2010). Dilemas de lo colectivo. Universidad de los Andes, Ediciones Uniandes.
Costanza, R. et al. (2014). An introduction to ecological economics (2nd ed.). CRC Press.</t>
  </si>
  <si>
    <t>Sachs, J. (2016). La era del desarrollo sostenible. Paidós Empresa.
Tirole, J. (2017). La economía del bien común. Penguin Random House Grupo Editorial.</t>
  </si>
  <si>
    <t>ADA01240</t>
  </si>
  <si>
    <t>En esta unidad de estudios el estudiante aprenderá el modelo de producción y consumo que implica compartir, alquilar, reutilizar, reparar, renovar y reciclar materiales y productos existentes el mayor tiempo posible.</t>
  </si>
  <si>
    <t>Conceptualiza el desarrollo sostenible a partir del análisis de modelos alternativos que promueven una visión desde lo local, empresarial y de comercio internacional.</t>
  </si>
  <si>
    <t>Sostenibilidad: Oportunidades y estrategias para la industria. Planificación e implementación de sistemas de infraestructura sostenible. Análisis del ciclo de vida: Método para evaluar las cargas ambientales. Modelo de economía circular. Aplicaciones de la economía circular.</t>
  </si>
  <si>
    <t>Cárdenas, J. C. (2010). Dilemas de lo colectivo. Universidad de los Andes, Ediciones Uniandes.
Costanza, R. et al. (2014). An introduction to ecological economics (2nd ed.). CRC Press.
Daly, H. &amp; Farley, J. (2004). Ecological economics: principles and applications. Island Press.</t>
  </si>
  <si>
    <t>Bernal, R. &amp; Peña, X. (2011). Guía Práctica de Evaluación de impacto. Universidad de los Andes.
Sachs, J. (2016). La era del desarrollo sostenible. Paidós Empresa.
Tirole, J. (2017). La economía del bien común. Penguin Random House Grupo Editorial.</t>
  </si>
  <si>
    <t>ADA01241</t>
  </si>
  <si>
    <t>El curso de Gobernanza Territorial busca dotar al estudiante de elementos que le permitan entender la importancia de los territorios, sus instituciones y los diferentes actores involucrados en los procesos de gobierno y gobernanza.</t>
  </si>
  <si>
    <t>Determina parámetros en la gestión de espacio y territorio con base en la normatividad y leyes pertinentes a las realidades del gobierno y gobernanza territorial que propendan en mejores resultados gubernamentales.</t>
  </si>
  <si>
    <t>Espacio y territorio. Territorio y territorialidades. Gobierno y gobernanza. Gobernanza territorial. Realidades de la gobernanza territorial.</t>
  </si>
  <si>
    <t>Participación en foros: 20%. Trabajo final: 40%. Presentación final: 40%.</t>
  </si>
  <si>
    <t>Bahl, R. (2013). The decentralization of governance in metropolitan areas. In Financing metropolitan governments in developing countries. Lincoln Institute of Land Policy. https://www.lincolninst.edu
Berdegué, J. A. &amp; Modrego Benito, F. (2016). Los dilemas territoriales del desarrollo en América Latina. Universidad de los Andes. https://elibro-net.bdbiblioteca.universidadean.edu.co</t>
  </si>
  <si>
    <t>Borda, O. F. (1973). Reflexiones sobre la aplicación del método de estudio-acción en Colombia. Revista Mexicana de Sociología.
Borda, O. F. (2001). Cuarenta años de la sociología en Colombia. Revista Colombiana de Sociología, 6(1), 7-15.
Cenizal, C. (2015). Governing the metropolis. Massachusetts Institute of Technology.</t>
  </si>
  <si>
    <t>ADA01242</t>
  </si>
  <si>
    <t>En los últimos siglos, las ciencias han estado sujetas al desarrollo de la ciencia clásica, cuya comprensión responde a una condición histórica. Esta unidad aborda el pensamiento sistémico, complejo y holístico para la comprensión de fenómenos no lineales en organizaciones y territorios.</t>
  </si>
  <si>
    <t>Aplica procesos de generación de nuevo conocimiento a problemas no lineales y de complejidad a partir de la aplicación de técnicas de administración, filosofía, sociología, ecología y otras disciplinas que coadyuven a la sostenibilidad de las organizaciones.</t>
  </si>
  <si>
    <t>Pensamiento sistémico, pensamiento complejo y ciencias de la complejidad. Fundamentos de la ciencia holística de la vida. Noción del 'fenómeno de la vida'. Enfoque enactivo sobre la vida y la cognición. Fenómenos no-lineales y complejidad de las organizaciones y los territorios. Administración y complejidad.</t>
  </si>
  <si>
    <t>Participación en foros: 20%. Desarrollo de actividades: 20%. Trabajo final: 20%. Presentación final: 40%.</t>
  </si>
  <si>
    <t>Andrade, G. I. et al. (eds.) (2018). Transiciones socioecológicas hacia la sostenibilidad. Instituto Humboldt. http://repository.humboldt.org.co/handle/20.500.11761/35145
Bialakowsky, A., Arnold-Cathalifaud, M., Martins, P. &amp; Coronado, J. (2018). Diálogos sobre el conocimiento, la complejidad, el desarrollo y la geopolítica.</t>
  </si>
  <si>
    <t>Prigogine, I. &amp; Nicolis, G. (1994). La estructura de lo complejo. Alianza Universidad.
Tapia, C., Villa, C. M. &amp; Hernández, A. M. (eds.) (2015). Biodiversidad y Bienestar. Instituto Humboldt. http://repository.humboldt.org.co
Vidal, J. P. (2015). Autopoiesis, autoorganización y cierre operativo en las organizaciones.</t>
  </si>
  <si>
    <t>ADA01243</t>
  </si>
  <si>
    <t>El curso busca que el estudiante comprenda las diferentes herramientas con las que cuentan los territorios para responder de manera eficiente a las necesidades y preferencias de sus ciudadanos, con un enfoque de sostenibilidad e inteligencia territorial.</t>
  </si>
  <si>
    <t>Plantea opciones de respuestas de gestión efectiva a situaciones problémicas a través del uso de instrumentos y herramientas de información disponibles para el mejoramiento de la comunidad.</t>
  </si>
  <si>
    <t>Conceptualización de territorios funcionales. Conceptualización de los territorios inteligentes. Territorios inteligentes, información y economía. Organización y resiliencia territorial.</t>
  </si>
  <si>
    <t>Berdegué, J. J. (2011). Territorios funcionales en Chile. Documento de Trabajo N102. Rimisp.
Blowers, A. (1993). Planning for a Sustainable Environment. Earthscan.
Castro Castro, L. J. (2018). La planeación sostenible de ciudades. FCE. https://elibro-net.bdbiblioteca.universidadean.edu.co
Comisión Europea (2011). Ciudades del mañana.</t>
  </si>
  <si>
    <t>Clerici, N. &amp; Naranjo, L. (2017). En diálogo con la tierra: por una Colombia sostenible. Universidad del Rosario. https://elibro-net.bdbiblioteca.universidadean.edu.co
Moreno Pérez, M. &amp; Martínez Cerna, L. (2016). Desafíos para el desarrollo. RIL editores.
Oliva Serrano, J. (2018). Movilidades, trayectorias vitales y sostenibilidad rural.</t>
  </si>
  <si>
    <t>ADA01244</t>
  </si>
  <si>
    <t>La unidad de estudios Seminario de Investigación I tiene como propósito orientar a los doctorandos respecto a la normatividad de lineamientos para la construcción del proyecto de investigación doctoral.</t>
  </si>
  <si>
    <t>Diseña un proyecto de investigación aplicando el método científico y/o modelos pertinentes para resolver una problemática desde una perspectiva transdisciplinar, de las organizaciones en un entorno de desarrollo sostenible.</t>
  </si>
  <si>
    <t>Lineamientos de funcionamiento de doctorados en la Universidad EAN. Grupos y líneas de investigación en la Universidad EAN. Manejo de bases de datos en la biblioteca virtual. Enfoques de investigación. Planteamiento de problema de investigación.</t>
  </si>
  <si>
    <t>30% Evaluación de exposición oral, debates, argumentación y talleres. 35% Primer avance de investigación. 35% Informe final de investigación con planteamiento del problema.</t>
  </si>
  <si>
    <t>ADA01245</t>
  </si>
  <si>
    <t>La unidad de estudios Seminario de Investigación II tiene como propósito orientar al estudiante en la construcción de la revisión de la literatura del anteproyecto de tesis doctoral, articulando planteamiento del problema y marco teórico.</t>
  </si>
  <si>
    <t>Sustenta el marco teórico de un proyecto de investigación aplicando el método científico y/o modelos pertinentes para resolver una problemática desde una perspectiva transdisciplinar, de las organizaciones en un entorno de desarrollo sostenible.</t>
  </si>
  <si>
    <t>Lineamientos de funcionamiento de doctorados en la Universidad EAN. Grupos y líneas de investigación. Manejo de bases de datos. Enfoques de investigación. Planteamiento de problema de investigación. Articulación entre planteamiento del problema y marco teórico.</t>
  </si>
  <si>
    <t>30% Evaluación de exposición oral, debates, argumentación, talleres. 35% Primer avance de investigación y aproximación a gestores bibliográficos. 35% Informe final con marco teórico y análisis de datos cualitativos.</t>
  </si>
  <si>
    <t>ADA01246</t>
  </si>
  <si>
    <t>La investigación como un proceso de generación de conocimiento se convierte en una de las herramientas más importantes para el desarrollo gerencial y para el avance científico en el campo de la administración para la sostenibilidad.</t>
  </si>
  <si>
    <t>Desarrollar las habilidades necesarias para llevar a cabo procesos rigurosos y metódicos de investigación aplicada a la administración para la sostenibilidad y con ello comprender realidades particulares de cada organización.</t>
  </si>
  <si>
    <t>Las ciencias de la gestión y su investigación. Discusión sobre tipologías de investigación y de artículos científicos. Extrapolación de tipologías de presentación y estructuración de artículos científicos. Aproximación al marco teórico. Revisión y consulta de la literatura.</t>
  </si>
  <si>
    <t>Participación en clase: 20%. Presentación del trabajo final: 50%. Elaboración de revisiones de literatura: 30%.</t>
  </si>
  <si>
    <t>ADP01750</t>
  </si>
  <si>
    <t>El desarrollo de una tesis doctoral busca generar una contribución única y original en un campo específico del conocimiento, para lo cual es necesario que el investigador aplique de forma rigurosa el método científico y las herramientas de investigación adquiridas.</t>
  </si>
  <si>
    <t>Diseña propuesta investigativa laboriosa y práctica mediante la aplicación sucinta del conocimiento y herramientas de investigación adquiridos para alcanzar impactar a las regiones y comunidad académica.</t>
  </si>
  <si>
    <t>Diseño de la investigación. Revisión de literatura. Elaboración de instrumento de investigación. Recopilación de información. Análisis de información. Escritura de tesis. Sustentación de tesis doctoral.</t>
  </si>
  <si>
    <t>100% Presentación y sustentación de la tesis doctoral.</t>
  </si>
  <si>
    <t>ADA01248</t>
  </si>
  <si>
    <t>Las organizaciones altamente eficientes deben poseer sistemas de información fiables que suministran información de alta calidad. Esta unidad dota al estudiante de herramientas estadísticas para la toma de decisiones en organizaciones y territorios.</t>
  </si>
  <si>
    <t>Interpreta procedimientos estadísticos que permiten tomar decisiones y dar soluciones a problemas específicos en las regiones.</t>
  </si>
  <si>
    <t>Análisis Descriptivo. Análisis de datos univariado. Inferencia y Pruebas de hipótesis estadísticas. Modelamiento estadístico. Análisis de Regresión. Análisis de datos multivariados. Casos prácticos.</t>
  </si>
  <si>
    <t>20% talleres desarrollados en clase. 80% avances parciales y entrega final del proyecto de investigación aplicado.</t>
  </si>
  <si>
    <t>Base de datos, Material bibliográfico, Plataforma virtual, Software especializados</t>
  </si>
  <si>
    <t>Hoerl, R. &amp; Snee, R. (2012). Statistical Thinking: Improving Business Performance. Wiley &amp; Sons.
Diawara, N. (2019). Modern Statistical Methods for Spatial and Multivariate Data.
Rossiter, D. G. (2010). Tutorial: An example of statistical data analysis. Universiteit Twente.
Jurečková, J., Picek, J. &amp; Schindler, M. (2019). Robust Statistical Methods with R (2nd ed.).
Peña, D. (2008). Análisis de Datos Multivariantes. McGraw Hill.
Canavos, G. (2007). Probabilidad y Estadística.</t>
  </si>
  <si>
    <t>Meyers, L. S., Gamst, G. C. &amp; Guarino, A. (2005). Applied multivariate research. Sage.
Johnson, D. E. (1999). Métodos Multivariados Aplicados al análisis de datos. Thomson Paraninfo.
Mosteller, D. E. &amp; Tukey, J. W. (1977). Data Analysis and Regression. Addison-Wesley.</t>
  </si>
  <si>
    <t>ADA01249</t>
  </si>
  <si>
    <t>La investigación como un proceso de generación de conocimiento es la base del desarrollo de una tesis doctoral. El Coloquio Doctoral es el espacio de discusión colectiva en el que los doctorandos presentan y debaten los avances de sus investigaciones.</t>
  </si>
  <si>
    <t>Debate los avances de la tesis doctoral propia y de los otros participantes del coloquio, para la generación de oportunidades de mejora y la validación de la aplicación del método científico y los hallazgos de la investigación, con un enfoque integrador.</t>
  </si>
  <si>
    <t>Presentación de normativa institucional sobre la tesis doctoral. Presentación de versión preliminar de la tesis doctoral ante el grupo en general. Presentación sobre estilo de redacción y normas APA. Presentación de avances e incorporación de recomendaciones.</t>
  </si>
  <si>
    <t>ADA01250</t>
  </si>
  <si>
    <t>Las tendencias del entorno y los cambios sociales han afectado de manera rotunda las ciencias de la administración y la economía. Esta unidad aborda la estrategia y la prospectiva como herramientas para la toma de decisiones en organizaciones sostenibles.</t>
  </si>
  <si>
    <t>Propone planes y estrategias con visión prospectiva para la mejor toma de decisiones que permitan alcanzar resultados efectivos en las organizaciones.</t>
  </si>
  <si>
    <t>La estrategia implícita y explícita en la práctica gerencial vs los resultados empresariales. El pensamiento estratégico y la gestión de inteligencia competitiva. Herramientas de diagnóstico del Modelo MMGO.</t>
  </si>
  <si>
    <t>Primer ensayo: 10%. Conversatorio sobre la evolución del concepto de estrategia: 10%. Desarrollo, presentación y debate sobre caso: 10%. Análisis y discusión de análisis estratégicos: 20%. Presentación de tipos de Estrategias: 20%.</t>
  </si>
  <si>
    <t>Amaya P., P. J. (S/A). Colombia un país por construir. Universidad Nacional de Colombia. Documento Destino Colombia. http://www.scribd.com/doc/6288666/Destino-Colombia-Spanish
Bryant, B. P. &amp; Lempert, R. J. (2010). Thinking inside the box. Technological Forecasting and Social Change, 77(1), 34-49.</t>
  </si>
  <si>
    <t>Prospectiva tecnológica: avances tecnológicos e innovación tecnológica. www.youtube.com/watch?v=A6lQQxVttz8
Resumen Destino Colombia. http://www.generonconsulting.com/publications/papers/pdfs/EscenariosDestinoColombia.pdf
Secretaría de Infraestructura, Gobernación de Antioquia (2014). Plan Escenarios 2030.</t>
  </si>
  <si>
    <t>ADPN0010</t>
  </si>
  <si>
    <t>La validación de hipótesis y su posterior uso en la generación de nueva teoría alrededor del ejercicio gerencial es uno de los objetivos fundamentales de los programas doctorales. Esta unidad desarrolla la investigación cuantitativa con software especializado.</t>
  </si>
  <si>
    <t>Desarrolla la investigación desde una perspectiva cuantitativa, con el uso de herramientas metodológicas y software especializado para la interpretación y análisis de datos estadísticos levantados a partir de la investigación de campo.</t>
  </si>
  <si>
    <t>Determinación de la población objeto de estudio y determinación de la muestra. Métodos para la selección de la muestra. Elaboración de instrumentos de medición. Determinación de las escalas de medición.</t>
  </si>
  <si>
    <t>Participación en clase: 20%. Presentaciones de artículos: 20%. Elaboración de ensayos: 30%. Elaboración de revisiones de literatura: 30%.</t>
  </si>
  <si>
    <t>Base de datos, Material bibliográfico, Plataforma virtual, Excel, SPSS, Eviews</t>
  </si>
  <si>
    <t>FORMATO</t>
  </si>
  <si>
    <t>Versión:  1</t>
  </si>
  <si>
    <t>Menu principal</t>
  </si>
  <si>
    <t>Código: IAC-201-f1</t>
  </si>
  <si>
    <t xml:space="preserve">SYLLABUS </t>
  </si>
  <si>
    <r>
      <t xml:space="preserve">Fecha: </t>
    </r>
    <r>
      <rPr>
        <b/>
        <sz val="10"/>
        <rFont val="Arial Narrow"/>
        <family val="2"/>
      </rPr>
      <t>17/Feb/2026</t>
    </r>
  </si>
  <si>
    <t>1.	Información General de la Unidad de Estudio</t>
  </si>
  <si>
    <t>Código Plan de estudios</t>
  </si>
  <si>
    <t>Código Unidad de Estudio</t>
  </si>
  <si>
    <t>Tipo Unidad de estudio</t>
  </si>
  <si>
    <t>x</t>
  </si>
  <si>
    <t>Virtual</t>
  </si>
  <si>
    <t>Presencial y Virtual</t>
  </si>
  <si>
    <t xml:space="preserve">Nivel </t>
  </si>
  <si>
    <t>Programas</t>
  </si>
  <si>
    <t>Nombre Unidad  de estudios</t>
  </si>
  <si>
    <t>HAD</t>
  </si>
  <si>
    <t>HTA</t>
  </si>
  <si>
    <t>HT</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</si>
  <si>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</si>
  <si>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</si>
  <si>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</si>
  <si>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</si>
  <si>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</si>
  <si>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</si>
  <si>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Ciclo</t>
  </si>
  <si>
    <t>9 Semanas</t>
  </si>
  <si>
    <t>Semestre</t>
  </si>
  <si>
    <t>18 Semanas</t>
  </si>
  <si>
    <t>4.	Esquema de Calificación</t>
  </si>
  <si>
    <r>
      <rPr>
        <b/>
        <sz val="11"/>
        <color theme="1"/>
        <rFont val="Aptos Narrow"/>
        <family val="2"/>
        <scheme val="minor"/>
      </rPr>
      <t>Esquema de Calificación</t>
    </r>
    <r>
      <rPr>
        <sz val="11"/>
        <color theme="1"/>
        <rFont val="Aptos Narrow"/>
        <family val="2"/>
        <scheme val="minor"/>
      </rPr>
      <t>: (Asignación puntajes, notas y ponderación que tienen las actividades desarrolladas en la Unidad de Estudio).</t>
    </r>
  </si>
  <si>
    <t>5. Recursos Tecnológicos (Describir los recursos como software, sala de cómputos, laboratorios)</t>
  </si>
  <si>
    <t>6. Componente de Lengua extranjera</t>
  </si>
  <si>
    <t>Porcentaje</t>
  </si>
  <si>
    <t>7.	Bibliografía Obligatoria y Complementaria.</t>
  </si>
  <si>
    <t>Bibliografía Complementaria</t>
  </si>
  <si>
    <t>8. Control de Cambios</t>
  </si>
  <si>
    <t>Estrategia y Prospectiva Organizacional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</si>
</sst>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name val="Arial"/>
      <family val="2"/>
    </font>
    <font>
      <b/>
      <sz val="11"/>
      <color theme="0"/>
      <name val="Aptos Narrow"/>
      <family val="2"/>
      <scheme val="minor"/>
    </font>
    <font>
      <b/>
      <sz val="11"/>
      <color theme="1"/>
      <name val="Aptos Narrow"/>
      <family val="2"/>
      <scheme val="minor"/>
    </font>
    <font>
      <sz val="10"/>
      <color theme="1"/>
      <name val="Aptos Narrow"/>
      <family val="2"/>
      <scheme val="minor"/>
    </font>
    <font>
      <b/>
      <sz val="10"/>
      <color theme="1"/>
      <name val="Arial Narrow"/>
      <family val="2"/>
    </font>
    <font>
      <b/>
      <sz val="11"/>
      <color rgb="FF3D7357"/>
      <name val="Arial Narrow"/>
      <family val="2"/>
    </font>
    <font>
      <b/>
      <sz val="10"/>
      <name val="Arial Narrow"/>
      <family val="2"/>
    </font>
    <font>
      <u/>
      <sz val="11"/>
      <color theme="10"/>
      <name val="Aptos Narrow"/>
      <family val="2"/>
      <scheme val="minor"/>
    </font>
    <font>
      <sz val="11"/>
      <color indexed="8"/>
      <name val="Aptos Narrow"/>
      <family val="2"/>
      <scheme val="minor"/>
    </font>
    <font>
      <b/>
      <sz val="20"/>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61">
    <border>
      <left/>
      <right/>
      <top/>
      <bottom/>
      <diagonal/>
    </border>
    <border>
      <left/>
      <right/>
      <top/>
      <bottom style="double">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tted">
        <color auto="1"/>
      </left>
      <right style="double">
        <color auto="1"/>
      </right>
      <top style="dashed">
        <color auto="1"/>
      </top>
      <bottom style="double">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double">
        <color auto="1"/>
      </left>
      <right style="dashed">
        <color auto="1"/>
      </right>
      <top style="double">
        <color auto="1"/>
      </top>
      <bottom style="dashed">
        <color auto="1"/>
      </bottom>
      <diagonal/>
    </border>
    <border>
      <left style="double">
        <color auto="1"/>
      </left>
      <right style="dashed">
        <color auto="1"/>
      </right>
      <top style="dashed">
        <color auto="1"/>
      </top>
      <bottom/>
      <diagonal/>
    </border>
    <border>
      <left style="dashed">
        <color auto="1"/>
      </left>
      <right style="dashed">
        <color auto="1"/>
      </right>
      <top style="double">
        <color auto="1"/>
      </top>
      <bottom style="dashed">
        <color auto="1"/>
      </bottom>
      <diagonal/>
    </border>
    <border>
      <left style="dashed">
        <color auto="1"/>
      </left>
      <right style="dashed">
        <color auto="1"/>
      </right>
      <top style="dashed">
        <color auto="1"/>
      </top>
      <bottom/>
      <diagonal/>
    </border>
    <border>
      <left style="double">
        <color auto="1"/>
      </left>
      <right/>
      <top style="dashed">
        <color auto="1"/>
      </top>
      <bottom style="double">
        <color auto="1"/>
      </bottom>
      <diagonal/>
    </border>
    <border>
      <left/>
      <right/>
      <top style="dashed">
        <color auto="1"/>
      </top>
      <bottom style="double">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auto="1"/>
      </top>
      <bottom/>
      <diagonal/>
    </border>
    <border>
      <left/>
      <right/>
      <top/>
      <bottom style="medium">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diagonal/>
    </border>
  </borders>
  <cellStyleXfs count="3">
    <xf numFmtId="0" fontId="0" fillId="0" borderId="0"/>
    <xf numFmtId="9" fontId="11" fillId="0" borderId="0" applyFont="0" applyFill="0" applyBorder="0" applyAlignment="0" applyProtection="0"/>
    <xf numFmtId="0" fontId="8" fillId="0" borderId="0" applyNumberFormat="0" applyFill="0" applyBorder="0" applyAlignment="0" applyProtection="0"/>
  </cellStyleXfs>
  <cellXfs count="146">
    <xf numFmtId="0" fontId="0" fillId="0" borderId="0" xfId="0"/>
    <xf numFmtId="0" fontId="3" fillId="0" borderId="7" xfId="0" applyFont="1" applyBorder="1" applyAlignment="1">
      <alignment horizontal="center"/>
    </xf>
    <xf numFmtId="0" fontId="1" fillId="0" borderId="0" xfId="0" applyFont="1" applyAlignment="1">
      <alignment vertical="top" wrapText="1"/>
    </xf>
    <xf numFmtId="9" fontId="1" fillId="0" borderId="0" xfId="1" applyFont="1" applyAlignment="1">
      <alignment vertical="top" wrapText="1"/>
    </xf>
    <xf numFmtId="0" fontId="0" fillId="2" borderId="0" xfId="0" applyFill="1"/>
    <xf numFmtId="0" fontId="0" fillId="2" borderId="1" xfId="0" applyFill="1" applyBorder="1"/>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7" xfId="0" applyBorder="1" applyAlignment="1">
      <alignment horizontal="center" vertical="center"/>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3" fillId="2" borderId="6"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9" xfId="0" applyBorder="1" applyAlignment="1">
      <alignment horizontal="center" vertical="center"/>
    </xf>
    <xf numFmtId="0" fontId="3" fillId="0" borderId="9" xfId="0" applyFont="1" applyBorder="1" applyAlignment="1">
      <alignment horizontal="center" vertical="center" wrapText="1"/>
    </xf>
    <xf numFmtId="0" fontId="0" fillId="0" borderId="10" xfId="0" applyBorder="1" applyAlignment="1">
      <alignment horizontal="center" vertical="center"/>
    </xf>
    <xf numFmtId="0" fontId="3" fillId="2" borderId="5" xfId="0" applyFont="1" applyFill="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xf>
    <xf numFmtId="0" fontId="0" fillId="0" borderId="7" xfId="0" applyBorder="1" applyAlignment="1">
      <alignment horizontal="center" vertical="center" wrapText="1"/>
    </xf>
    <xf numFmtId="9" fontId="0" fillId="0" borderId="12" xfId="1" applyFont="1" applyBorder="1"/>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4" fontId="0" fillId="0" borderId="7" xfId="0" applyNumberFormat="1" applyBorder="1" applyAlignment="1">
      <alignment horizontal="center" vertical="center" wrapText="1"/>
    </xf>
    <xf numFmtId="0" fontId="0" fillId="0" borderId="13" xfId="0" applyBorder="1" applyAlignment="1">
      <alignment horizontal="center" vertical="center"/>
    </xf>
    <xf numFmtId="0" fontId="9" fillId="0" borderId="13" xfId="0" applyFont="1" applyBorder="1" applyAlignment="1">
      <alignment horizontal="center" vertical="center"/>
    </xf>
    <xf numFmtId="0" fontId="3" fillId="0" borderId="0" xfId="0" applyFont="1"/>
    <xf numFmtId="0" fontId="10" fillId="0" borderId="0" xfId="0" applyFont="1"/>
    <xf numFmtId="0" fontId="8" fillId="2" borderId="0" xfId="2" applyFill="1" applyAlignment="1">
      <alignment horizontal="center" vertical="center"/>
    </xf>
    <xf numFmtId="0" fontId="8" fillId="0" borderId="0" xfId="2"/>
    <xf numFmtId="0" fontId="0" fillId="0" borderId="0" xfId="0" applyAlignment="1">
      <alignment horizontal="center"/>
    </xf>
    <xf numFmtId="0" fontId="3" fillId="0" borderId="0" xfId="0" applyFont="1" applyAlignment="1">
      <alignment horizontal="center"/>
    </xf>
    <xf numFmtId="0" fontId="0" fillId="0" borderId="14" xfId="0" applyBorder="1"/>
    <xf numFmtId="0" fontId="0" fillId="0" borderId="14" xfId="0" applyBorder="1" applyAlignment="1">
      <alignment horizontal="center"/>
    </xf>
    <xf numFmtId="0" fontId="2" fillId="3" borderId="0" xfId="0" applyFont="1" applyFill="1"/>
    <xf numFmtId="0" fontId="2" fillId="3" borderId="0" xfId="0" applyFont="1" applyFill="1" applyAlignment="1">
      <alignment horizontal="center"/>
    </xf>
    <xf numFmtId="14" fontId="1" fillId="0" borderId="0" xfId="0" applyNumberFormat="1" applyFont="1" applyAlignment="1">
      <alignment vertical="top"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3" fillId="0" borderId="7" xfId="0" applyFont="1" applyBorder="1" applyAlignment="1">
      <alignment horizontal="center"/>
    </xf>
    <xf numFmtId="0" fontId="3" fillId="0" borderId="33" xfId="0" applyFont="1" applyBorder="1" applyAlignment="1">
      <alignment horizontal="center"/>
    </xf>
    <xf numFmtId="0" fontId="0" fillId="0" borderId="7" xfId="0" applyBorder="1" applyAlignment="1">
      <alignment horizontal="left" vertical="center" wrapText="1"/>
    </xf>
    <xf numFmtId="0" fontId="0" fillId="0" borderId="33" xfId="0" applyBorder="1" applyAlignment="1">
      <alignment horizontal="left" vertical="center" wrapText="1"/>
    </xf>
    <xf numFmtId="0" fontId="3" fillId="0" borderId="5" xfId="0" applyFont="1" applyBorder="1" applyAlignment="1">
      <alignment horizontal="center"/>
    </xf>
    <xf numFmtId="0" fontId="3" fillId="0" borderId="24" xfId="0" applyFont="1" applyBorder="1" applyAlignment="1">
      <alignment horizontal="center"/>
    </xf>
    <xf numFmtId="0" fontId="3" fillId="0" borderId="13"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0" fillId="0" borderId="57" xfId="0" applyBorder="1" applyAlignment="1">
      <alignment horizontal="center" vertical="top" wrapText="1"/>
    </xf>
    <xf numFmtId="0" fontId="0" fillId="0" borderId="58" xfId="0" applyBorder="1" applyAlignment="1">
      <alignment horizontal="center" vertical="top" wrapText="1"/>
    </xf>
    <xf numFmtId="0" fontId="0" fillId="0" borderId="59" xfId="0" applyBorder="1" applyAlignment="1">
      <alignment horizontal="center" vertical="top" wrapText="1"/>
    </xf>
    <xf numFmtId="0" fontId="0" fillId="0" borderId="27" xfId="0" applyBorder="1" applyAlignment="1">
      <alignment horizontal="center" vertical="top" wrapText="1"/>
    </xf>
    <xf numFmtId="0" fontId="0" fillId="0" borderId="0" xfId="0" applyAlignment="1">
      <alignment horizontal="center" vertical="top" wrapText="1"/>
    </xf>
    <xf numFmtId="0" fontId="0" fillId="0" borderId="28" xfId="0" applyBorder="1" applyAlignment="1">
      <alignment horizontal="center" vertical="top" wrapText="1"/>
    </xf>
    <xf numFmtId="0" fontId="0" fillId="0" borderId="27" xfId="0"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3" fillId="0" borderId="44" xfId="0" applyFont="1" applyBorder="1" applyAlignment="1">
      <alignment horizontal="center" vertical="top" wrapText="1"/>
    </xf>
    <xf numFmtId="0" fontId="3" fillId="0" borderId="45" xfId="0" applyFont="1" applyBorder="1" applyAlignment="1">
      <alignment horizontal="center" vertical="top" wrapText="1"/>
    </xf>
    <xf numFmtId="0" fontId="3" fillId="0" borderId="54" xfId="0" applyFont="1" applyBorder="1" applyAlignment="1">
      <alignment horizontal="center" vertical="top" wrapText="1"/>
    </xf>
    <xf numFmtId="0" fontId="0" fillId="0" borderId="55"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3" fillId="0" borderId="56" xfId="0" applyFont="1" applyBorder="1" applyAlignment="1">
      <alignment horizontal="center" vertical="center"/>
    </xf>
    <xf numFmtId="0" fontId="3" fillId="0" borderId="11" xfId="0" applyFont="1" applyBorder="1" applyAlignment="1">
      <alignment horizontal="center" vertical="center"/>
    </xf>
    <xf numFmtId="0" fontId="0" fillId="0" borderId="11" xfId="0" applyBorder="1" applyAlignment="1">
      <alignment horizontal="center"/>
    </xf>
    <xf numFmtId="0" fontId="3" fillId="0" borderId="25" xfId="0" applyFont="1" applyBorder="1" applyAlignment="1">
      <alignment horizontal="center" vertical="top" wrapText="1"/>
    </xf>
    <xf numFmtId="0" fontId="3" fillId="0" borderId="31" xfId="0" applyFont="1" applyBorder="1" applyAlignment="1">
      <alignment horizontal="center" vertical="top" wrapText="1"/>
    </xf>
    <xf numFmtId="0" fontId="3" fillId="0" borderId="60" xfId="0" applyFont="1" applyBorder="1" applyAlignment="1">
      <alignment horizontal="center"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0" fillId="0" borderId="49" xfId="0" applyBorder="1" applyAlignment="1">
      <alignment horizontal="left" vertical="top" wrapText="1"/>
    </xf>
    <xf numFmtId="0" fontId="0" fillId="0" borderId="29" xfId="0" applyBorder="1" applyAlignment="1">
      <alignment horizontal="left" vertical="top" wrapText="1"/>
    </xf>
    <xf numFmtId="0" fontId="0" fillId="0" borderId="32" xfId="0" applyBorder="1" applyAlignment="1">
      <alignment horizontal="left" vertical="top" wrapText="1"/>
    </xf>
    <xf numFmtId="0" fontId="0" fillId="0" borderId="50" xfId="0" applyBorder="1" applyAlignment="1">
      <alignment horizontal="left" vertical="top"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3" fillId="0" borderId="25" xfId="0" applyFont="1" applyBorder="1" applyAlignment="1">
      <alignment horizontal="center" vertical="top"/>
    </xf>
    <xf numFmtId="0" fontId="3" fillId="0" borderId="31" xfId="0" applyFont="1" applyBorder="1" applyAlignment="1">
      <alignment horizontal="center" vertical="top"/>
    </xf>
    <xf numFmtId="0" fontId="3" fillId="0" borderId="26" xfId="0" applyFont="1" applyBorder="1" applyAlignment="1">
      <alignment horizontal="center" vertical="top"/>
    </xf>
    <xf numFmtId="0" fontId="3" fillId="0" borderId="27" xfId="0" applyFont="1" applyBorder="1" applyAlignment="1">
      <alignment horizontal="center" vertical="top"/>
    </xf>
    <xf numFmtId="0" fontId="3" fillId="0" borderId="0" xfId="0" applyFont="1" applyAlignment="1">
      <alignment horizontal="center" vertical="top"/>
    </xf>
    <xf numFmtId="0" fontId="3" fillId="0" borderId="28" xfId="0" applyFont="1" applyBorder="1" applyAlignment="1">
      <alignment horizontal="center" vertical="top"/>
    </xf>
    <xf numFmtId="0" fontId="3" fillId="0" borderId="29" xfId="0" applyFont="1" applyBorder="1" applyAlignment="1">
      <alignment horizontal="center" vertical="top"/>
    </xf>
    <xf numFmtId="0" fontId="3" fillId="0" borderId="32" xfId="0" applyFont="1" applyBorder="1" applyAlignment="1">
      <alignment horizontal="center" vertical="top"/>
    </xf>
    <xf numFmtId="0" fontId="3" fillId="0" borderId="30" xfId="0" applyFont="1" applyBorder="1" applyAlignment="1">
      <alignment horizontal="center" vertical="top"/>
    </xf>
    <xf numFmtId="0" fontId="3" fillId="2" borderId="25"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0" xfId="0" applyFont="1" applyFill="1" applyAlignment="1">
      <alignment horizontal="center" vertical="center"/>
    </xf>
    <xf numFmtId="0" fontId="3" fillId="2" borderId="28"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30" xfId="0" applyFont="1" applyFill="1" applyBorder="1" applyAlignment="1">
      <alignment horizontal="center" vertical="center"/>
    </xf>
    <xf numFmtId="0" fontId="0" fillId="0" borderId="7" xfId="0" applyBorder="1" applyAlignment="1">
      <alignment horizontal="center" vertical="center" wrapText="1"/>
    </xf>
    <xf numFmtId="0" fontId="0" fillId="0" borderId="33" xfId="0" applyBorder="1" applyAlignment="1">
      <alignment horizontal="center" vertical="center" wrapText="1"/>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0" fillId="0" borderId="15" xfId="0" applyBorder="1" applyAlignment="1">
      <alignment horizontal="center" vertical="center" wrapText="1"/>
    </xf>
    <xf numFmtId="0" fontId="0" fillId="0" borderId="36" xfId="0" applyBorder="1" applyAlignment="1">
      <alignment horizontal="center" vertical="center" wrapText="1"/>
    </xf>
    <xf numFmtId="0" fontId="0" fillId="0" borderId="16" xfId="0" applyBorder="1" applyAlignment="1">
      <alignment horizontal="center"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6" xfId="0" applyBorder="1" applyAlignment="1">
      <alignment horizontal="center" vertical="center" wrapText="1"/>
    </xf>
    <xf numFmtId="0" fontId="0" fillId="0" borderId="42" xfId="0" applyBorder="1" applyAlignment="1">
      <alignment horizontal="center" vertical="center" wrapText="1"/>
    </xf>
    <xf numFmtId="0" fontId="0" fillId="0" borderId="23" xfId="0" applyBorder="1" applyAlignment="1">
      <alignment horizontal="center" vertical="center" wrapText="1"/>
    </xf>
    <xf numFmtId="0" fontId="0" fillId="0" borderId="43" xfId="0" applyBorder="1" applyAlignment="1">
      <alignment horizontal="center" vertical="center" wrapText="1"/>
    </xf>
    <xf numFmtId="0" fontId="3" fillId="0" borderId="44" xfId="0" applyFont="1" applyBorder="1" applyAlignment="1">
      <alignment horizontal="center" vertical="top"/>
    </xf>
    <xf numFmtId="0" fontId="3" fillId="0" borderId="45" xfId="0" applyFont="1" applyBorder="1" applyAlignment="1">
      <alignment horizontal="center" vertical="top"/>
    </xf>
    <xf numFmtId="0" fontId="3" fillId="0" borderId="46" xfId="0" applyFont="1" applyBorder="1" applyAlignment="1">
      <alignment horizontal="center" vertical="top"/>
    </xf>
    <xf numFmtId="0" fontId="9" fillId="0" borderId="47" xfId="0" applyFont="1" applyBorder="1" applyAlignment="1">
      <alignment horizontal="center" vertical="center"/>
    </xf>
    <xf numFmtId="0" fontId="9" fillId="0" borderId="48" xfId="0" applyFont="1" applyBorder="1" applyAlignment="1">
      <alignment horizontal="center" vertical="center"/>
    </xf>
    <xf numFmtId="0" fontId="9" fillId="2" borderId="47" xfId="0" applyFont="1" applyFill="1" applyBorder="1" applyAlignment="1">
      <alignment horizontal="center" vertical="center"/>
    </xf>
    <xf numFmtId="0" fontId="9" fillId="2" borderId="48" xfId="0" applyFont="1" applyFill="1" applyBorder="1" applyAlignment="1">
      <alignment horizontal="center" vertical="center"/>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7" xfId="0" applyFont="1" applyBorder="1" applyAlignment="1">
      <alignment vertical="center" wrapText="1"/>
    </xf>
    <xf numFmtId="0" fontId="4" fillId="0" borderId="18" xfId="0" applyFont="1" applyBorder="1" applyAlignment="1">
      <alignment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24" xfId="0" applyFont="1" applyBorder="1" applyAlignment="1">
      <alignment horizontal="center" vertical="center"/>
    </xf>
    <xf numFmtId="0" fontId="3" fillId="0" borderId="13" xfId="0" applyFont="1"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2" borderId="47" xfId="0" applyFill="1" applyBorder="1" applyAlignment="1">
      <alignment horizontal="center" vertical="center"/>
    </xf>
    <xf numFmtId="0" fontId="0" fillId="2" borderId="48" xfId="0" applyFill="1" applyBorder="1" applyAlignment="1">
      <alignment horizontal="center" vertical="center"/>
    </xf>
  </cellXfs>
  <cellStyles count="3">
    <cellStyle name="Hipervínculo" xfId="2" builtinId="8"/>
    <cellStyle name="Normal" xfId="0" builtinId="0"/>
    <cellStyle name="Porcentaje" xfId="1" builtinId="5"/>
  </cellStyles>
  <dxfs count="29">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numFmt numFmtId="0" formatCode="General"/>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BD43C68-2AE8-4784-BF5A-CAD877255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36D3606-979B-4A75-B581-F3BBD1185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204AD85-B5A9-44C2-91B0-81287F2BC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1EF00AB-2BAD-4C75-906C-E28D77D51F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D72BCEC-8241-42F2-9BA3-DA79D8032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24A920C-6A20-49B2-A60C-6A05E30AF9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F1112E9-4C7C-45FE-9D46-8D31F076B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984DA50-A90F-47D2-86B2-BAFE0E857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32F4CC1-EFDE-458E-841B-179A8FBD89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D2EBA2B-5BAB-4FAE-AF07-AAE3B58E8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6EE213D-01FE-43AA-A704-6406247CBD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B3952FF-969E-4114-AEFC-E491F9837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97C5955-FCA6-495A-969E-56B7AC647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706A443-1FDF-4479-B0D2-27782C354B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C2644BD-82DF-4C88-8EC3-748298F41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C88CA5F-C38B-4130-916A-3342BF586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FDED9BCB-67B5-43C5-BEF3-7910468513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226434D-42F7-4978-9B18-4DB2E16E9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35D8880-5BB0-4333-89CC-79AB38FC53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5DB24B5-4418-4F3D-80D8-7854DC27AE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A9EE693-CFF2-493A-8C52-A5B833DD1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AB22" totalsRowShown="0" dataDxfId="28">
  <autoFilter ref="A1:AB22" xr:uid="{00000000-0009-0000-0100-000001000000}"/>
  <tableColumns count="28">
    <tableColumn id="1" xr3:uid="{00000000-0010-0000-0000-000001000000}" name="Año" dataDxfId="27"/>
    <tableColumn id="2" xr3:uid="{00000000-0010-0000-0000-000002000000}" name="Código Plan de Estudios" dataDxfId="26"/>
    <tableColumn id="3" xr3:uid="{00000000-0010-0000-0000-000003000000}" name="Código Unidad de Estudios" dataDxfId="25"/>
    <tableColumn id="4" xr3:uid="{00000000-0010-0000-0000-000004000000}" name="Tipo Unidad de Estudios" dataDxfId="24"/>
    <tableColumn id="5" xr3:uid="{00000000-0010-0000-0000-000005000000}" name="Modalidad" dataDxfId="23"/>
    <tableColumn id="6" xr3:uid="{00000000-0010-0000-0000-000006000000}" name="Nivel" dataDxfId="22"/>
    <tableColumn id="7" xr3:uid="{00000000-0010-0000-0000-000007000000}" name="Programa" dataDxfId="21"/>
    <tableColumn id="8" xr3:uid="{00000000-0010-0000-0000-000008000000}" name="Nombre Unidad de Estudios" dataDxfId="20"/>
    <tableColumn id="9" xr3:uid="{00000000-0010-0000-0000-000009000000}" name="Créditos Académicos" dataDxfId="19"/>
    <tableColumn id="10" xr3:uid="{00000000-0010-0000-0000-00000A000000}" name="Horas de Acompañamiento Directo [HAD]" dataDxfId="18"/>
    <tableColumn id="11" xr3:uid="{00000000-0010-0000-0000-00000B000000}" name="Horas de Trabajo Autónomo [HTA]" dataDxfId="17"/>
    <tableColumn id="12" xr3:uid="{00000000-0010-0000-0000-00000C000000}" name="Horas Totales [HT]" dataDxfId="16"/>
    <tableColumn id="13" xr3:uid="{00000000-0010-0000-0000-00000D000000}" name="Descripción de la Unidad de Estudios" dataDxfId="15"/>
    <tableColumn id="14" xr3:uid="{00000000-0010-0000-0000-00000E000000}" name="Resultado de Aprendizaje de la Unidad de Estudios" dataDxfId="14"/>
    <tableColumn id="15" xr3:uid="{00000000-0010-0000-0000-00000F000000}" name="Contenidos Unidad de Estudios" dataDxfId="13"/>
    <tableColumn id="30" xr3:uid="{00000000-0010-0000-0000-00001E000000}" name="Módulo" dataDxfId="12">
      <calculatedColumnFormula array="1">_xlfn.SWITCH(Tabla1[[#This Row],[Créditos Académicos]],2,"4 semanas",3,"6 semanas",24,"2 semestres",1,"1 semana")</calculatedColumnFormula>
    </tableColumn>
    <tableColumn id="16" xr3:uid="{00000000-0010-0000-0000-000010000000}" name="Esquema de Calificación" dataDxfId="11"/>
    <tableColumn id="17" xr3:uid="{00000000-0010-0000-0000-000011000000}" name="Recursos Tecnológicos" dataDxfId="10"/>
    <tableColumn id="18" xr3:uid="{00000000-0010-0000-0000-000012000000}" name="Componente de Lengua Extranjera [Idioma]" dataDxfId="9"/>
    <tableColumn id="19" xr3:uid="{00000000-0010-0000-0000-000013000000}" name="Componente de Lengua Extranjera [%]" dataDxfId="8" dataCellStyle="Porcentaje"/>
    <tableColumn id="20" xr3:uid="{00000000-0010-0000-0000-000014000000}" name="Bibliografía Obligatoria" dataDxfId="7"/>
    <tableColumn id="21" xr3:uid="{00000000-0010-0000-0000-000015000000}" name="Bibliografia Complementaria" dataDxfId="6"/>
    <tableColumn id="22" xr3:uid="{00000000-0010-0000-0000-000016000000}" name="# versión" dataDxfId="5"/>
    <tableColumn id="23" xr3:uid="{00000000-0010-0000-0000-000017000000}" name="Fecha" dataDxfId="4"/>
    <tableColumn id="24" xr3:uid="{00000000-0010-0000-0000-000018000000}" name="Elaboró" dataDxfId="3"/>
    <tableColumn id="25" xr3:uid="{00000000-0010-0000-0000-000019000000}" name="Revisó" dataDxfId="2"/>
    <tableColumn id="26" xr3:uid="{00000000-0010-0000-0000-00001A000000}" name="Aprobó" dataDxfId="1"/>
    <tableColumn id="27" xr3:uid="{00000000-0010-0000-0000-00001B000000}" name="Descripción del cambi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995B-28F0-430B-8223-4DFED069CF04}">
  <dimension ref="B2:D30"/>
  <sheetViews>
    <sheetView workbookViewId="0"/>
  </sheetViews>
  <sheetFormatPr baseColWidth="10" defaultColWidth="11.453125" defaultRowHeight="14.5" x14ac:dyDescent="0.35"/>
  <cols>
    <col min="1" max="1" width="2.81640625" customWidth="1"/>
    <col min="2" max="2" width="47.54296875" customWidth="1"/>
    <col min="3" max="3" width="21.26953125" customWidth="1"/>
  </cols>
  <sheetData>
    <row r="2" spans="2:4" ht="26" x14ac:dyDescent="0.6">
      <c r="B2" s="31" t="s">
        <v>0</v>
      </c>
    </row>
    <row r="4" spans="2:4" x14ac:dyDescent="0.35">
      <c r="B4" s="38" t="s">
        <v>1</v>
      </c>
      <c r="C4" s="39" t="s">
        <v>2</v>
      </c>
      <c r="D4" s="39" t="s">
        <v>3</v>
      </c>
    </row>
    <row r="5" spans="2:4" x14ac:dyDescent="0.35">
      <c r="B5" s="33" t="s">
        <v>4</v>
      </c>
      <c r="C5" s="34" t="str">
        <f>_xlfn.XLOOKUP(B5,Tabla1[Nombre Unidad de Estudios],Tabla1[Código Unidad de Estudios],"",0)</f>
        <v>ADA01247</v>
      </c>
      <c r="D5" s="34">
        <f>_xlfn.XLOOKUP(B5,Tabla1[Nombre Unidad de Estudios],Tabla1[Créditos Académicos],"",0)</f>
        <v>2</v>
      </c>
    </row>
    <row r="6" spans="2:4" x14ac:dyDescent="0.35">
      <c r="B6" s="33" t="s">
        <v>5</v>
      </c>
      <c r="C6" s="34" t="str">
        <f>_xlfn.XLOOKUP(B6,Tabla1[Nombre Unidad de Estudios],Tabla1[Código Unidad de Estudios],"",0)</f>
        <v>ADA01248</v>
      </c>
      <c r="D6" s="34">
        <f>_xlfn.XLOOKUP(B6,Tabla1[Nombre Unidad de Estudios],Tabla1[Créditos Académicos],"",0)</f>
        <v>3</v>
      </c>
    </row>
    <row r="7" spans="2:4" x14ac:dyDescent="0.35">
      <c r="B7" s="33" t="s">
        <v>6</v>
      </c>
      <c r="C7" s="34" t="str">
        <f>_xlfn.XLOOKUP(B7,Tabla1[Nombre Unidad de Estudios],Tabla1[Código Unidad de Estudios],"",0)</f>
        <v>ADA01249</v>
      </c>
      <c r="D7" s="34">
        <f>_xlfn.XLOOKUP(B7,Tabla1[Nombre Unidad de Estudios],Tabla1[Créditos Académicos],"",0)</f>
        <v>1</v>
      </c>
    </row>
    <row r="8" spans="2:4" x14ac:dyDescent="0.35">
      <c r="B8" s="33" t="s">
        <v>7</v>
      </c>
      <c r="C8" s="34" t="str">
        <f>_xlfn.XLOOKUP(B8,Tabla1[Nombre Unidad de Estudios],Tabla1[Código Unidad de Estudios],"",0)</f>
        <v>ADA01240</v>
      </c>
      <c r="D8" s="34">
        <f>_xlfn.XLOOKUP(B8,Tabla1[Nombre Unidad de Estudios],Tabla1[Créditos Académicos],"",0)</f>
        <v>3</v>
      </c>
    </row>
    <row r="9" spans="2:4" x14ac:dyDescent="0.35">
      <c r="B9" s="33" t="s">
        <v>8</v>
      </c>
      <c r="C9" s="34" t="str">
        <f>_xlfn.XLOOKUP(B9,Tabla1[Nombre Unidad de Estudios],Tabla1[Código Unidad de Estudios],"",0)</f>
        <v>ADA01239</v>
      </c>
      <c r="D9" s="34">
        <f>_xlfn.XLOOKUP(B9,Tabla1[Nombre Unidad de Estudios],Tabla1[Créditos Académicos],"",0)</f>
        <v>2</v>
      </c>
    </row>
    <row r="10" spans="2:4" x14ac:dyDescent="0.35">
      <c r="B10" s="33" t="s">
        <v>9</v>
      </c>
      <c r="C10" s="34" t="str">
        <f>_xlfn.XLOOKUP(B10,Tabla1[Nombre Unidad de Estudios],Tabla1[Código Unidad de Estudios],"",0)</f>
        <v>ADA01250</v>
      </c>
      <c r="D10" s="34">
        <f>_xlfn.XLOOKUP(B10,Tabla1[Nombre Unidad de Estudios],Tabla1[Créditos Académicos],"",0)</f>
        <v>3</v>
      </c>
    </row>
    <row r="11" spans="2:4" x14ac:dyDescent="0.35">
      <c r="B11" s="33" t="s">
        <v>10</v>
      </c>
      <c r="C11" s="34" t="str">
        <f>_xlfn.XLOOKUP(B11,Tabla1[Nombre Unidad de Estudios],Tabla1[Código Unidad de Estudios],"",0)</f>
        <v>ADA01234</v>
      </c>
      <c r="D11" s="34">
        <f>_xlfn.XLOOKUP(B11,Tabla1[Nombre Unidad de Estudios],Tabla1[Créditos Académicos],"",0)</f>
        <v>2</v>
      </c>
    </row>
    <row r="12" spans="2:4" x14ac:dyDescent="0.35">
      <c r="B12" s="33" t="s">
        <v>11</v>
      </c>
      <c r="C12" s="34" t="str">
        <f>_xlfn.XLOOKUP(B12,Tabla1[Nombre Unidad de Estudios],Tabla1[Código Unidad de Estudios],"",0)</f>
        <v>ADA01235</v>
      </c>
      <c r="D12" s="34">
        <f>_xlfn.XLOOKUP(B12,Tabla1[Nombre Unidad de Estudios],Tabla1[Créditos Académicos],"",0)</f>
        <v>2</v>
      </c>
    </row>
    <row r="13" spans="2:4" x14ac:dyDescent="0.35">
      <c r="B13" s="33" t="s">
        <v>12</v>
      </c>
      <c r="C13" s="34" t="str">
        <f>_xlfn.XLOOKUP(B13,Tabla1[Nombre Unidad de Estudios],Tabla1[Código Unidad de Estudios],"",0)</f>
        <v>FPA00021</v>
      </c>
      <c r="D13" s="34">
        <f>_xlfn.XLOOKUP(B13,Tabla1[Nombre Unidad de Estudios],Tabla1[Créditos Académicos],"",0)</f>
        <v>3</v>
      </c>
    </row>
    <row r="14" spans="2:4" x14ac:dyDescent="0.35">
      <c r="B14" s="33" t="s">
        <v>13</v>
      </c>
      <c r="C14" s="34" t="str">
        <f>_xlfn.XLOOKUP(B14,Tabla1[Nombre Unidad de Estudios],Tabla1[Código Unidad de Estudios],"",0)</f>
        <v>ADA01241</v>
      </c>
      <c r="D14" s="34">
        <f>_xlfn.XLOOKUP(B14,Tabla1[Nombre Unidad de Estudios],Tabla1[Créditos Académicos],"",0)</f>
        <v>3</v>
      </c>
    </row>
    <row r="15" spans="2:4" x14ac:dyDescent="0.35">
      <c r="B15" s="33" t="s">
        <v>14</v>
      </c>
      <c r="C15" s="34" t="str">
        <f>_xlfn.XLOOKUP(B15,Tabla1[Nombre Unidad de Estudios],Tabla1[Código Unidad de Estudios],"",0)</f>
        <v>ADA01236</v>
      </c>
      <c r="D15" s="34">
        <f>_xlfn.XLOOKUP(B15,Tabla1[Nombre Unidad de Estudios],Tabla1[Créditos Académicos],"",0)</f>
        <v>3</v>
      </c>
    </row>
    <row r="16" spans="2:4" x14ac:dyDescent="0.35">
      <c r="B16" s="33" t="s">
        <v>15</v>
      </c>
      <c r="C16" s="34" t="str">
        <f>_xlfn.XLOOKUP(B16,Tabla1[Nombre Unidad de Estudios],Tabla1[Código Unidad de Estudios],"",0)</f>
        <v>ADA01238</v>
      </c>
      <c r="D16" s="34">
        <f>_xlfn.XLOOKUP(B16,Tabla1[Nombre Unidad de Estudios],Tabla1[Créditos Académicos],"",0)</f>
        <v>2</v>
      </c>
    </row>
    <row r="17" spans="2:4" x14ac:dyDescent="0.35">
      <c r="B17" s="33" t="s">
        <v>16</v>
      </c>
      <c r="C17" s="34" t="str">
        <f>_xlfn.XLOOKUP(B17,Tabla1[Nombre Unidad de Estudios],Tabla1[Código Unidad de Estudios],"",0)</f>
        <v>ADPN0010</v>
      </c>
      <c r="D17" s="34">
        <f>_xlfn.XLOOKUP(B17,Tabla1[Nombre Unidad de Estudios],Tabla1[Créditos Académicos],"",0)</f>
        <v>3</v>
      </c>
    </row>
    <row r="18" spans="2:4" x14ac:dyDescent="0.35">
      <c r="B18" s="33" t="s">
        <v>17</v>
      </c>
      <c r="C18" s="34" t="str">
        <f>_xlfn.XLOOKUP(B18,Tabla1[Nombre Unidad de Estudios],Tabla1[Código Unidad de Estudios],"",0)</f>
        <v>ADA01246</v>
      </c>
      <c r="D18" s="34">
        <f>_xlfn.XLOOKUP(B18,Tabla1[Nombre Unidad de Estudios],Tabla1[Créditos Académicos],"",0)</f>
        <v>3</v>
      </c>
    </row>
    <row r="19" spans="2:4" x14ac:dyDescent="0.35">
      <c r="B19" s="33" t="s">
        <v>18</v>
      </c>
      <c r="C19" s="34" t="str">
        <f>_xlfn.XLOOKUP(B19,Tabla1[Nombre Unidad de Estudios],Tabla1[Código Unidad de Estudios],"",0)</f>
        <v>FPA00020</v>
      </c>
      <c r="D19" s="34">
        <f>_xlfn.XLOOKUP(B19,Tabla1[Nombre Unidad de Estudios],Tabla1[Créditos Académicos],"",0)</f>
        <v>2</v>
      </c>
    </row>
    <row r="20" spans="2:4" x14ac:dyDescent="0.35">
      <c r="B20" s="33" t="s">
        <v>19</v>
      </c>
      <c r="C20" s="34" t="str">
        <f>_xlfn.XLOOKUP(B20,Tabla1[Nombre Unidad de Estudios],Tabla1[Código Unidad de Estudios],"",0)</f>
        <v>ADA01242</v>
      </c>
      <c r="D20" s="34">
        <f>_xlfn.XLOOKUP(B20,Tabla1[Nombre Unidad de Estudios],Tabla1[Créditos Académicos],"",0)</f>
        <v>3</v>
      </c>
    </row>
    <row r="21" spans="2:4" x14ac:dyDescent="0.35">
      <c r="B21" s="33" t="s">
        <v>20</v>
      </c>
      <c r="C21" s="34" t="str">
        <f>_xlfn.XLOOKUP(B21,Tabla1[Nombre Unidad de Estudios],Tabla1[Código Unidad de Estudios],"",0)</f>
        <v>ADA01244</v>
      </c>
      <c r="D21" s="34">
        <f>_xlfn.XLOOKUP(B21,Tabla1[Nombre Unidad de Estudios],Tabla1[Créditos Académicos],"",0)</f>
        <v>2</v>
      </c>
    </row>
    <row r="22" spans="2:4" x14ac:dyDescent="0.35">
      <c r="B22" s="33" t="s">
        <v>21</v>
      </c>
      <c r="C22" s="34" t="str">
        <f>_xlfn.XLOOKUP(B22,Tabla1[Nombre Unidad de Estudios],Tabla1[Código Unidad de Estudios],"",0)</f>
        <v>ADA01245</v>
      </c>
      <c r="D22" s="34">
        <f>_xlfn.XLOOKUP(B22,Tabla1[Nombre Unidad de Estudios],Tabla1[Créditos Académicos],"",0)</f>
        <v>2</v>
      </c>
    </row>
    <row r="23" spans="2:4" x14ac:dyDescent="0.35">
      <c r="B23" s="33" t="s">
        <v>22</v>
      </c>
      <c r="C23" s="34" t="str">
        <f>_xlfn.XLOOKUP(B23,Tabla1[Nombre Unidad de Estudios],Tabla1[Código Unidad de Estudios],"",0)</f>
        <v>ADA01237</v>
      </c>
      <c r="D23" s="34">
        <f>_xlfn.XLOOKUP(B23,Tabla1[Nombre Unidad de Estudios],Tabla1[Créditos Académicos],"",0)</f>
        <v>3</v>
      </c>
    </row>
    <row r="24" spans="2:4" x14ac:dyDescent="0.35">
      <c r="B24" s="33" t="s">
        <v>23</v>
      </c>
      <c r="C24" s="34" t="str">
        <f>_xlfn.XLOOKUP(B24,Tabla1[Nombre Unidad de Estudios],Tabla1[Código Unidad de Estudios],"",0)</f>
        <v>ADA01243</v>
      </c>
      <c r="D24" s="34">
        <f>_xlfn.XLOOKUP(B24,Tabla1[Nombre Unidad de Estudios],Tabla1[Créditos Académicos],"",0)</f>
        <v>3</v>
      </c>
    </row>
    <row r="25" spans="2:4" x14ac:dyDescent="0.35">
      <c r="B25" s="33" t="s">
        <v>24</v>
      </c>
      <c r="C25" s="34" t="str">
        <f>_xlfn.XLOOKUP(B25,Tabla1[Nombre Unidad de Estudios],Tabla1[Código Unidad de Estudios],"",0)</f>
        <v>ADP01750</v>
      </c>
      <c r="D25" s="34">
        <f>_xlfn.XLOOKUP(B25,Tabla1[Nombre Unidad de Estudios],Tabla1[Créditos Académicos],"",0)</f>
        <v>24</v>
      </c>
    </row>
    <row r="26" spans="2:4" x14ac:dyDescent="0.35">
      <c r="B26" t="s">
        <v>25</v>
      </c>
      <c r="D26" s="34">
        <v>3</v>
      </c>
    </row>
    <row r="27" spans="2:4" x14ac:dyDescent="0.35">
      <c r="B27" s="36" t="s">
        <v>26</v>
      </c>
      <c r="C27" s="36"/>
      <c r="D27" s="37">
        <v>3</v>
      </c>
    </row>
    <row r="28" spans="2:4" x14ac:dyDescent="0.35">
      <c r="B28" s="30" t="s">
        <v>27</v>
      </c>
      <c r="D28" s="35">
        <f>SUM(D5:D27)</f>
        <v>80</v>
      </c>
    </row>
    <row r="30" spans="2:4" x14ac:dyDescent="0.35">
      <c r="B30" s="33" t="s">
        <v>28</v>
      </c>
    </row>
  </sheetData>
  <sortState xmlns:xlrd2="http://schemas.microsoft.com/office/spreadsheetml/2017/richdata2" ref="B5:B25">
    <sortCondition ref="B5:B25"/>
  </sortState>
  <hyperlinks>
    <hyperlink ref="B5" display="Anteproyecto de Tesis Doctoral" xr:uid="{00000000-0004-0000-0000-000000000000}"/>
    <hyperlink ref="B6" display="Aplicación de Modelos Estadísticos" xr:uid="{00000000-0004-0000-0000-000001000000}"/>
    <hyperlink ref="B7" display="Coloquio Doctoral" xr:uid="{00000000-0004-0000-0000-000002000000}"/>
    <hyperlink ref="B8" display="Economía Circular" xr:uid="{00000000-0004-0000-0000-000003000000}"/>
    <hyperlink ref="B9" display="Economía para la Sostenibilidad" xr:uid="{00000000-0004-0000-0000-000004000000}"/>
    <hyperlink ref="B10" display="Estrategia, Prospectiva y Organización" xr:uid="{00000000-0004-0000-0000-000005000000}"/>
    <hyperlink ref="B11" display="Gestión del Talento Humano y Liderazgo" xr:uid="{00000000-0004-0000-0000-000006000000}"/>
    <hyperlink ref="B12" display="Gestión Financiera" xr:uid="{00000000-0004-0000-0000-000007000000}"/>
    <hyperlink ref="B13" display="Gestión para la Sostenibilidad" xr:uid="{00000000-0004-0000-0000-000008000000}"/>
    <hyperlink ref="B14" display="Gobernanza Territorial" xr:uid="{00000000-0004-0000-0000-000009000000}"/>
    <hyperlink ref="B15" display="Innovación Tecnológica y Social" xr:uid="{00000000-0004-0000-0000-00000A000000}"/>
    <hyperlink ref="B16" display="Mercadeo Estratégico para la Sostenibilidad" xr:uid="{00000000-0004-0000-0000-00000B000000}"/>
    <hyperlink ref="B17" display="Metodología Avanzada de Investigación Aplicada" xr:uid="{00000000-0004-0000-0000-00000C000000}"/>
    <hyperlink ref="B18" display="Metodología de la Investigación" xr:uid="{00000000-0004-0000-0000-00000D000000}"/>
    <hyperlink ref="B19" display="Oportunidades para el Emprendimiento Sostenible" xr:uid="{00000000-0004-0000-0000-00000E000000}"/>
    <hyperlink ref="B20" display="Pensamiento Holístico" xr:uid="{00000000-0004-0000-0000-00000F000000}"/>
    <hyperlink ref="B21" display="Seminario de Investigación I" xr:uid="{00000000-0004-0000-0000-000010000000}"/>
    <hyperlink ref="B22" display="Seminario de Investigación II" xr:uid="{00000000-0004-0000-0000-000011000000}"/>
    <hyperlink ref="B23" display="Teorías y Modelos de Gestión Organizacional" xr:uid="{00000000-0004-0000-0000-000012000000}"/>
    <hyperlink ref="B24" display="Territorios Inteligentes y Sostenibles" xr:uid="{00000000-0004-0000-0000-000013000000}"/>
    <hyperlink ref="B25" display="Tesis Doctoral" xr:uid="{00000000-0004-0000-0000-000014000000}"/>
    <hyperlink ref="B30" display="Tabla Resumen" xr:uid="{00000000-0004-0000-0000-000015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Tabla!$H$2:$H$22</xm:f>
          </x14:formula1>
          <xm:sqref>B5:B25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2"/>
  <sheetViews>
    <sheetView topLeftCell="T1" workbookViewId="0">
      <pane ySplit="1" topLeftCell="A2" activePane="bottomLeft" state="frozen"/>
      <selection activeCell="T1" sqref="T1"/>
      <selection pane="bottomLeft" activeCell="W1" sqref="W1:AB1"/>
    </sheetView>
  </sheetViews>
  <sheetFormatPr baseColWidth="10" defaultColWidth="11.453125" defaultRowHeight="14.5" x14ac:dyDescent="0.35"/>
  <cols>
    <col min="1" max="1" width="8" customWidth="1"/>
    <col min="2" max="2" width="24.26953125" customWidth="1"/>
    <col min="3" max="3" width="26.7265625" customWidth="1"/>
    <col min="4" max="4" width="24.453125" customWidth="1"/>
    <col min="5" max="5" width="12.7265625" customWidth="1"/>
    <col min="6" max="6" width="12" customWidth="1"/>
    <col min="7" max="7" width="35" customWidth="1"/>
    <col min="8" max="8" width="30" customWidth="1"/>
    <col min="9" max="9" width="21.7265625" customWidth="1"/>
    <col min="10" max="10" width="39.1796875" customWidth="1"/>
    <col min="11" max="11" width="32.81640625" customWidth="1"/>
    <col min="12" max="12" width="19.1796875" customWidth="1"/>
    <col min="13" max="13" width="45" customWidth="1"/>
    <col min="14" max="14" width="47.54296875" customWidth="1"/>
    <col min="15" max="15" width="45" customWidth="1"/>
    <col min="16" max="16" width="19.26953125" customWidth="1"/>
    <col min="17" max="17" width="35" customWidth="1"/>
    <col min="18" max="18" width="30" customWidth="1"/>
    <col min="19" max="19" width="40.7265625" customWidth="1"/>
    <col min="20" max="20" width="36" customWidth="1"/>
    <col min="21" max="22" width="55" customWidth="1"/>
    <col min="28" max="28" width="30.26953125" customWidth="1"/>
  </cols>
  <sheetData>
    <row r="1" spans="1:28" x14ac:dyDescent="0.35">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c r="Z1" t="s">
        <v>54</v>
      </c>
      <c r="AA1" t="s">
        <v>55</v>
      </c>
      <c r="AB1" t="s">
        <v>56</v>
      </c>
    </row>
    <row r="2" spans="1:28" ht="87.5" x14ac:dyDescent="0.35">
      <c r="A2" s="2">
        <v>2026</v>
      </c>
      <c r="B2" s="2" t="s">
        <v>57</v>
      </c>
      <c r="C2" s="2" t="s">
        <v>58</v>
      </c>
      <c r="D2" s="2" t="s">
        <v>59</v>
      </c>
      <c r="E2" s="2" t="s">
        <v>60</v>
      </c>
      <c r="F2" s="2" t="s">
        <v>61</v>
      </c>
      <c r="G2" s="2" t="s">
        <v>0</v>
      </c>
      <c r="H2" s="2" t="s">
        <v>4</v>
      </c>
      <c r="I2" s="2">
        <v>2</v>
      </c>
      <c r="J2" s="2">
        <v>24</v>
      </c>
      <c r="K2" s="2">
        <v>72</v>
      </c>
      <c r="L2" s="2">
        <v>96</v>
      </c>
      <c r="M2" s="2" t="s">
        <v>62</v>
      </c>
      <c r="N2" s="2" t="s">
        <v>63</v>
      </c>
      <c r="O2" s="2" t="s">
        <v>64</v>
      </c>
      <c r="P2" s="2" t="str" cm="1">
        <f t="array" ref="P2">_xlfn.SWITCH(Tabla1[[#This Row],[Créditos Académicos]],2,"4 semanas",3,"6 semanas",24,"2 semestres",1,"1 semana")</f>
        <v>4 semanas</v>
      </c>
      <c r="Q2" s="2" t="s">
        <v>65</v>
      </c>
      <c r="R2" s="2" t="s">
        <v>66</v>
      </c>
      <c r="S2" s="2" t="s">
        <v>67</v>
      </c>
      <c r="T2" s="3">
        <v>0.3</v>
      </c>
      <c r="U2" s="2" t="s">
        <v>68</v>
      </c>
      <c r="V2" s="2" t="s">
        <v>69</v>
      </c>
      <c r="W2" s="2">
        <v>1</v>
      </c>
      <c r="X2" s="40">
        <v>46083</v>
      </c>
      <c r="Y2" s="2" t="s">
        <v>70</v>
      </c>
      <c r="Z2" s="2" t="s">
        <v>71</v>
      </c>
      <c r="AA2" s="2" t="s">
        <v>72</v>
      </c>
      <c r="AB2" s="2" t="s">
        <v>73</v>
      </c>
    </row>
    <row r="3" spans="1:28" ht="87.5" x14ac:dyDescent="0.35">
      <c r="A3" s="2">
        <v>2026</v>
      </c>
      <c r="B3" s="2" t="s">
        <v>57</v>
      </c>
      <c r="C3" s="2" t="s">
        <v>74</v>
      </c>
      <c r="D3" s="2" t="s">
        <v>75</v>
      </c>
      <c r="E3" s="2" t="s">
        <v>60</v>
      </c>
      <c r="F3" s="2" t="s">
        <v>61</v>
      </c>
      <c r="G3" s="2" t="s">
        <v>0</v>
      </c>
      <c r="H3" s="2" t="s">
        <v>18</v>
      </c>
      <c r="I3" s="2">
        <v>2</v>
      </c>
      <c r="J3" s="2">
        <v>24</v>
      </c>
      <c r="K3" s="2">
        <v>72</v>
      </c>
      <c r="L3" s="2">
        <v>96</v>
      </c>
      <c r="M3" s="2" t="s">
        <v>76</v>
      </c>
      <c r="N3" s="2" t="s">
        <v>77</v>
      </c>
      <c r="O3" s="2" t="s">
        <v>78</v>
      </c>
      <c r="P3" s="2" t="str" cm="1">
        <f t="array" ref="P3">_xlfn.SWITCH(Tabla1[[#This Row],[Créditos Académicos]],2,"4 semanas",3,"6 semanas",24,"2 semestres",1,"1 semana")</f>
        <v>4 semanas</v>
      </c>
      <c r="Q3" s="2" t="s">
        <v>79</v>
      </c>
      <c r="R3" s="2" t="s">
        <v>66</v>
      </c>
      <c r="S3" s="2" t="s">
        <v>67</v>
      </c>
      <c r="T3" s="3">
        <v>0.5</v>
      </c>
      <c r="U3" s="2" t="s">
        <v>80</v>
      </c>
      <c r="V3" s="2" t="s">
        <v>81</v>
      </c>
      <c r="W3" s="2">
        <v>1</v>
      </c>
      <c r="X3" s="40">
        <v>46083</v>
      </c>
      <c r="Y3" s="2" t="s">
        <v>70</v>
      </c>
      <c r="Z3" s="2" t="s">
        <v>71</v>
      </c>
      <c r="AA3" s="2" t="s">
        <v>72</v>
      </c>
      <c r="AB3" s="2" t="s">
        <v>73</v>
      </c>
    </row>
    <row r="4" spans="1:28" ht="112.5" x14ac:dyDescent="0.35">
      <c r="A4" s="2">
        <v>2026</v>
      </c>
      <c r="B4" s="2" t="s">
        <v>57</v>
      </c>
      <c r="C4" s="2" t="s">
        <v>82</v>
      </c>
      <c r="D4" s="2" t="s">
        <v>75</v>
      </c>
      <c r="E4" s="2" t="s">
        <v>60</v>
      </c>
      <c r="F4" s="2" t="s">
        <v>61</v>
      </c>
      <c r="G4" s="2" t="s">
        <v>0</v>
      </c>
      <c r="H4" s="2" t="s">
        <v>12</v>
      </c>
      <c r="I4" s="2">
        <v>3</v>
      </c>
      <c r="J4" s="2">
        <v>36</v>
      </c>
      <c r="K4" s="2">
        <v>108</v>
      </c>
      <c r="L4" s="2">
        <v>144</v>
      </c>
      <c r="M4" s="2" t="s">
        <v>83</v>
      </c>
      <c r="N4" s="2" t="s">
        <v>84</v>
      </c>
      <c r="O4" s="2" t="s">
        <v>85</v>
      </c>
      <c r="P4" s="2" t="str" cm="1">
        <f t="array" ref="P4">_xlfn.SWITCH(Tabla1[[#This Row],[Créditos Académicos]],2,"4 semanas",3,"6 semanas",24,"2 semestres",1,"1 semana")</f>
        <v>6 semanas</v>
      </c>
      <c r="Q4" s="2" t="s">
        <v>86</v>
      </c>
      <c r="R4" s="2" t="s">
        <v>87</v>
      </c>
      <c r="S4" s="2" t="s">
        <v>67</v>
      </c>
      <c r="T4" s="3">
        <v>0.4</v>
      </c>
      <c r="U4" s="2" t="s">
        <v>88</v>
      </c>
      <c r="V4" s="2" t="s">
        <v>89</v>
      </c>
      <c r="W4" s="2">
        <v>1</v>
      </c>
      <c r="X4" s="40">
        <v>46083</v>
      </c>
      <c r="Y4" s="2" t="s">
        <v>70</v>
      </c>
      <c r="Z4" s="2" t="s">
        <v>71</v>
      </c>
      <c r="AA4" s="2" t="s">
        <v>72</v>
      </c>
      <c r="AB4" s="2" t="s">
        <v>73</v>
      </c>
    </row>
    <row r="5" spans="1:28" ht="87.5" x14ac:dyDescent="0.35">
      <c r="A5" s="2">
        <v>2026</v>
      </c>
      <c r="B5" s="2" t="s">
        <v>57</v>
      </c>
      <c r="C5" s="2" t="s">
        <v>90</v>
      </c>
      <c r="D5" s="2" t="s">
        <v>59</v>
      </c>
      <c r="E5" s="2" t="s">
        <v>60</v>
      </c>
      <c r="F5" s="2" t="s">
        <v>61</v>
      </c>
      <c r="G5" s="2" t="s">
        <v>0</v>
      </c>
      <c r="H5" s="2" t="s">
        <v>10</v>
      </c>
      <c r="I5" s="2">
        <v>2</v>
      </c>
      <c r="J5" s="2">
        <v>24</v>
      </c>
      <c r="K5" s="2">
        <v>72</v>
      </c>
      <c r="L5" s="2">
        <v>96</v>
      </c>
      <c r="M5" s="2" t="s">
        <v>91</v>
      </c>
      <c r="N5" s="2" t="s">
        <v>92</v>
      </c>
      <c r="O5" s="2" t="s">
        <v>93</v>
      </c>
      <c r="P5" s="2" t="str" cm="1">
        <f t="array" ref="P5">_xlfn.SWITCH(Tabla1[[#This Row],[Créditos Académicos]],2,"4 semanas",3,"6 semanas",24,"2 semestres",1,"1 semana")</f>
        <v>4 semanas</v>
      </c>
      <c r="Q5" s="2" t="s">
        <v>94</v>
      </c>
      <c r="R5" s="2" t="s">
        <v>66</v>
      </c>
      <c r="S5" s="2" t="s">
        <v>67</v>
      </c>
      <c r="T5" s="3">
        <v>0.3</v>
      </c>
      <c r="U5" s="2" t="s">
        <v>95</v>
      </c>
      <c r="V5" s="2" t="s">
        <v>96</v>
      </c>
      <c r="W5" s="2">
        <v>1</v>
      </c>
      <c r="X5" s="40">
        <v>46083</v>
      </c>
      <c r="Y5" s="2" t="s">
        <v>70</v>
      </c>
      <c r="Z5" s="2" t="s">
        <v>71</v>
      </c>
      <c r="AA5" s="2" t="s">
        <v>72</v>
      </c>
      <c r="AB5" s="2" t="s">
        <v>73</v>
      </c>
    </row>
    <row r="6" spans="1:28" ht="100" x14ac:dyDescent="0.35">
      <c r="A6" s="2">
        <v>2026</v>
      </c>
      <c r="B6" s="2" t="s">
        <v>57</v>
      </c>
      <c r="C6" s="2" t="s">
        <v>97</v>
      </c>
      <c r="D6" s="2" t="s">
        <v>59</v>
      </c>
      <c r="E6" s="2" t="s">
        <v>60</v>
      </c>
      <c r="F6" s="2" t="s">
        <v>61</v>
      </c>
      <c r="G6" s="2" t="s">
        <v>0</v>
      </c>
      <c r="H6" s="2" t="s">
        <v>11</v>
      </c>
      <c r="I6" s="2">
        <v>2</v>
      </c>
      <c r="J6" s="2">
        <v>24</v>
      </c>
      <c r="K6" s="2">
        <v>72</v>
      </c>
      <c r="L6" s="2">
        <v>96</v>
      </c>
      <c r="M6" s="2" t="s">
        <v>98</v>
      </c>
      <c r="N6" s="2" t="s">
        <v>99</v>
      </c>
      <c r="O6" s="2" t="s">
        <v>100</v>
      </c>
      <c r="P6" s="2" t="str" cm="1">
        <f t="array" ref="P6">_xlfn.SWITCH(Tabla1[[#This Row],[Créditos Académicos]],2,"4 semanas",3,"6 semanas",24,"2 semestres",1,"1 semana")</f>
        <v>4 semanas</v>
      </c>
      <c r="Q6" s="2" t="s">
        <v>101</v>
      </c>
      <c r="R6" s="2" t="s">
        <v>66</v>
      </c>
      <c r="S6" s="2" t="s">
        <v>67</v>
      </c>
      <c r="T6" s="3">
        <v>0.4</v>
      </c>
      <c r="U6" s="2" t="s">
        <v>102</v>
      </c>
      <c r="V6" s="2" t="s">
        <v>103</v>
      </c>
      <c r="W6" s="2">
        <v>1</v>
      </c>
      <c r="X6" s="40">
        <v>46083</v>
      </c>
      <c r="Y6" s="2" t="s">
        <v>70</v>
      </c>
      <c r="Z6" s="2" t="s">
        <v>71</v>
      </c>
      <c r="AA6" s="2" t="s">
        <v>72</v>
      </c>
      <c r="AB6" s="2" t="s">
        <v>73</v>
      </c>
    </row>
    <row r="7" spans="1:28" ht="87.5" x14ac:dyDescent="0.35">
      <c r="A7" s="2">
        <v>2026</v>
      </c>
      <c r="B7" s="2" t="s">
        <v>57</v>
      </c>
      <c r="C7" s="2" t="s">
        <v>104</v>
      </c>
      <c r="D7" s="2" t="s">
        <v>59</v>
      </c>
      <c r="E7" s="2" t="s">
        <v>60</v>
      </c>
      <c r="F7" s="2" t="s">
        <v>61</v>
      </c>
      <c r="G7" s="2" t="s">
        <v>0</v>
      </c>
      <c r="H7" s="2" t="s">
        <v>14</v>
      </c>
      <c r="I7" s="2">
        <v>3</v>
      </c>
      <c r="J7" s="2">
        <v>36</v>
      </c>
      <c r="K7" s="2">
        <v>108</v>
      </c>
      <c r="L7" s="2">
        <v>144</v>
      </c>
      <c r="M7" s="2" t="s">
        <v>105</v>
      </c>
      <c r="N7" s="2" t="s">
        <v>106</v>
      </c>
      <c r="O7" s="2" t="s">
        <v>107</v>
      </c>
      <c r="P7" s="2" t="str" cm="1">
        <f t="array" ref="P7">_xlfn.SWITCH(Tabla1[[#This Row],[Créditos Académicos]],2,"4 semanas",3,"6 semanas",24,"2 semestres",1,"1 semana")</f>
        <v>6 semanas</v>
      </c>
      <c r="Q7" s="2" t="s">
        <v>108</v>
      </c>
      <c r="R7" s="2" t="s">
        <v>66</v>
      </c>
      <c r="S7" s="2" t="s">
        <v>67</v>
      </c>
      <c r="T7" s="3">
        <v>0.1</v>
      </c>
      <c r="U7" s="2" t="s">
        <v>109</v>
      </c>
      <c r="V7" s="2" t="s">
        <v>110</v>
      </c>
      <c r="W7" s="2">
        <v>1</v>
      </c>
      <c r="X7" s="40">
        <v>46083</v>
      </c>
      <c r="Y7" s="2" t="s">
        <v>70</v>
      </c>
      <c r="Z7" s="2" t="s">
        <v>71</v>
      </c>
      <c r="AA7" s="2" t="s">
        <v>72</v>
      </c>
      <c r="AB7" s="2" t="s">
        <v>73</v>
      </c>
    </row>
    <row r="8" spans="1:28" ht="112.5" x14ac:dyDescent="0.35">
      <c r="A8" s="2">
        <v>2026</v>
      </c>
      <c r="B8" s="2" t="s">
        <v>57</v>
      </c>
      <c r="C8" s="2" t="s">
        <v>111</v>
      </c>
      <c r="D8" s="2" t="s">
        <v>59</v>
      </c>
      <c r="E8" s="2" t="s">
        <v>60</v>
      </c>
      <c r="F8" s="2" t="s">
        <v>61</v>
      </c>
      <c r="G8" s="2" t="s">
        <v>0</v>
      </c>
      <c r="H8" s="2" t="s">
        <v>22</v>
      </c>
      <c r="I8" s="2">
        <v>3</v>
      </c>
      <c r="J8" s="2">
        <v>36</v>
      </c>
      <c r="K8" s="2">
        <v>108</v>
      </c>
      <c r="L8" s="2">
        <v>144</v>
      </c>
      <c r="M8" s="2" t="s">
        <v>112</v>
      </c>
      <c r="N8" s="2" t="s">
        <v>113</v>
      </c>
      <c r="O8" s="2" t="s">
        <v>114</v>
      </c>
      <c r="P8" s="2" t="str" cm="1">
        <f t="array" ref="P8">_xlfn.SWITCH(Tabla1[[#This Row],[Créditos Académicos]],2,"4 semanas",3,"6 semanas",24,"2 semestres",1,"1 semana")</f>
        <v>6 semanas</v>
      </c>
      <c r="Q8" s="2" t="s">
        <v>115</v>
      </c>
      <c r="R8" s="2" t="s">
        <v>66</v>
      </c>
      <c r="S8" s="2" t="s">
        <v>67</v>
      </c>
      <c r="T8" s="3">
        <v>0.6</v>
      </c>
      <c r="U8" s="2" t="s">
        <v>116</v>
      </c>
      <c r="V8" s="2" t="s">
        <v>117</v>
      </c>
      <c r="W8" s="2">
        <v>1</v>
      </c>
      <c r="X8" s="40">
        <v>46083</v>
      </c>
      <c r="Y8" s="2" t="s">
        <v>70</v>
      </c>
      <c r="Z8" s="2" t="s">
        <v>71</v>
      </c>
      <c r="AA8" s="2" t="s">
        <v>72</v>
      </c>
      <c r="AB8" s="2" t="s">
        <v>73</v>
      </c>
    </row>
    <row r="9" spans="1:28" ht="100" x14ac:dyDescent="0.35">
      <c r="A9" s="2">
        <v>2026</v>
      </c>
      <c r="B9" s="2" t="s">
        <v>57</v>
      </c>
      <c r="C9" s="2" t="s">
        <v>118</v>
      </c>
      <c r="D9" s="2" t="s">
        <v>59</v>
      </c>
      <c r="E9" s="2" t="s">
        <v>60</v>
      </c>
      <c r="F9" s="2" t="s">
        <v>61</v>
      </c>
      <c r="G9" s="2" t="s">
        <v>0</v>
      </c>
      <c r="H9" s="2" t="s">
        <v>15</v>
      </c>
      <c r="I9" s="2">
        <v>2</v>
      </c>
      <c r="J9" s="2">
        <v>24</v>
      </c>
      <c r="K9" s="2">
        <v>72</v>
      </c>
      <c r="L9" s="2">
        <v>96</v>
      </c>
      <c r="M9" s="2" t="s">
        <v>119</v>
      </c>
      <c r="N9" s="2" t="s">
        <v>120</v>
      </c>
      <c r="O9" s="2" t="s">
        <v>121</v>
      </c>
      <c r="P9" s="2" t="str" cm="1">
        <f t="array" ref="P9">_xlfn.SWITCH(Tabla1[[#This Row],[Créditos Académicos]],2,"4 semanas",3,"6 semanas",24,"2 semestres",1,"1 semana")</f>
        <v>4 semanas</v>
      </c>
      <c r="Q9" s="2" t="s">
        <v>122</v>
      </c>
      <c r="R9" s="2" t="s">
        <v>66</v>
      </c>
      <c r="S9" s="2" t="s">
        <v>67</v>
      </c>
      <c r="T9" s="3">
        <v>0.7</v>
      </c>
      <c r="U9" s="2" t="s">
        <v>123</v>
      </c>
      <c r="V9" s="2" t="s">
        <v>124</v>
      </c>
      <c r="W9" s="2">
        <v>1</v>
      </c>
      <c r="X9" s="40">
        <v>46083</v>
      </c>
      <c r="Y9" s="2" t="s">
        <v>70</v>
      </c>
      <c r="Z9" s="2" t="s">
        <v>71</v>
      </c>
      <c r="AA9" s="2" t="s">
        <v>72</v>
      </c>
      <c r="AB9" s="2" t="s">
        <v>73</v>
      </c>
    </row>
    <row r="10" spans="1:28" ht="75" x14ac:dyDescent="0.35">
      <c r="A10" s="2">
        <v>2026</v>
      </c>
      <c r="B10" s="2" t="s">
        <v>57</v>
      </c>
      <c r="C10" s="2" t="s">
        <v>125</v>
      </c>
      <c r="D10" s="2" t="s">
        <v>59</v>
      </c>
      <c r="E10" s="2" t="s">
        <v>60</v>
      </c>
      <c r="F10" s="2" t="s">
        <v>61</v>
      </c>
      <c r="G10" s="2" t="s">
        <v>0</v>
      </c>
      <c r="H10" s="2" t="s">
        <v>8</v>
      </c>
      <c r="I10" s="2">
        <v>2</v>
      </c>
      <c r="J10" s="2">
        <v>24</v>
      </c>
      <c r="K10" s="2">
        <v>72</v>
      </c>
      <c r="L10" s="2">
        <v>96</v>
      </c>
      <c r="M10" s="2" t="s">
        <v>126</v>
      </c>
      <c r="N10" s="2" t="s">
        <v>127</v>
      </c>
      <c r="O10" s="2" t="s">
        <v>128</v>
      </c>
      <c r="P10" s="2" t="str" cm="1">
        <f t="array" ref="P10">_xlfn.SWITCH(Tabla1[[#This Row],[Créditos Académicos]],2,"4 semanas",3,"6 semanas",24,"2 semestres",1,"1 semana")</f>
        <v>4 semanas</v>
      </c>
      <c r="Q10" s="2" t="s">
        <v>129</v>
      </c>
      <c r="R10" s="2" t="s">
        <v>66</v>
      </c>
      <c r="S10" s="2" t="s">
        <v>67</v>
      </c>
      <c r="T10" s="3">
        <v>0.5</v>
      </c>
      <c r="U10" s="2" t="s">
        <v>130</v>
      </c>
      <c r="V10" s="2" t="s">
        <v>131</v>
      </c>
      <c r="W10" s="2">
        <v>1</v>
      </c>
      <c r="X10" s="40">
        <v>46083</v>
      </c>
      <c r="Y10" s="2" t="s">
        <v>70</v>
      </c>
      <c r="Z10" s="2" t="s">
        <v>71</v>
      </c>
      <c r="AA10" s="2" t="s">
        <v>72</v>
      </c>
      <c r="AB10" s="2" t="s">
        <v>73</v>
      </c>
    </row>
    <row r="11" spans="1:28" ht="75" x14ac:dyDescent="0.35">
      <c r="A11" s="2">
        <v>2026</v>
      </c>
      <c r="B11" s="2" t="s">
        <v>57</v>
      </c>
      <c r="C11" s="2" t="s">
        <v>132</v>
      </c>
      <c r="D11" s="2" t="s">
        <v>59</v>
      </c>
      <c r="E11" s="2" t="s">
        <v>60</v>
      </c>
      <c r="F11" s="2" t="s">
        <v>61</v>
      </c>
      <c r="G11" s="2" t="s">
        <v>0</v>
      </c>
      <c r="H11" s="2" t="s">
        <v>7</v>
      </c>
      <c r="I11" s="2">
        <v>3</v>
      </c>
      <c r="J11" s="2">
        <v>36</v>
      </c>
      <c r="K11" s="2">
        <v>108</v>
      </c>
      <c r="L11" s="2">
        <v>144</v>
      </c>
      <c r="M11" s="2" t="s">
        <v>133</v>
      </c>
      <c r="N11" s="2" t="s">
        <v>134</v>
      </c>
      <c r="O11" s="2" t="s">
        <v>135</v>
      </c>
      <c r="P11" s="2" t="str" cm="1">
        <f t="array" ref="P11">_xlfn.SWITCH(Tabla1[[#This Row],[Créditos Académicos]],2,"4 semanas",3,"6 semanas",24,"2 semestres",1,"1 semana")</f>
        <v>6 semanas</v>
      </c>
      <c r="Q11" s="2" t="s">
        <v>129</v>
      </c>
      <c r="R11" s="2" t="s">
        <v>66</v>
      </c>
      <c r="S11" s="2" t="s">
        <v>67</v>
      </c>
      <c r="T11" s="3">
        <v>0.5</v>
      </c>
      <c r="U11" s="2" t="s">
        <v>136</v>
      </c>
      <c r="V11" s="2" t="s">
        <v>137</v>
      </c>
      <c r="W11" s="2">
        <v>1</v>
      </c>
      <c r="X11" s="40">
        <v>46083</v>
      </c>
      <c r="Y11" s="2" t="s">
        <v>70</v>
      </c>
      <c r="Z11" s="2" t="s">
        <v>71</v>
      </c>
      <c r="AA11" s="2" t="s">
        <v>72</v>
      </c>
      <c r="AB11" s="2" t="s">
        <v>73</v>
      </c>
    </row>
    <row r="12" spans="1:28" ht="87.5" x14ac:dyDescent="0.35">
      <c r="A12" s="2">
        <v>2026</v>
      </c>
      <c r="B12" s="2" t="s">
        <v>57</v>
      </c>
      <c r="C12" s="2" t="s">
        <v>138</v>
      </c>
      <c r="D12" s="2" t="s">
        <v>59</v>
      </c>
      <c r="E12" s="2" t="s">
        <v>60</v>
      </c>
      <c r="F12" s="2" t="s">
        <v>61</v>
      </c>
      <c r="G12" s="2" t="s">
        <v>0</v>
      </c>
      <c r="H12" s="2" t="s">
        <v>13</v>
      </c>
      <c r="I12" s="2">
        <v>3</v>
      </c>
      <c r="J12" s="2">
        <v>36</v>
      </c>
      <c r="K12" s="2">
        <v>108</v>
      </c>
      <c r="L12" s="2">
        <v>144</v>
      </c>
      <c r="M12" s="2" t="s">
        <v>139</v>
      </c>
      <c r="N12" s="2" t="s">
        <v>140</v>
      </c>
      <c r="O12" s="2" t="s">
        <v>141</v>
      </c>
      <c r="P12" s="2" t="str" cm="1">
        <f t="array" ref="P12">_xlfn.SWITCH(Tabla1[[#This Row],[Créditos Académicos]],2,"4 semanas",3,"6 semanas",24,"2 semestres",1,"1 semana")</f>
        <v>6 semanas</v>
      </c>
      <c r="Q12" s="2" t="s">
        <v>142</v>
      </c>
      <c r="R12" s="2" t="s">
        <v>66</v>
      </c>
      <c r="S12" s="2" t="s">
        <v>67</v>
      </c>
      <c r="T12" s="3">
        <v>0.2</v>
      </c>
      <c r="U12" s="2" t="s">
        <v>143</v>
      </c>
      <c r="V12" s="2" t="s">
        <v>144</v>
      </c>
      <c r="W12" s="2">
        <v>1</v>
      </c>
      <c r="X12" s="40">
        <v>46083</v>
      </c>
      <c r="Y12" s="2" t="s">
        <v>70</v>
      </c>
      <c r="Z12" s="2" t="s">
        <v>71</v>
      </c>
      <c r="AA12" s="2" t="s">
        <v>72</v>
      </c>
      <c r="AB12" s="2" t="s">
        <v>73</v>
      </c>
    </row>
    <row r="13" spans="1:28" ht="87.5" x14ac:dyDescent="0.35">
      <c r="A13" s="2">
        <v>2026</v>
      </c>
      <c r="B13" s="2" t="s">
        <v>57</v>
      </c>
      <c r="C13" s="2" t="s">
        <v>145</v>
      </c>
      <c r="D13" s="2" t="s">
        <v>59</v>
      </c>
      <c r="E13" s="2" t="s">
        <v>60</v>
      </c>
      <c r="F13" s="2" t="s">
        <v>61</v>
      </c>
      <c r="G13" s="2" t="s">
        <v>0</v>
      </c>
      <c r="H13" s="2" t="s">
        <v>19</v>
      </c>
      <c r="I13" s="2">
        <v>3</v>
      </c>
      <c r="J13" s="2">
        <v>36</v>
      </c>
      <c r="K13" s="2">
        <v>108</v>
      </c>
      <c r="L13" s="2">
        <v>144</v>
      </c>
      <c r="M13" s="2" t="s">
        <v>146</v>
      </c>
      <c r="N13" s="2" t="s">
        <v>147</v>
      </c>
      <c r="O13" s="2" t="s">
        <v>148</v>
      </c>
      <c r="P13" s="2" t="str" cm="1">
        <f t="array" ref="P13">_xlfn.SWITCH(Tabla1[[#This Row],[Créditos Académicos]],2,"4 semanas",3,"6 semanas",24,"2 semestres",1,"1 semana")</f>
        <v>6 semanas</v>
      </c>
      <c r="Q13" s="2" t="s">
        <v>149</v>
      </c>
      <c r="R13" s="2" t="s">
        <v>66</v>
      </c>
      <c r="S13" s="2" t="s">
        <v>67</v>
      </c>
      <c r="T13" s="3">
        <v>0.3</v>
      </c>
      <c r="U13" s="2" t="s">
        <v>150</v>
      </c>
      <c r="V13" s="2" t="s">
        <v>151</v>
      </c>
      <c r="W13" s="2">
        <v>1</v>
      </c>
      <c r="X13" s="40">
        <v>46083</v>
      </c>
      <c r="Y13" s="2" t="s">
        <v>70</v>
      </c>
      <c r="Z13" s="2" t="s">
        <v>71</v>
      </c>
      <c r="AA13" s="2" t="s">
        <v>72</v>
      </c>
      <c r="AB13" s="2" t="s">
        <v>73</v>
      </c>
    </row>
    <row r="14" spans="1:28" ht="87.5" x14ac:dyDescent="0.35">
      <c r="A14" s="2">
        <v>2026</v>
      </c>
      <c r="B14" s="2" t="s">
        <v>57</v>
      </c>
      <c r="C14" s="2" t="s">
        <v>152</v>
      </c>
      <c r="D14" s="2" t="s">
        <v>59</v>
      </c>
      <c r="E14" s="2" t="s">
        <v>60</v>
      </c>
      <c r="F14" s="2" t="s">
        <v>61</v>
      </c>
      <c r="G14" s="2" t="s">
        <v>0</v>
      </c>
      <c r="H14" s="2" t="s">
        <v>23</v>
      </c>
      <c r="I14" s="2">
        <v>3</v>
      </c>
      <c r="J14" s="2">
        <v>36</v>
      </c>
      <c r="K14" s="2">
        <v>108</v>
      </c>
      <c r="L14" s="2">
        <v>144</v>
      </c>
      <c r="M14" s="2" t="s">
        <v>153</v>
      </c>
      <c r="N14" s="2" t="s">
        <v>154</v>
      </c>
      <c r="O14" s="2" t="s">
        <v>155</v>
      </c>
      <c r="P14" s="2" t="str" cm="1">
        <f t="array" ref="P14">_xlfn.SWITCH(Tabla1[[#This Row],[Créditos Académicos]],2,"4 semanas",3,"6 semanas",24,"2 semestres",1,"1 semana")</f>
        <v>6 semanas</v>
      </c>
      <c r="Q14" s="2" t="s">
        <v>149</v>
      </c>
      <c r="R14" s="2" t="s">
        <v>66</v>
      </c>
      <c r="S14" s="2" t="s">
        <v>67</v>
      </c>
      <c r="T14" s="3">
        <v>0.2</v>
      </c>
      <c r="U14" s="2" t="s">
        <v>156</v>
      </c>
      <c r="V14" s="2" t="s">
        <v>157</v>
      </c>
      <c r="W14" s="2">
        <v>1</v>
      </c>
      <c r="X14" s="40">
        <v>46083</v>
      </c>
      <c r="Y14" s="2" t="s">
        <v>70</v>
      </c>
      <c r="Z14" s="2" t="s">
        <v>71</v>
      </c>
      <c r="AA14" s="2" t="s">
        <v>72</v>
      </c>
      <c r="AB14" s="2" t="s">
        <v>73</v>
      </c>
    </row>
    <row r="15" spans="1:28" ht="87.5" x14ac:dyDescent="0.35">
      <c r="A15" s="2">
        <v>2026</v>
      </c>
      <c r="B15" s="2" t="s">
        <v>57</v>
      </c>
      <c r="C15" s="2" t="s">
        <v>158</v>
      </c>
      <c r="D15" s="2" t="s">
        <v>59</v>
      </c>
      <c r="E15" s="2" t="s">
        <v>60</v>
      </c>
      <c r="F15" s="2" t="s">
        <v>61</v>
      </c>
      <c r="G15" s="2" t="s">
        <v>0</v>
      </c>
      <c r="H15" s="2" t="s">
        <v>20</v>
      </c>
      <c r="I15" s="2">
        <v>2</v>
      </c>
      <c r="J15" s="2">
        <v>24</v>
      </c>
      <c r="K15" s="2">
        <v>72</v>
      </c>
      <c r="L15" s="2">
        <v>96</v>
      </c>
      <c r="M15" s="2" t="s">
        <v>159</v>
      </c>
      <c r="N15" s="2" t="s">
        <v>160</v>
      </c>
      <c r="O15" s="2" t="s">
        <v>161</v>
      </c>
      <c r="P15" s="2" t="str" cm="1">
        <f t="array" ref="P15">_xlfn.SWITCH(Tabla1[[#This Row],[Créditos Académicos]],2,"4 semanas",3,"6 semanas",24,"2 semestres",1,"1 semana")</f>
        <v>4 semanas</v>
      </c>
      <c r="Q15" s="2" t="s">
        <v>162</v>
      </c>
      <c r="R15" s="2" t="s">
        <v>66</v>
      </c>
      <c r="S15" s="2" t="s">
        <v>67</v>
      </c>
      <c r="T15" s="3">
        <v>0.3</v>
      </c>
      <c r="U15" s="2" t="s">
        <v>68</v>
      </c>
      <c r="V15" s="2" t="s">
        <v>69</v>
      </c>
      <c r="W15" s="2">
        <v>1</v>
      </c>
      <c r="X15" s="40">
        <v>46083</v>
      </c>
      <c r="Y15" s="2" t="s">
        <v>70</v>
      </c>
      <c r="Z15" s="2" t="s">
        <v>71</v>
      </c>
      <c r="AA15" s="2" t="s">
        <v>72</v>
      </c>
      <c r="AB15" s="2" t="s">
        <v>73</v>
      </c>
    </row>
    <row r="16" spans="1:28" ht="87.5" x14ac:dyDescent="0.35">
      <c r="A16" s="2">
        <v>2026</v>
      </c>
      <c r="B16" s="2" t="s">
        <v>57</v>
      </c>
      <c r="C16" s="2" t="s">
        <v>163</v>
      </c>
      <c r="D16" s="2" t="s">
        <v>59</v>
      </c>
      <c r="E16" s="2" t="s">
        <v>60</v>
      </c>
      <c r="F16" s="2" t="s">
        <v>61</v>
      </c>
      <c r="G16" s="2" t="s">
        <v>0</v>
      </c>
      <c r="H16" s="2" t="s">
        <v>21</v>
      </c>
      <c r="I16" s="2">
        <v>2</v>
      </c>
      <c r="J16" s="2">
        <v>24</v>
      </c>
      <c r="K16" s="2">
        <v>72</v>
      </c>
      <c r="L16" s="2">
        <v>96</v>
      </c>
      <c r="M16" s="2" t="s">
        <v>164</v>
      </c>
      <c r="N16" s="2" t="s">
        <v>165</v>
      </c>
      <c r="O16" s="2" t="s">
        <v>166</v>
      </c>
      <c r="P16" s="2" t="str" cm="1">
        <f t="array" ref="P16">_xlfn.SWITCH(Tabla1[[#This Row],[Créditos Académicos]],2,"4 semanas",3,"6 semanas",24,"2 semestres",1,"1 semana")</f>
        <v>4 semanas</v>
      </c>
      <c r="Q16" s="2" t="s">
        <v>167</v>
      </c>
      <c r="R16" s="2" t="s">
        <v>66</v>
      </c>
      <c r="S16" s="2" t="s">
        <v>67</v>
      </c>
      <c r="T16" s="3">
        <v>0.3</v>
      </c>
      <c r="U16" s="2" t="s">
        <v>68</v>
      </c>
      <c r="V16" s="2" t="s">
        <v>69</v>
      </c>
      <c r="W16" s="2">
        <v>1</v>
      </c>
      <c r="X16" s="40">
        <v>46083</v>
      </c>
      <c r="Y16" s="2" t="s">
        <v>70</v>
      </c>
      <c r="Z16" s="2" t="s">
        <v>71</v>
      </c>
      <c r="AA16" s="2" t="s">
        <v>72</v>
      </c>
      <c r="AB16" s="2" t="s">
        <v>73</v>
      </c>
    </row>
    <row r="17" spans="1:28" ht="87.5" x14ac:dyDescent="0.35">
      <c r="A17" s="2">
        <v>2026</v>
      </c>
      <c r="B17" s="2" t="s">
        <v>57</v>
      </c>
      <c r="C17" s="2" t="s">
        <v>168</v>
      </c>
      <c r="D17" s="2" t="s">
        <v>59</v>
      </c>
      <c r="E17" s="2" t="s">
        <v>60</v>
      </c>
      <c r="F17" s="2" t="s">
        <v>61</v>
      </c>
      <c r="G17" s="2" t="s">
        <v>0</v>
      </c>
      <c r="H17" s="2" t="s">
        <v>17</v>
      </c>
      <c r="I17" s="2">
        <v>3</v>
      </c>
      <c r="J17" s="2">
        <v>36</v>
      </c>
      <c r="K17" s="2">
        <v>108</v>
      </c>
      <c r="L17" s="2">
        <v>144</v>
      </c>
      <c r="M17" s="2" t="s">
        <v>169</v>
      </c>
      <c r="N17" s="2" t="s">
        <v>170</v>
      </c>
      <c r="O17" s="2" t="s">
        <v>171</v>
      </c>
      <c r="P17" s="2" t="str" cm="1">
        <f t="array" ref="P17">_xlfn.SWITCH(Tabla1[[#This Row],[Créditos Académicos]],2,"4 semanas",3,"6 semanas",24,"2 semestres",1,"1 semana")</f>
        <v>6 semanas</v>
      </c>
      <c r="Q17" s="2" t="s">
        <v>172</v>
      </c>
      <c r="R17" s="2" t="s">
        <v>66</v>
      </c>
      <c r="S17" s="2" t="s">
        <v>67</v>
      </c>
      <c r="T17" s="3">
        <v>0.3</v>
      </c>
      <c r="U17" s="2" t="s">
        <v>68</v>
      </c>
      <c r="V17" s="2" t="s">
        <v>69</v>
      </c>
      <c r="W17" s="2">
        <v>1</v>
      </c>
      <c r="X17" s="40">
        <v>46083</v>
      </c>
      <c r="Y17" s="2" t="s">
        <v>70</v>
      </c>
      <c r="Z17" s="2" t="s">
        <v>71</v>
      </c>
      <c r="AA17" s="2" t="s">
        <v>72</v>
      </c>
      <c r="AB17" s="2" t="s">
        <v>73</v>
      </c>
    </row>
    <row r="18" spans="1:28" ht="87.5" x14ac:dyDescent="0.35">
      <c r="A18" s="2">
        <v>2026</v>
      </c>
      <c r="B18" s="2" t="s">
        <v>57</v>
      </c>
      <c r="C18" s="2" t="s">
        <v>173</v>
      </c>
      <c r="D18" s="2" t="s">
        <v>59</v>
      </c>
      <c r="E18" s="2" t="s">
        <v>60</v>
      </c>
      <c r="F18" s="2" t="s">
        <v>61</v>
      </c>
      <c r="G18" s="2" t="s">
        <v>0</v>
      </c>
      <c r="H18" s="2" t="s">
        <v>24</v>
      </c>
      <c r="I18" s="2">
        <v>24</v>
      </c>
      <c r="J18" s="2">
        <v>72</v>
      </c>
      <c r="K18" s="2">
        <v>1080</v>
      </c>
      <c r="L18" s="2">
        <v>1152</v>
      </c>
      <c r="M18" s="2" t="s">
        <v>174</v>
      </c>
      <c r="N18" s="2" t="s">
        <v>175</v>
      </c>
      <c r="O18" s="2" t="s">
        <v>176</v>
      </c>
      <c r="P18" s="2" t="str" cm="1">
        <f t="array" ref="P18">_xlfn.SWITCH(Tabla1[[#This Row],[Créditos Académicos]],2,"4 semanas",3,"6 semanas",24,"2 semestres",1,"1 semana")</f>
        <v>2 semestres</v>
      </c>
      <c r="Q18" s="2" t="s">
        <v>177</v>
      </c>
      <c r="R18" s="2" t="s">
        <v>66</v>
      </c>
      <c r="S18" s="2" t="s">
        <v>67</v>
      </c>
      <c r="T18" s="3">
        <v>0.5</v>
      </c>
      <c r="U18" s="2" t="s">
        <v>68</v>
      </c>
      <c r="V18" s="2" t="s">
        <v>69</v>
      </c>
      <c r="W18" s="2">
        <v>1</v>
      </c>
      <c r="X18" s="40">
        <v>46083</v>
      </c>
      <c r="Y18" s="2" t="s">
        <v>70</v>
      </c>
      <c r="Z18" s="2" t="s">
        <v>71</v>
      </c>
      <c r="AA18" s="2" t="s">
        <v>72</v>
      </c>
      <c r="AB18" s="2" t="s">
        <v>73</v>
      </c>
    </row>
    <row r="19" spans="1:28" ht="125" x14ac:dyDescent="0.35">
      <c r="A19" s="2">
        <v>2026</v>
      </c>
      <c r="B19" s="2" t="s">
        <v>57</v>
      </c>
      <c r="C19" s="2" t="s">
        <v>178</v>
      </c>
      <c r="D19" s="2" t="s">
        <v>59</v>
      </c>
      <c r="E19" s="2" t="s">
        <v>60</v>
      </c>
      <c r="F19" s="2" t="s">
        <v>61</v>
      </c>
      <c r="G19" s="2" t="s">
        <v>0</v>
      </c>
      <c r="H19" s="2" t="s">
        <v>5</v>
      </c>
      <c r="I19" s="2">
        <v>3</v>
      </c>
      <c r="J19" s="2">
        <v>36</v>
      </c>
      <c r="K19" s="2">
        <v>108</v>
      </c>
      <c r="L19" s="2">
        <v>144</v>
      </c>
      <c r="M19" s="2" t="s">
        <v>179</v>
      </c>
      <c r="N19" s="2" t="s">
        <v>180</v>
      </c>
      <c r="O19" s="2" t="s">
        <v>181</v>
      </c>
      <c r="P19" s="2" t="str" cm="1">
        <f t="array" ref="P19">_xlfn.SWITCH(Tabla1[[#This Row],[Créditos Académicos]],2,"4 semanas",3,"6 semanas",24,"2 semestres",1,"1 semana")</f>
        <v>6 semanas</v>
      </c>
      <c r="Q19" s="2" t="s">
        <v>182</v>
      </c>
      <c r="R19" s="2" t="s">
        <v>183</v>
      </c>
      <c r="S19" s="2" t="s">
        <v>67</v>
      </c>
      <c r="T19" s="3">
        <v>0.5</v>
      </c>
      <c r="U19" s="2" t="s">
        <v>184</v>
      </c>
      <c r="V19" s="2" t="s">
        <v>185</v>
      </c>
      <c r="W19" s="2">
        <v>1</v>
      </c>
      <c r="X19" s="40">
        <v>46083</v>
      </c>
      <c r="Y19" s="2" t="s">
        <v>70</v>
      </c>
      <c r="Z19" s="2" t="s">
        <v>71</v>
      </c>
      <c r="AA19" s="2" t="s">
        <v>72</v>
      </c>
      <c r="AB19" s="2" t="s">
        <v>73</v>
      </c>
    </row>
    <row r="20" spans="1:28" ht="87.5" x14ac:dyDescent="0.35">
      <c r="A20" s="2">
        <v>2026</v>
      </c>
      <c r="B20" s="2" t="s">
        <v>57</v>
      </c>
      <c r="C20" s="2" t="s">
        <v>186</v>
      </c>
      <c r="D20" s="2" t="s">
        <v>59</v>
      </c>
      <c r="E20" s="2" t="s">
        <v>60</v>
      </c>
      <c r="F20" s="2" t="s">
        <v>61</v>
      </c>
      <c r="G20" s="2" t="s">
        <v>0</v>
      </c>
      <c r="H20" s="2" t="s">
        <v>6</v>
      </c>
      <c r="I20" s="2">
        <v>1</v>
      </c>
      <c r="J20" s="2">
        <v>12</v>
      </c>
      <c r="K20" s="2">
        <f>3*Tabla1[[#This Row],[Horas de Acompañamiento Directo '[HAD']]]</f>
        <v>36</v>
      </c>
      <c r="L20" s="2">
        <f>+Tabla1[[#This Row],[Horas de Acompañamiento Directo '[HAD']]]+Tabla1[[#This Row],[Horas de Trabajo Autónomo '[HTA']]]</f>
        <v>48</v>
      </c>
      <c r="M20" s="2" t="s">
        <v>187</v>
      </c>
      <c r="N20" s="2" t="s">
        <v>188</v>
      </c>
      <c r="O20" s="2" t="s">
        <v>189</v>
      </c>
      <c r="P20" s="2" t="str" cm="1">
        <f t="array" ref="P20">_xlfn.SWITCH(Tabla1[[#This Row],[Créditos Académicos]],2,"4 semanas",3,"6 semanas",24,"2 semestres",1,"1 semana")</f>
        <v>1 semana</v>
      </c>
      <c r="Q20" s="2" t="s">
        <v>65</v>
      </c>
      <c r="R20" s="2" t="s">
        <v>66</v>
      </c>
      <c r="S20" s="2" t="s">
        <v>67</v>
      </c>
      <c r="T20" s="3">
        <v>0.3</v>
      </c>
      <c r="U20" s="2" t="s">
        <v>68</v>
      </c>
      <c r="V20" s="2" t="s">
        <v>69</v>
      </c>
      <c r="W20" s="2">
        <v>1</v>
      </c>
      <c r="X20" s="40">
        <v>46083</v>
      </c>
      <c r="Y20" s="2" t="s">
        <v>70</v>
      </c>
      <c r="Z20" s="2" t="s">
        <v>71</v>
      </c>
      <c r="AA20" s="2" t="s">
        <v>72</v>
      </c>
      <c r="AB20" s="2" t="s">
        <v>73</v>
      </c>
    </row>
    <row r="21" spans="1:28" ht="87.5" x14ac:dyDescent="0.35">
      <c r="A21" s="2">
        <v>2026</v>
      </c>
      <c r="B21" s="2" t="s">
        <v>57</v>
      </c>
      <c r="C21" s="2" t="s">
        <v>190</v>
      </c>
      <c r="D21" s="2" t="s">
        <v>59</v>
      </c>
      <c r="E21" s="2" t="s">
        <v>60</v>
      </c>
      <c r="F21" s="2" t="s">
        <v>61</v>
      </c>
      <c r="G21" s="2" t="s">
        <v>0</v>
      </c>
      <c r="H21" s="2" t="s">
        <v>9</v>
      </c>
      <c r="I21" s="2">
        <v>3</v>
      </c>
      <c r="J21" s="2">
        <v>36</v>
      </c>
      <c r="K21" s="2">
        <f>3*Tabla1[[#This Row],[Horas de Acompañamiento Directo '[HAD']]]</f>
        <v>108</v>
      </c>
      <c r="L21" s="2">
        <f>+Tabla1[[#This Row],[Horas de Acompañamiento Directo '[HAD']]]+Tabla1[[#This Row],[Horas de Trabajo Autónomo '[HTA']]]</f>
        <v>144</v>
      </c>
      <c r="M21" s="2" t="s">
        <v>191</v>
      </c>
      <c r="N21" s="2" t="s">
        <v>192</v>
      </c>
      <c r="O21" s="2" t="s">
        <v>193</v>
      </c>
      <c r="P21" s="2" t="str" cm="1">
        <f t="array" ref="P21">_xlfn.SWITCH(Tabla1[[#This Row],[Créditos Académicos]],2,"4 semanas",3,"6 semanas",24,"2 semestres",1,"1 semana")</f>
        <v>6 semanas</v>
      </c>
      <c r="Q21" s="2" t="s">
        <v>194</v>
      </c>
      <c r="R21" s="2" t="s">
        <v>66</v>
      </c>
      <c r="S21" s="2" t="s">
        <v>67</v>
      </c>
      <c r="T21" s="3">
        <v>0.4</v>
      </c>
      <c r="U21" s="2" t="s">
        <v>195</v>
      </c>
      <c r="V21" s="2" t="s">
        <v>196</v>
      </c>
      <c r="W21" s="2">
        <v>1</v>
      </c>
      <c r="X21" s="40">
        <v>46083</v>
      </c>
      <c r="Y21" s="2" t="s">
        <v>70</v>
      </c>
      <c r="Z21" s="2" t="s">
        <v>71</v>
      </c>
      <c r="AA21" s="2" t="s">
        <v>72</v>
      </c>
      <c r="AB21" s="2" t="s">
        <v>73</v>
      </c>
    </row>
    <row r="22" spans="1:28" ht="87.5" x14ac:dyDescent="0.35">
      <c r="A22" s="2">
        <v>2026</v>
      </c>
      <c r="B22" s="2" t="s">
        <v>57</v>
      </c>
      <c r="C22" s="2" t="s">
        <v>197</v>
      </c>
      <c r="D22" s="2" t="s">
        <v>59</v>
      </c>
      <c r="E22" s="2" t="s">
        <v>60</v>
      </c>
      <c r="F22" s="2" t="s">
        <v>61</v>
      </c>
      <c r="G22" s="2" t="s">
        <v>0</v>
      </c>
      <c r="H22" s="2" t="s">
        <v>16</v>
      </c>
      <c r="I22" s="2">
        <v>3</v>
      </c>
      <c r="J22" s="2">
        <v>36</v>
      </c>
      <c r="K22" s="2">
        <f>3*Tabla1[[#This Row],[Horas de Acompañamiento Directo '[HAD']]]</f>
        <v>108</v>
      </c>
      <c r="L22" s="2">
        <f>+Tabla1[[#This Row],[Horas de Acompañamiento Directo '[HAD']]]+Tabla1[[#This Row],[Horas de Trabajo Autónomo '[HTA']]]</f>
        <v>144</v>
      </c>
      <c r="M22" s="2" t="s">
        <v>198</v>
      </c>
      <c r="N22" s="2" t="s">
        <v>199</v>
      </c>
      <c r="O22" s="2" t="s">
        <v>200</v>
      </c>
      <c r="P22" s="2" t="str" cm="1">
        <f t="array" ref="P22">_xlfn.SWITCH(Tabla1[[#This Row],[Créditos Académicos]],2,"4 semanas",3,"6 semanas",24,"2 semestres",1,"1 semana")</f>
        <v>6 semanas</v>
      </c>
      <c r="Q22" s="2" t="s">
        <v>201</v>
      </c>
      <c r="R22" s="2" t="s">
        <v>202</v>
      </c>
      <c r="S22" s="2" t="s">
        <v>67</v>
      </c>
      <c r="T22" s="3">
        <v>0.3</v>
      </c>
      <c r="U22" s="2" t="s">
        <v>68</v>
      </c>
      <c r="V22" s="2" t="s">
        <v>69</v>
      </c>
      <c r="W22" s="2">
        <v>1</v>
      </c>
      <c r="X22" s="40">
        <v>46083</v>
      </c>
      <c r="Y22" s="2" t="s">
        <v>70</v>
      </c>
      <c r="Z22" s="2" t="s">
        <v>71</v>
      </c>
      <c r="AA22" s="2" t="s">
        <v>72</v>
      </c>
      <c r="AB22" s="2" t="s">
        <v>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836A-188B-4A1B-822D-0278D431BF9B}">
  <sheetPr>
    <pageSetUpPr fitToPage="1"/>
  </sheetPr>
  <dimension ref="B1:K61"/>
  <sheetViews>
    <sheetView workbookViewId="0">
      <selection activeCell="K2" sqref="K2"/>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ADA01247</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4</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 investigación como un proceso de generación de conocimiento es la base del desarrollo de una tesis doctoral. La comprensión del problema objeto de la investigación, el diseño metodológico y la construcción del marco teórico son los elementos fundamentales del anteproyecto doctoral.</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Propone el anteproyecto del trabajo de tesis doctoral aplicando herramientas de habilidades conceptuales, metodológicas y de estilo, con el enfoque de investigación, desarrollo e innovación.</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8" t="str" cm="1">
        <f t="array" ref="C19">_xlfn.XLOOKUP($H$9,Tabla1[[Nombre Unidad de Estudios]:[Nombre Unidad de Estudios]],Tabla1[Módulo],"",0)</f>
        <v>4 semanas</v>
      </c>
      <c r="D19" s="9" t="s">
        <v>228</v>
      </c>
      <c r="E19" s="142" t="s">
        <v>229</v>
      </c>
      <c r="F19" s="143"/>
      <c r="G19" s="19" t="s">
        <v>230</v>
      </c>
      <c r="H19" s="144" t="s">
        <v>231</v>
      </c>
      <c r="I19" s="145"/>
    </row>
    <row r="20" spans="2:9" x14ac:dyDescent="0.35">
      <c r="B20" s="83" t="str" cm="1">
        <f t="array" ref="B20">_xlfn.XLOOKUP($H$9,Tabla1[[Nombre Unidad de Estudios]:[Nombre Unidad de Estudios]],Tabla1[Contenidos Unidad de Estudios],"",0)</f>
        <v>Presentación de la normativa institucional acerca de la unidad de estudios, la presentación del anteproyecto y la tesis doctoral. Presentación de versión preliminar de anteproyecto ante el grupo en general. Presentación acerca de estilo de redacción y manejo de normas APA.</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100% concepto de jurados evaluadores acorde con lineamientos dados por el Comité Doctoral.</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ht="15" thickBot="1" x14ac:dyDescent="0.4">
      <c r="B53" s="80"/>
      <c r="C53" s="81"/>
      <c r="D53" s="81"/>
      <c r="E53" s="82"/>
      <c r="F53" s="80"/>
      <c r="G53" s="81"/>
      <c r="H53" s="81"/>
      <c r="I53" s="82"/>
    </row>
    <row r="54" spans="2:9" x14ac:dyDescent="0.35">
      <c r="B54" s="47" t="s">
        <v>239</v>
      </c>
      <c r="C54" s="48"/>
      <c r="D54" s="48"/>
      <c r="E54" s="48"/>
      <c r="F54" s="48"/>
      <c r="G54" s="48"/>
      <c r="H54" s="48"/>
      <c r="I54" s="49"/>
    </row>
    <row r="55" spans="2:9" x14ac:dyDescent="0.35">
      <c r="B55" s="21" t="s">
        <v>51</v>
      </c>
      <c r="C55" s="1" t="s">
        <v>52</v>
      </c>
      <c r="D55" s="1" t="s">
        <v>53</v>
      </c>
      <c r="E55" s="1" t="s">
        <v>54</v>
      </c>
      <c r="F55" s="1" t="s">
        <v>55</v>
      </c>
      <c r="G55" s="43" t="s">
        <v>56</v>
      </c>
      <c r="H55" s="43"/>
      <c r="I55" s="44"/>
    </row>
    <row r="56" spans="2:9" ht="29" x14ac:dyDescent="0.35">
      <c r="B56" s="24" cm="1">
        <f t="array" ref="B56">_xlfn.XLOOKUP($H$9,Tabla1[[Nombre Unidad de Estudios]:[Nombre Unidad de Estudios]],Tabla1['# versión],"",0)</f>
        <v>1</v>
      </c>
      <c r="C56" s="27" cm="1">
        <f t="array" ref="C56">_xlfn.XLOOKUP($H$9,Tabla1[[Nombre Unidad de Estudios]:[Nombre Unidad de Estudios]],Tabla1[Fecha],"",0)</f>
        <v>46083</v>
      </c>
      <c r="D56" s="22" t="str" cm="1">
        <f t="array" ref="D56">_xlfn.XLOOKUP($H$9,Tabla1[[Nombre Unidad de Estudios]:[Nombre Unidad de Estudios]],Tabla1[Elaboró],"",0)</f>
        <v>Omar Patiño</v>
      </c>
      <c r="E56" s="22" t="str" cm="1">
        <f t="array" ref="E56">_xlfn.XLOOKUP($H$9,Tabla1[[Nombre Unidad de Estudios]:[Nombre Unidad de Estudios]],Tabla1[Revisó],"",0)</f>
        <v>Juan Carlos Rentería</v>
      </c>
      <c r="F56" s="22" t="str" cm="1">
        <f t="array" ref="F56">_xlfn.XLOOKUP($H$9,Tabla1[[Nombre Unidad de Estudios]:[Nombre Unidad de Estudios]],Tabla1[Aprobó],"",0)</f>
        <v>Comité Curricular</v>
      </c>
      <c r="G56" s="45" t="str" cm="1">
        <f t="array" ref="G56">_xlfn.XLOOKUP($H$9,Tabla1[[Nombre Unidad de Estudios]:[Nombre Unidad de Estudios]],Tabla1[Descripción del cambio],"",0)</f>
        <v>Creación syllabus en nuevo formato</v>
      </c>
      <c r="H56" s="45"/>
      <c r="I56" s="46"/>
    </row>
    <row r="57" spans="2:9" x14ac:dyDescent="0.35">
      <c r="B57" s="24"/>
      <c r="C57" s="22"/>
      <c r="D57" s="22"/>
      <c r="E57" s="22"/>
      <c r="F57" s="22"/>
      <c r="G57" s="45"/>
      <c r="H57" s="45"/>
      <c r="I57" s="46"/>
    </row>
    <row r="58" spans="2:9" x14ac:dyDescent="0.35">
      <c r="B58" s="24"/>
      <c r="C58" s="22"/>
      <c r="D58" s="22"/>
      <c r="E58" s="22"/>
      <c r="F58" s="22"/>
      <c r="G58" s="45"/>
      <c r="H58" s="45"/>
      <c r="I58" s="46"/>
    </row>
    <row r="59" spans="2:9" x14ac:dyDescent="0.35">
      <c r="B59" s="24"/>
      <c r="C59" s="22"/>
      <c r="D59" s="22"/>
      <c r="E59" s="22"/>
      <c r="F59" s="22"/>
      <c r="G59" s="45"/>
      <c r="H59" s="45"/>
      <c r="I59" s="46"/>
    </row>
    <row r="60" spans="2:9" x14ac:dyDescent="0.35">
      <c r="B60" s="24"/>
      <c r="C60" s="22"/>
      <c r="D60" s="22"/>
      <c r="E60" s="22"/>
      <c r="F60" s="22"/>
      <c r="G60" s="45"/>
      <c r="H60" s="45"/>
      <c r="I60" s="46"/>
    </row>
    <row r="61" spans="2:9" ht="15" thickBot="1" x14ac:dyDescent="0.4">
      <c r="B61" s="25"/>
      <c r="C61" s="26"/>
      <c r="D61" s="26"/>
      <c r="E61" s="26"/>
      <c r="F61" s="26"/>
      <c r="G61" s="41"/>
      <c r="H61" s="41"/>
      <c r="I61"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4:I54"/>
    <mergeCell ref="G55:I55"/>
    <mergeCell ref="G56:I56"/>
    <mergeCell ref="F44:I53"/>
    <mergeCell ref="B34:I34"/>
    <mergeCell ref="B40:E40"/>
    <mergeCell ref="F40:I40"/>
    <mergeCell ref="B41:E41"/>
    <mergeCell ref="F41:G41"/>
    <mergeCell ref="B35:I36"/>
    <mergeCell ref="B37:I39"/>
    <mergeCell ref="B43:E43"/>
    <mergeCell ref="B44:E53"/>
    <mergeCell ref="F43:I43"/>
    <mergeCell ref="B42:I42"/>
    <mergeCell ref="G57:I57"/>
    <mergeCell ref="G58:I58"/>
    <mergeCell ref="G59:I59"/>
    <mergeCell ref="G60:I60"/>
    <mergeCell ref="G61:I61"/>
  </mergeCells>
  <hyperlinks>
    <hyperlink ref="K2" display="Menu principal" xr:uid="{00000000-0004-0000-02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Tabla!$H$2:$H$22</xm:f>
          </x14:formula1>
          <xm:sqref>H9:I9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86D4-4DBC-4AF7-8223-95D765D673C1}">
  <sheetPr>
    <pageSetUpPr fitToPage="1"/>
  </sheetPr>
  <dimension ref="B1:K61"/>
  <sheetViews>
    <sheetView topLeftCell="A12"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FPA00020</v>
      </c>
      <c r="H7" s="12" t="s">
        <v>212</v>
      </c>
      <c r="I7" s="11" t="str" cm="1">
        <f t="array" ref="I7">_xlfn.XLOOKUP($H$9,Tabla1[[Nombre Unidad de Estudios]:[Nombre Unidad de Estudios]],Tabla1[Tipo Unidad de Estudios],"",0)</f>
        <v>Transversal</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18</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El emprendimiento, entendido como la acción que lleva a la creación de empresas, se ha consolidado como estrategia de desarrollo social y económico. Esta unidad analiza las oportunidades de emprendimiento sostenible en distintos contextos socioeconómicos.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Desarrolla técnicas y estrategias de innovación ante problemáticas de generación y sostenibilidad de los recursos a partir del uso de metodologías de preservación y emprendimiento social para transformar organizaciones y territorios.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Aproximaciones teóricas generales al estudio del emprendimiento. Teorías relevantes. Estudios conceptuales sobre la incidencia del entorno en el surgimiento de nuevas empresas. Investigaciones empíricas sobre el entorno y la actividad emprendedora. La investigación en emprendimiento y perspectiva.</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Trabajo monográfico: 35%. Presentación y discusión de resúmenes analíticos: 35%. Actividades de debate y reflexión, participación como comentarista: 30%.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0.5</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Bosma, N. &amp; Kelley, D. (2020). GEM Global Report 2019/2020. Global Entrepreneurship Monitor. https://www.gemconsortium.org/reports/latest-global-report
Varela, R., Pereira, F., Gómez, L. &amp; Parra, L. (2020). Dinámica de la Actividad Empresarial en Colombia, Informe GEM Colombia (2019/2020). ICESI Ed. http://gemcolombia.org/publicaciones/
Valencia-Arias, A. et al. (2017). [Referencia en syllabus].</v>
      </c>
      <c r="C44" s="78"/>
      <c r="D44" s="78"/>
      <c r="E44" s="79"/>
      <c r="F44" s="77" t="str" cm="1">
        <f t="array" ref="F44">_xlfn.XLOOKUP($H$9,Tabla1[[Nombre Unidad de Estudios]:[Nombre Unidad de Estudios]],Tabla1[Bibliografia Complementaria],"",0)</f>
        <v>Gartner, W. B., Welter, F., Baker, T. &amp; Audretsch, D. B. (2016). Everyday Entrepreneurship. Entrepreneurship, Theory and Practice, 41(3). Sage. https://www.researchgate.net/profile/William_Gartner3/publication/309145495</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ht="15" thickBot="1" x14ac:dyDescent="0.4">
      <c r="B53" s="80"/>
      <c r="C53" s="81"/>
      <c r="D53" s="81"/>
      <c r="E53" s="82"/>
      <c r="F53" s="80"/>
      <c r="G53" s="81"/>
      <c r="H53" s="81"/>
      <c r="I53" s="82"/>
    </row>
    <row r="54" spans="2:9" x14ac:dyDescent="0.35">
      <c r="B54" s="47" t="s">
        <v>239</v>
      </c>
      <c r="C54" s="48"/>
      <c r="D54" s="48"/>
      <c r="E54" s="48"/>
      <c r="F54" s="48"/>
      <c r="G54" s="48"/>
      <c r="H54" s="48"/>
      <c r="I54" s="49"/>
    </row>
    <row r="55" spans="2:9" x14ac:dyDescent="0.35">
      <c r="B55" s="21" t="s">
        <v>51</v>
      </c>
      <c r="C55" s="1" t="s">
        <v>52</v>
      </c>
      <c r="D55" s="1" t="s">
        <v>53</v>
      </c>
      <c r="E55" s="1" t="s">
        <v>54</v>
      </c>
      <c r="F55" s="1" t="s">
        <v>55</v>
      </c>
      <c r="G55" s="43" t="s">
        <v>56</v>
      </c>
      <c r="H55" s="43"/>
      <c r="I55" s="44"/>
    </row>
    <row r="56" spans="2:9" ht="29" x14ac:dyDescent="0.35">
      <c r="B56" s="24" cm="1">
        <f t="array" ref="B56">_xlfn.XLOOKUP($H$9,Tabla1[[Nombre Unidad de Estudios]:[Nombre Unidad de Estudios]],Tabla1['# versión],"",0)</f>
        <v>1</v>
      </c>
      <c r="C56" s="27" cm="1">
        <f t="array" ref="C56">_xlfn.XLOOKUP($H$9,Tabla1[[Nombre Unidad de Estudios]:[Nombre Unidad de Estudios]],Tabla1[Fecha],"",0)</f>
        <v>46083</v>
      </c>
      <c r="D56" s="22" t="str" cm="1">
        <f t="array" ref="D56">_xlfn.XLOOKUP($H$9,Tabla1[[Nombre Unidad de Estudios]:[Nombre Unidad de Estudios]],Tabla1[Elaboró],"",0)</f>
        <v>Omar Patiño</v>
      </c>
      <c r="E56" s="22" t="str" cm="1">
        <f t="array" ref="E56">_xlfn.XLOOKUP($H$9,Tabla1[[Nombre Unidad de Estudios]:[Nombre Unidad de Estudios]],Tabla1[Revisó],"",0)</f>
        <v>Juan Carlos Rentería</v>
      </c>
      <c r="F56" s="22" t="str" cm="1">
        <f t="array" ref="F56">_xlfn.XLOOKUP($H$9,Tabla1[[Nombre Unidad de Estudios]:[Nombre Unidad de Estudios]],Tabla1[Aprobó],"",0)</f>
        <v>Comité Curricular</v>
      </c>
      <c r="G56" s="45" t="str" cm="1">
        <f t="array" ref="G56">_xlfn.XLOOKUP($H$9,Tabla1[[Nombre Unidad de Estudios]:[Nombre Unidad de Estudios]],Tabla1[Descripción del cambio],"",0)</f>
        <v>Creación syllabus en nuevo formato</v>
      </c>
      <c r="H56" s="45"/>
      <c r="I56" s="46"/>
    </row>
    <row r="57" spans="2:9" x14ac:dyDescent="0.35">
      <c r="B57" s="24"/>
      <c r="C57" s="22"/>
      <c r="D57" s="22"/>
      <c r="E57" s="22"/>
      <c r="F57" s="22"/>
      <c r="G57" s="45"/>
      <c r="H57" s="45"/>
      <c r="I57" s="46"/>
    </row>
    <row r="58" spans="2:9" x14ac:dyDescent="0.35">
      <c r="B58" s="24"/>
      <c r="C58" s="22"/>
      <c r="D58" s="22"/>
      <c r="E58" s="22"/>
      <c r="F58" s="22"/>
      <c r="G58" s="45"/>
      <c r="H58" s="45"/>
      <c r="I58" s="46"/>
    </row>
    <row r="59" spans="2:9" x14ac:dyDescent="0.35">
      <c r="B59" s="24"/>
      <c r="C59" s="22"/>
      <c r="D59" s="22"/>
      <c r="E59" s="22"/>
      <c r="F59" s="22"/>
      <c r="G59" s="45"/>
      <c r="H59" s="45"/>
      <c r="I59" s="46"/>
    </row>
    <row r="60" spans="2:9" x14ac:dyDescent="0.35">
      <c r="B60" s="24"/>
      <c r="C60" s="22"/>
      <c r="D60" s="22"/>
      <c r="E60" s="22"/>
      <c r="F60" s="22"/>
      <c r="G60" s="45"/>
      <c r="H60" s="45"/>
      <c r="I60" s="46"/>
    </row>
    <row r="61" spans="2:9" ht="15" thickBot="1" x14ac:dyDescent="0.4">
      <c r="B61" s="25"/>
      <c r="C61" s="26"/>
      <c r="D61" s="26"/>
      <c r="E61" s="26"/>
      <c r="F61" s="26"/>
      <c r="G61" s="41"/>
      <c r="H61" s="41"/>
      <c r="I61"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4:I54"/>
    <mergeCell ref="B34:I34"/>
    <mergeCell ref="B35:I36"/>
    <mergeCell ref="B37:I39"/>
    <mergeCell ref="B40:E40"/>
    <mergeCell ref="F40:I40"/>
    <mergeCell ref="B41:E41"/>
    <mergeCell ref="F41:G41"/>
    <mergeCell ref="B42:I42"/>
    <mergeCell ref="B43:E43"/>
    <mergeCell ref="F43:I43"/>
    <mergeCell ref="B44:E53"/>
    <mergeCell ref="F44:I53"/>
    <mergeCell ref="G61:I61"/>
    <mergeCell ref="G55:I55"/>
    <mergeCell ref="G56:I56"/>
    <mergeCell ref="G57:I57"/>
    <mergeCell ref="G58:I58"/>
    <mergeCell ref="G59:I59"/>
    <mergeCell ref="G60:I60"/>
  </mergeCells>
  <hyperlinks>
    <hyperlink ref="K2" display="Menu principal" xr:uid="{00000000-0004-0000-03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Tabla!$H$2:$H$22</xm:f>
          </x14:formula1>
          <xm:sqref>H9:I9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A562-9F67-4080-A6BD-133507571BC2}">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FPA00021</v>
      </c>
      <c r="H7" s="12" t="s">
        <v>212</v>
      </c>
      <c r="I7" s="11" t="str" cm="1">
        <f t="array" ref="I7">_xlfn.XLOOKUP($H$9,Tabla1[[Nombre Unidad de Estudios]:[Nombre Unidad de Estudios]],Tabla1[Tipo Unidad de Estudios],"",0)</f>
        <v>Transversal</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12</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Este curso aborda la complejidad de la sostenibilidad desde una perspectiva multidisciplinaria. Su propósito es que los estudiantes logren comprenderla y aplicarla en la gestión de organizaciones y territorios.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Estructura modelos de diagnóstico a problemas bajo estudio mediante la aplicación de herramientas de gestión sostenible que redunden en los resultados de los territorios.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1. Fundamentos del desarrollo sostenible y la sostenibilidad en las organizaciones. 2. Integración de conceptos y teorías en modelos de gestión sostenible. 3. Análisis de modelos y de casos. 4. Diagnóstico organizacional bajo el enfoque de sostenibilidad. 5. Estudios de caso: aplicación y evaluación de modelos.</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Evaluación de entrega final: caso de estudio / working paper. 100%.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 Google tools</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0.4</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Aguilar Zuluaga, I. (2018). Principios de desarrollo económico (3a ed.). Ecoe ediciones.
Areal, A., McIntosh, B. &amp; Sheppy, B. (2016). Hope and glory: an expanded social strategy diagnosis model. International Journal of Business Performance Management, 17(2), 117-131.
Austermühle, S. (2015). Sostenibilidad y ecoeficiencia en la empresa moderna. Universidad Peruana de Ciencias Aplicadas.
Arias Arbeláez, F. A. (2006). Desarrollo sostenible y sus indicadores. CIDSE.</v>
      </c>
      <c r="C44" s="78"/>
      <c r="D44" s="78"/>
      <c r="E44" s="79"/>
      <c r="F44" s="77" t="str" cm="1">
        <f t="array" ref="F44">_xlfn.XLOOKUP($H$9,Tabla1[[Nombre Unidad de Estudios]:[Nombre Unidad de Estudios]],Tabla1[Bibliografia Complementaria],"",0)</f>
        <v>Jiménez Herrero, L. M. (2018). Desarrollo sostenible: transición hacia la coevolución global. Ediciones Pirámide. https://elibro-net.bdbiblioteca.universidadean.edu.co
López Medina, J. D., París Restrepo, R. M. &amp; Arboleda Pereira, J. F. (2019). Hacia el reto de marcas sostenibles. Universidad Católica Luis Amigó.
Luna González, A. C. (2015). Administración estratégica. Grupo Editorial Patria.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4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Tabla!$H$2:$H$22</xm:f>
          </x14:formula1>
          <xm:sqref>H9:I9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7D15-2AEE-453E-B2DA-96CABB2FEB17}">
  <sheetPr>
    <pageSetUpPr fitToPage="1"/>
  </sheetPr>
  <dimension ref="B1:K65"/>
  <sheetViews>
    <sheetView topLeftCell="A17" workbookViewId="0">
      <selection activeCell="B20" sqref="B20:C33"/>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ADA01234</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10</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
        <v>91</v>
      </c>
      <c r="E12" s="112"/>
      <c r="F12" s="112"/>
      <c r="G12" s="112"/>
      <c r="H12" s="112"/>
      <c r="I12" s="113"/>
    </row>
    <row r="13" spans="2:11" ht="66" customHeight="1" x14ac:dyDescent="0.35">
      <c r="B13" s="114" t="s">
        <v>224</v>
      </c>
      <c r="C13" s="115"/>
      <c r="D13" s="116" t="s">
        <v>92</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
        <v>93</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individual en debates: 30%. Elaboración de talleres individuales: 40%. Elaboración de talleres en equipo: 30%.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Allas, T. &amp; Schaninger, B. (2020). The boss factor: Making the world a better place through workplace relationships. McKinsey Quarterly. https://www.mckinsey.com/business-functions/organization/our-insights/the-boss-factor
Blanch, J., Gil, F., Antino, M. &amp; Rodríguez-Muñoz, A. (2016). Modelos de Liderazgo Positivo: Marco Teórico y Líneas de Investigación. Papeles del Psicólogo, 37(3), 170-176.</v>
      </c>
      <c r="C44" s="78"/>
      <c r="D44" s="78"/>
      <c r="E44" s="79"/>
      <c r="F44" s="77" t="str" cm="1">
        <f t="array" ref="F44">_xlfn.XLOOKUP($H$9,Tabla1[[Nombre Unidad de Estudios]:[Nombre Unidad de Estudios]],Tabla1[Bibliografia Complementaria],"",0)</f>
        <v>Deloitte Insights. (2020). La empresa Social en acción: la paradoja como camino hacia adelante. Deloitte Development LLC. https://www2.deloitte.com/co/es/pages/human-capital/articles/tendencias-globales-de-capital-humano-2020.html</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5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Tabla!$H$2:$H$22</xm:f>
          </x14:formula1>
          <xm:sqref>H9:I9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4233-02CB-41B4-A728-35D0A1249202}">
  <sheetPr>
    <pageSetUpPr fitToPage="1"/>
  </sheetPr>
  <dimension ref="B1:K65"/>
  <sheetViews>
    <sheetView workbookViewId="0">
      <selection activeCell="K2" sqref="K2"/>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ADA01235</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11</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Entender los retos fundamentales de los negocios requiere de una visión práctica de la gestión financiera eficaz, que logre desarrollar capacidades y habilidades para la toma de decisiones en proyectos sostenibles.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Diseña propuestas y estrategias financieras eficientes a través de proyectos sostenibles que logren el mejor aprovechamiento de las oportunidades en los territorios.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El valor del dinero en el tiempo. Interpretación de los estados financieros. Valoración de empresas. Evaluación de proyectos, bonos y acciones. Riesgo. Costo del capital propio. Estructura del capital. Gobierno corporativo.</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clase: 30%. Presentación de artículos: 40%. Ejercicios: 30%.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0.4</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Berk, J. (2017). Corporate finance (4a ed.). Pearson Educación. https://www-ebooks7-24-com.bdbiblioteca.universidadean.edu.co/?il=5388
Vera-Colina, M. A. (2012). Metodología para el análisis de la gestión financiera en Pymes. SSRN. https://ssrn.com/abstract=2591117
Bonet-Morón, J. &amp; Pérez-Valbuena, G. J. [Referencia en syllabus].</v>
      </c>
      <c r="C44" s="78"/>
      <c r="D44" s="78"/>
      <c r="E44" s="79"/>
      <c r="F44" s="77" t="str" cm="1">
        <f t="array" ref="F44">_xlfn.XLOOKUP($H$9,Tabla1[[Nombre Unidad de Estudios]:[Nombre Unidad de Estudios]],Tabla1[Bibliografia Complementaria],"",0)</f>
        <v>Mejia-Escobar, J. C., González-Ruiz, J. D. &amp; Duque-Grisales, E. (2020). Sustainable financial products in the latin america banking industry. Sustainability, 12(14). https://doi.org/10.3390/su12145648
BVC (2014). Guía del Mercado de Valores. https://www.bvc.com.co
IIRC (2013). The International (IR) framework. https://integratedreporting.org</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6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Tabla!$H$2:$H$22</xm:f>
          </x14:formula1>
          <xm:sqref>H9:I9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5048-0E57-47E3-9DC7-36D0AB031B36}">
  <sheetPr>
    <pageSetUpPr fitToPage="1"/>
  </sheetPr>
  <dimension ref="B1:K65"/>
  <sheetViews>
    <sheetView topLeftCell="A32"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ADA01236</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14</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Dadas las necesidades de reactivación económica y social de los países en temas socioeconómicos causados por diferentes crisis a nivel mundial, se hace necesario explorar las tendencias de gestión tecnológica e innovación social para la transformación de ciudades y territorios.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Evalúa las tendencias de gestión tecnológicas que surgen a partir de procesos de innovación social a través de estrategias y herramientas de innovación para alcanzar un adecuado nivel de técnicas y tecnologías en ciudades y territorios.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1. Tendencias de gestión de la Innovación Tecnológica. 2. Gestión de las tecnologías en ciudades y territorios inteligentes. 3. Innovación Social. 4. Estrategias para el desarrollo de Rutas de Innovación Empresarial.</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clase: 30%. Evaluación de entrega final: caso de estudio / working paper: 70%.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0.1</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Dyer, J., Gregersen, H. &amp; Christensen, C. (2011). The Innovator's DNA. Harvard Business Review Press.
Ramírez-Salazar, M. P. (2016). Modelo de Innovación Abierta Colaborativa. Tesis Doctoral, Ediciones EAN.
Domingo, C. (2013). El Viaje de la Innovación (Cap. 2). Biblioteca EAN.
Drucker, P. (1986). Innovation and Entrepreneurship.</v>
      </c>
      <c r="C44" s="78"/>
      <c r="D44" s="78"/>
      <c r="E44" s="79"/>
      <c r="F44" s="77" t="str" cm="1">
        <f t="array" ref="F44">_xlfn.XLOOKUP($H$9,Tabla1[[Nombre Unidad de Estudios]:[Nombre Unidad de Estudios]],Tabla1[Bibliografia Complementaria],"",0)</f>
        <v>Schoemaker, P. J. H., Day, G. S. &amp; Gunther, R. E. (2004). Managing Emerging Technologies. Wharton.
Perez-Uribe, R., Ramirez-Salazar, M. P. &amp; Moscoso-Duran, F. (2018). Modelo Ean-Rise. Revista Opción, 34(18), 1142-1186. https://www.researchgate.net/publication/333191293</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7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Tabla!$H$2:$H$22</xm:f>
          </x14:formula1>
          <xm:sqref>H9:I9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825C-DC52-4DD5-84F9-D446EABCBD39}">
  <sheetPr>
    <pageSetUpPr fitToPage="1"/>
  </sheetPr>
  <dimension ref="B1:K65"/>
  <sheetViews>
    <sheetView tabSelected="1" topLeftCell="A9" workbookViewId="0">
      <selection activeCell="B20" sqref="B20:C33"/>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ADA01237</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22</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
        <v>112</v>
      </c>
      <c r="E12" s="112"/>
      <c r="F12" s="112"/>
      <c r="G12" s="112"/>
      <c r="H12" s="112"/>
      <c r="I12" s="113"/>
    </row>
    <row r="13" spans="2:11" ht="66" customHeight="1" thickBot="1" x14ac:dyDescent="0.4">
      <c r="B13" s="114" t="s">
        <v>224</v>
      </c>
      <c r="C13" s="115"/>
      <c r="D13" s="116" t="s">
        <v>113</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
        <v>114</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Dirección de sesión Individual / Grupal: 25%. Desarrollo Individual de casos: 25%. Redacción final individual artículos: 40%. Participación constructiva en las sesiones: 10%.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0.6</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Murnieks, C. Y., Klotz, A. C. &amp; Shepherd, D. A. (2020). Entrepreneurial motivation. Journal of Organizational Behavior, 41, 115-143.
Zeng, M. (2019). Alibaba and the Future of Business. Harvard Business Review. https://hbr.org/2018/09/alibaba-and-the-future-of-business
Zhu, F. &amp; Lansiti, M. (2019). Why Some Platforms Thrive and Others Don't. Harvard Business Review. https://hbr.org/2019/01/why-some-platforms-thrive-and-others-dont</v>
      </c>
      <c r="C44" s="78"/>
      <c r="D44" s="78"/>
      <c r="E44" s="79"/>
      <c r="F44" s="77" t="str" cm="1">
        <f t="array" ref="F44">_xlfn.XLOOKUP($H$9,Tabla1[[Nombre Unidad de Estudios]:[Nombre Unidad de Estudios]],Tabla1[Bibliografia Complementaria],"",0)</f>
        <v>Lawrence, T. B., Suddaby, R. &amp; Leca, B. (2009). Introduction: theorizing and studying Institutional work. https://thomaslawrence.files.wordpress.com
Lundin, M. (2007). Explaining Cooperation. Journal of Public Administration Research and Theory, 17(4), 651-672.
Freeman, J. H. &amp; Audia, P. G. (2006). Community ecology and the sociology of organizations.</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8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Tabla!$H$2:$H$22</xm:f>
          </x14:formula1>
          <xm:sqref>H9:I9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9850-8149-469D-90E7-6B4506564BA7}">
  <sheetPr>
    <pageSetUpPr fitToPage="1"/>
  </sheetPr>
  <dimension ref="B1:K65"/>
  <sheetViews>
    <sheetView topLeftCell="A7" workbookViewId="0">
      <selection activeCell="B20" sqref="B20:C33"/>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ADA01238</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15</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
        <v>119</v>
      </c>
      <c r="E12" s="112"/>
      <c r="F12" s="112"/>
      <c r="G12" s="112"/>
      <c r="H12" s="112"/>
      <c r="I12" s="113"/>
    </row>
    <row r="13" spans="2:11" ht="66" customHeight="1" thickBot="1" x14ac:dyDescent="0.4">
      <c r="B13" s="114" t="s">
        <v>224</v>
      </c>
      <c r="C13" s="115"/>
      <c r="D13" s="116" t="s">
        <v>120</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
        <v>121</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50% Working Paper - Individual o en Parejas (15 referencias académicas por integrante). 25% Tipificación de Artículos (antes del módulo). 25% Exposición de artículo de literatura académica en una sesión.</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0.7</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Amado, A., Cortez, P., Rita, P. &amp; Moro, S. (2018). Research trends on Big Data in Marketing. European Research on Management and Business Economics, 24(1), 1-7. https://doi.org/10.1016/j.iedeen.2017.06.002
De Haan, E., Wiesel, T. &amp; Pauwels, K. (2015). The effectiveness of different forms of online advertising. International Journal of Research in Marketing, 33(3), 491-507. https://doi.org/10.1016/j.ijresmar.2015.12.001</v>
      </c>
      <c r="C44" s="78"/>
      <c r="D44" s="78"/>
      <c r="E44" s="79"/>
      <c r="F44" s="77" t="str" cm="1">
        <f t="array" ref="F44">_xlfn.XLOOKUP($H$9,Tabla1[[Nombre Unidad de Estudios]:[Nombre Unidad de Estudios]],Tabla1[Bibliografia Complementaria],"",0)</f>
        <v>Cacciolatti, L. &amp; Lee, S. H. (2016). Revisiting the relationship between marketing capabilities and firm performance. Journal of Business Research, 69(12), 5597-5610. https://doi.org/10.1016/j.jbusres.2016.03.067
Daud, S. &amp; Asha'ari, M. J. (2018). Sustainable Marketing and Corporate Sustainability Performance. Global Business and Management Research, 10(8), 919-929.</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9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Tabla!$H$2:$H$22</xm:f>
          </x14:formula1>
          <xm:sqref>H9:I9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7FE0-76B2-4865-8751-3DA6C110DB15}">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ADA01239</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8</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El estudio de las relaciones económicas contemporáneas es un componente esencial para la comprensión de la situación actual de nuestras sociedades, así como para la formulación de estrategias de desarrollo sostenible.</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Identifica los principales desafíos que enfrenta la economía contemporánea para el logro de un espacio seguro en la sociedad y con la humanidad.</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La economía en el marco de las restricciones ecológicas. Un espacio seguro para la humanidad. Perspectivas de análisis: economía tradicional, economía ambiental, economía ecológica, ecología industrial, economía de la sostenibilidad. Fundamentos y principales debates en microeconomía.</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foros: 20%. Ejercicios: 30%. Trabajo final: 30%. Presentación final: 20%.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0.5</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Bernal, R. &amp; Peña, X. (2011). Guía Práctica de Evaluación de impacto. Universidad de los Andes.
Cárdenas, J. C. (2010). Dilemas de lo colectivo. Universidad de los Andes, Ediciones Uniandes.
Costanza, R. et al. (2014). An introduction to ecological economics (2nd ed.). CRC Press.</v>
      </c>
      <c r="C44" s="78"/>
      <c r="D44" s="78"/>
      <c r="E44" s="79"/>
      <c r="F44" s="77" t="str" cm="1">
        <f t="array" ref="F44">_xlfn.XLOOKUP($H$9,Tabla1[[Nombre Unidad de Estudios]:[Nombre Unidad de Estudios]],Tabla1[Bibliografia Complementaria],"",0)</f>
        <v>Sachs, J. (2016). La era del desarrollo sostenible. Paidós Empresa.
Tirole, J. (2017). La economía del bien común. Penguin Random House Grupo Editorial.</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A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Tabla!$H$2:$H$22</xm:f>
          </x14:formula1>
          <xm:sqref>H9:I9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F6A71-9CAC-48A0-BB89-D0F03898C7DA}">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ADA01240</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7</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En esta unidad de estudios el estudiante aprenderá el modelo de producción y consumo que implica compartir, alquilar, reutilizar, reparar, renovar y reciclar materiales y productos existentes el mayor tiempo posible.</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Conceptualiza el desarrollo sostenible a partir del análisis de modelos alternativos que promueven una visión desde lo local, empresarial y de comercio internacional.</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Sostenibilidad: Oportunidades y estrategias para la industria. Planificación e implementación de sistemas de infraestructura sostenible. Análisis del ciclo de vida: Método para evaluar las cargas ambientales. Modelo de economía circular. Aplicaciones de la economía circular.</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foros: 20%. Ejercicios: 30%. Trabajo final: 30%. Presentación final: 20%.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0.5</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Cárdenas, J. C. (2010). Dilemas de lo colectivo. Universidad de los Andes, Ediciones Uniandes.
Costanza, R. et al. (2014). An introduction to ecological economics (2nd ed.). CRC Press.
Daly, H. &amp; Farley, J. (2004). Ecological economics: principles and applications. Island Press.</v>
      </c>
      <c r="C44" s="78"/>
      <c r="D44" s="78"/>
      <c r="E44" s="79"/>
      <c r="F44" s="77" t="str" cm="1">
        <f t="array" ref="F44">_xlfn.XLOOKUP($H$9,Tabla1[[Nombre Unidad de Estudios]:[Nombre Unidad de Estudios]],Tabla1[Bibliografia Complementaria],"",0)</f>
        <v>Bernal, R. &amp; Peña, X. (2011). Guía Práctica de Evaluación de impacto. Universidad de los Andes.
Sachs, J. (2016). La era del desarrollo sostenible. Paidós Empresa.
Tirole, J. (2017). La economía del bien común. Penguin Random House Grupo Editorial.</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B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Tabla!$H$2:$H$22</xm:f>
          </x14:formula1>
          <xm:sqref>H9:I9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2D15-C7E4-451A-B93D-21BF46EE970D}">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ADA01241</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13</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El curso de Gobernanza Territorial busca dotar al estudiante de elementos que le permitan entender la importancia de los territorios, sus instituciones y los diferentes actores involucrados en los procesos de gobierno y gobernanza.</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Determina parámetros en la gestión de espacio y territorio con base en la normatividad y leyes pertinentes a las realidades del gobierno y gobernanza territorial que propendan en mejores resultados gubernamentales.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Espacio y territorio. Territorio y territorialidades. Gobierno y gobernanza. Gobernanza territorial. Realidades de la gobernanza territorial.</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foros: 20%. Trabajo final: 40%. Presentación final: 40%.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0.2</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Bahl, R. (2013). The decentralization of governance in metropolitan areas. In Financing metropolitan governments in developing countries. Lincoln Institute of Land Policy. https://www.lincolninst.edu
Berdegué, J. A. &amp; Modrego Benito, F. (2016). Los dilemas territoriales del desarrollo en América Latina. Universidad de los Andes. https://elibro-net.bdbiblioteca.universidadean.edu.co</v>
      </c>
      <c r="C44" s="78"/>
      <c r="D44" s="78"/>
      <c r="E44" s="79"/>
      <c r="F44" s="77" t="str" cm="1">
        <f t="array" ref="F44">_xlfn.XLOOKUP($H$9,Tabla1[[Nombre Unidad de Estudios]:[Nombre Unidad de Estudios]],Tabla1[Bibliografia Complementaria],"",0)</f>
        <v>Borda, O. F. (1973). Reflexiones sobre la aplicación del método de estudio-acción en Colombia. Revista Mexicana de Sociología.
Borda, O. F. (2001). Cuarenta años de la sociología en Colombia. Revista Colombiana de Sociología, 6(1), 7-15.
Cenizal, C. (2015). Governing the metropolis. Massachusetts Institute of Technology.</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C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Tabla!$H$2:$H$22</xm:f>
          </x14:formula1>
          <xm:sqref>H9:I9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4143-9BA3-49B5-9100-D59403D6F7CA}">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ADA01242</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19</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En los últimos siglos, las ciencias han estado sujetas al desarrollo de la ciencia clásica, cuya comprensión responde a una condición histórica. Esta unidad aborda el pensamiento sistémico, complejo y holístico para la comprensión de fenómenos no lineales en organizaciones y territorios.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Aplica procesos de generación de nuevo conocimiento a problemas no lineales y de complejidad a partir de la aplicación de técnicas de administración, filosofía, sociología, ecología y otras disciplinas que coadyuven a la sostenibilidad de las organizaciones.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Pensamiento sistémico, pensamiento complejo y ciencias de la complejidad. Fundamentos de la ciencia holística de la vida. Noción del 'fenómeno de la vida'. Enfoque enactivo sobre la vida y la cognición. Fenómenos no-lineales y complejidad de las organizaciones y los territorios. Administración y complejidad.</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foros: 20%. Desarrollo de actividades: 20%. Trabajo final: 20%. Presentación final: 40%.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Andrade, G. I. et al. (eds.) (2018). Transiciones socioecológicas hacia la sostenibilidad. Instituto Humboldt. http://repository.humboldt.org.co/handle/20.500.11761/35145
Bialakowsky, A., Arnold-Cathalifaud, M., Martins, P. &amp; Coronado, J. (2018). Diálogos sobre el conocimiento, la complejidad, el desarrollo y la geopolítica.</v>
      </c>
      <c r="C44" s="78"/>
      <c r="D44" s="78"/>
      <c r="E44" s="79"/>
      <c r="F44" s="77" t="str" cm="1">
        <f t="array" ref="F44">_xlfn.XLOOKUP($H$9,Tabla1[[Nombre Unidad de Estudios]:[Nombre Unidad de Estudios]],Tabla1[Bibliografia Complementaria],"",0)</f>
        <v>Prigogine, I. &amp; Nicolis, G. (1994). La estructura de lo complejo. Alianza Universidad.
Tapia, C., Villa, C. M. &amp; Hernández, A. M. (eds.) (2015). Biodiversidad y Bienestar. Instituto Humboldt. http://repository.humboldt.org.co
Vidal, J. P. (2015). Autopoiesis, autoorganización y cierre operativo en las organizaciones.</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D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Tabla!$H$2:$H$22</xm:f>
          </x14:formula1>
          <xm:sqref>H9:I9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B5B7-3138-47E9-A22F-E60A60464691}">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ADA01243</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23</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El curso busca que el estudiante comprenda las diferentes herramientas con las que cuentan los territorios para responder de manera eficiente a las necesidades y preferencias de sus ciudadanos, con un enfoque de sostenibilidad e inteligencia territorial.</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Plantea opciones de respuestas de gestión efectiva a situaciones problémicas a través del uso de instrumentos y herramientas de información disponibles para el mejoramiento de la comunidad.</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Conceptualización de territorios funcionales. Conceptualización de los territorios inteligentes. Territorios inteligentes, información y economía. Organización y resiliencia territorial.</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foros: 20%. Desarrollo de actividades: 20%. Trabajo final: 20%. Presentación final: 40%.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0.2</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Berdegué, J. J. (2011). Territorios funcionales en Chile. Documento de Trabajo N102. Rimisp.
Blowers, A. (1993). Planning for a Sustainable Environment. Earthscan.
Castro Castro, L. J. (2018). La planeación sostenible de ciudades. FCE. https://elibro-net.bdbiblioteca.universidadean.edu.co
Comisión Europea (2011). Ciudades del mañana.</v>
      </c>
      <c r="C44" s="78"/>
      <c r="D44" s="78"/>
      <c r="E44" s="79"/>
      <c r="F44" s="77" t="str" cm="1">
        <f t="array" ref="F44">_xlfn.XLOOKUP($H$9,Tabla1[[Nombre Unidad de Estudios]:[Nombre Unidad de Estudios]],Tabla1[Bibliografia Complementaria],"",0)</f>
        <v>Clerici, N. &amp; Naranjo, L. (2017). En diálogo con la tierra: por una Colombia sostenible. Universidad del Rosario. https://elibro-net.bdbiblioteca.universidadean.edu.co
Moreno Pérez, M. &amp; Martínez Cerna, L. (2016). Desafíos para el desarrollo. RIL editores.
Oliva Serrano, J. (2018). Movilidades, trayectorias vitales y sostenibilidad rural.</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E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Tabla!$H$2:$H$22</xm:f>
          </x14:formula1>
          <xm:sqref>H9:I9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3AD7-585E-44F3-BB6E-D292B21B83FD}">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ADA01244</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20</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 unidad de estudios Seminario de Investigación I tiene como propósito orientar a los doctorandos respecto a la normatividad de lineamientos para la construcción del proyecto de investigación doctoral.</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Diseña un proyecto de investigación aplicando el método científico y/o modelos pertinentes para resolver una problemática desde una perspectiva transdisciplinar, de las organizaciones en un entorno de desarrollo sostenible.</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Lineamientos de funcionamiento de doctorados en la Universidad EAN. Grupos y líneas de investigación en la Universidad EAN. Manejo de bases de datos en la biblioteca virtual. Enfoques de investigación. Planteamiento de problema de investigación.</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30% Evaluación de exposición oral, debates, argumentación y talleres. 35% Primer avance de investigación. 35% Informe final de investigación con planteamiento del problema.</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0F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Tabla!$H$2:$H$22</xm:f>
          </x14:formula1>
          <xm:sqref>H9:I9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7A24-72C8-4C9A-B955-8DBD13286437}">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ADA01245</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21</v>
      </c>
      <c r="I9" s="108"/>
    </row>
    <row r="10" spans="2:11" ht="29.5" thickBot="1" x14ac:dyDescent="0.4">
      <c r="B10" s="15" t="s">
        <v>37</v>
      </c>
      <c r="C10" s="16" cm="1">
        <f t="array" ref="C10">_xlfn.XLOOKUP($H$9,Tabla1[[Nombre Unidad de Estudios]:[Nombre Unidad de Estudios]],Tabla1[Créditos Académicos],"",0)</f>
        <v>2</v>
      </c>
      <c r="D10" s="17" t="s">
        <v>219</v>
      </c>
      <c r="E10" s="16" cm="1">
        <f t="array" ref="E10">_xlfn.XLOOKUP($H$9,Tabla1[[Nombre Unidad de Estudios]:[Nombre Unidad de Estudios]],Tabla1[Horas de Acompañamiento Directo '[HAD']],"",0)</f>
        <v>24</v>
      </c>
      <c r="F10" s="17" t="s">
        <v>220</v>
      </c>
      <c r="G10" s="16" cm="1">
        <f t="array" ref="G10">_xlfn.XLOOKUP($H$9,Tabla1[[Nombre Unidad de Estudios]:[Nombre Unidad de Estudios]],Tabla1[Horas de Trabajo Autónomo '[HTA']],"",0)</f>
        <v>72</v>
      </c>
      <c r="H10" s="17" t="s">
        <v>221</v>
      </c>
      <c r="I10" s="18">
        <f>E10+G10</f>
        <v>96</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 unidad de estudios Seminario de Investigación II tiene como propósito orientar al estudiante en la construcción de la revisión de la literatura del anteproyecto de tesis doctoral, articulando planteamiento del problema y marco teórico.</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Sustenta el marco teórico de un proyecto de investigación aplicando el método científico y/o modelos pertinentes para resolver una problemática desde una perspectiva transdisciplinar, de las organizaciones en un entorno de desarrollo sostenible.</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4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Lineamientos de funcionamiento de doctorados en la Universidad EAN. Grupos y líneas de investigación. Manejo de bases de datos. Enfoques de investigación. Planteamiento de problema de investigación. Articulación entre planteamiento del problema y marco teórico.</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30% Evaluación de exposición oral, debates, argumentación, talleres. 35% Primer avance de investigación y aproximación a gestores bibliográficos. 35% Informe final con marco teórico y análisis de datos cualitativos.</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0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Tabla!$H$2:$H$22</xm:f>
          </x14:formula1>
          <xm:sqref>H9:I9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4771-2E85-4BBF-BF51-A7D4C70C3980}">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ADA01246</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17</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 investigación como un proceso de generación de conocimiento se convierte en una de las herramientas más importantes para el desarrollo gerencial y para el avance científico en el campo de la administración para la sostenibilidad.</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Desarrollar las habilidades necesarias para llevar a cabo procesos rigurosos y metódicos de investigación aplicada a la administración para la sostenibilidad y con ello comprender realidades particulares de cada organización.</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Las ciencias de la gestión y su investigación. Discusión sobre tipologías de investigación y de artículos científicos. Extrapolación de tipologías de presentación y estructuración de artículos científicos. Aproximación al marco teórico. Revisión y consulta de la literatura.</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clase: 20%. Presentación del trabajo final: 50%. Elaboración de revisiones de literatura: 30%.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1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Tabla!$H$2:$H$22</xm:f>
          </x14:formula1>
          <xm:sqref>H9:I9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E4C1-E540-4AD8-8831-E7525B40B266}">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ADP01750</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24</v>
      </c>
      <c r="I9" s="108"/>
    </row>
    <row r="10" spans="2:11" ht="29.5" thickBot="1" x14ac:dyDescent="0.4">
      <c r="B10" s="15" t="s">
        <v>37</v>
      </c>
      <c r="C10" s="16" cm="1">
        <f t="array" ref="C10">_xlfn.XLOOKUP($H$9,Tabla1[[Nombre Unidad de Estudios]:[Nombre Unidad de Estudios]],Tabla1[Créditos Académicos],"",0)</f>
        <v>24</v>
      </c>
      <c r="D10" s="17" t="s">
        <v>219</v>
      </c>
      <c r="E10" s="16" cm="1">
        <f t="array" ref="E10">_xlfn.XLOOKUP($H$9,Tabla1[[Nombre Unidad de Estudios]:[Nombre Unidad de Estudios]],Tabla1[Horas de Acompañamiento Directo '[HAD']],"",0)</f>
        <v>72</v>
      </c>
      <c r="F10" s="17" t="s">
        <v>220</v>
      </c>
      <c r="G10" s="16" cm="1">
        <f t="array" ref="G10">_xlfn.XLOOKUP($H$9,Tabla1[[Nombre Unidad de Estudios]:[Nombre Unidad de Estudios]],Tabla1[Horas de Trabajo Autónomo '[HTA']],"",0)</f>
        <v>1080</v>
      </c>
      <c r="H10" s="17" t="s">
        <v>221</v>
      </c>
      <c r="I10" s="18">
        <f>E10+G10</f>
        <v>1152</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El desarrollo de una tesis doctoral busca generar una contribución única y original en un campo específico del conocimiento, para lo cual es necesario que el investigador aplique de forma rigurosa el método científico y las herramientas de investigación adquiridas.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Diseña propuesta investigativa laboriosa y práctica mediante la aplicación sucinta del conocimiento y herramientas de investigación adquiridos para alcanzar impactar a las regiones y comunidad académica.</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2 semestres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Diseño de la investigación. Revisión de literatura. Elaboración de instrumento de investigación. Recopilación de información. Análisis de información. Escritura de tesis. Sustentación de tesis doctoral.</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100% Presentación y sustentación de la tesis doctoral.</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0.5</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2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Tabla!$H$2:$H$22</xm:f>
          </x14:formula1>
          <xm:sqref>H9:I9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4660-E6AB-4392-A944-8BA6FB4348CD}">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ADA01248</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5</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Las organizaciones altamente eficientes deben poseer sistemas de información fiables que suministran información de alta calidad. Esta unidad dota al estudiante de herramientas estadísticas para la toma de decisiones en organizaciones y territorios.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Interpreta procedimientos estadísticos que permiten tomar decisiones y dar soluciones a problemas específicos en las regiones.</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Análisis Descriptivo. Análisis de datos univariado. Inferencia y Pruebas de hipótesis estadísticas. Modelamiento estadístico. Análisis de Regresión. Análisis de datos multivariados. Casos prácticos.</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20% talleres desarrollados en clase. 80% avances parciales y entrega final del proyecto de investigación aplicado.</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 Software especializados</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0.5</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Hoerl, R. &amp; Snee, R. (2012). Statistical Thinking: Improving Business Performance. Wiley &amp; Sons.
Diawara, N. (2019). Modern Statistical Methods for Spatial and Multivariate Data.
Rossiter, D. G. (2010). Tutorial: An example of statistical data analysis. Universiteit Twente.
Jurečková, J., Picek, J. &amp; Schindler, M. (2019). Robust Statistical Methods with R (2nd ed.).
Peña, D. (2008). Análisis de Datos Multivariantes. McGraw Hill.
Canavos, G. (2007). Probabilidad y Estadística.</v>
      </c>
      <c r="C44" s="78"/>
      <c r="D44" s="78"/>
      <c r="E44" s="79"/>
      <c r="F44" s="77" t="str" cm="1">
        <f t="array" ref="F44">_xlfn.XLOOKUP($H$9,Tabla1[[Nombre Unidad de Estudios]:[Nombre Unidad de Estudios]],Tabla1[Bibliografia Complementaria],"",0)</f>
        <v>Meyers, L. S., Gamst, G. C. &amp; Guarino, A. (2005). Applied multivariate research. Sage.
Johnson, D. E. (1999). Métodos Multivariados Aplicados al análisis de datos. Thomson Paraninfo.
Mosteller, D. E. &amp; Tukey, J. W. (1977). Data Analysis and Regression. Addison-Wesley.</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3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Tabla!$H$2:$H$22</xm:f>
          </x14:formula1>
          <xm:sqref>H9:I9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0E3B-CA83-4C89-86CF-E398A21F3A96}">
  <sheetPr>
    <pageSetUpPr fitToPage="1"/>
  </sheetPr>
  <dimension ref="B1:K65"/>
  <sheetViews>
    <sheetView workbookViewId="0">
      <selection activeCell="B15" sqref="B15:I17"/>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ADA01249</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6</v>
      </c>
      <c r="I9" s="108"/>
    </row>
    <row r="10" spans="2:11" ht="29.5" thickBot="1" x14ac:dyDescent="0.4">
      <c r="B10" s="15" t="s">
        <v>37</v>
      </c>
      <c r="C10" s="16" cm="1">
        <f t="array" ref="C10">_xlfn.XLOOKUP($H$9,Tabla1[[Nombre Unidad de Estudios]:[Nombre Unidad de Estudios]],Tabla1[Créditos Académicos],"",0)</f>
        <v>1</v>
      </c>
      <c r="D10" s="17" t="s">
        <v>219</v>
      </c>
      <c r="E10" s="16" cm="1">
        <f t="array" ref="E10">_xlfn.XLOOKUP($H$9,Tabla1[[Nombre Unidad de Estudios]:[Nombre Unidad de Estudios]],Tabla1[Horas de Acompañamiento Directo '[HAD']],"",0)</f>
        <v>12</v>
      </c>
      <c r="F10" s="17" t="s">
        <v>220</v>
      </c>
      <c r="G10" s="16" cm="1">
        <f t="array" ref="G10">_xlfn.XLOOKUP($H$9,Tabla1[[Nombre Unidad de Estudios]:[Nombre Unidad de Estudios]],Tabla1[Horas de Trabajo Autónomo '[HTA']],"",0)</f>
        <v>36</v>
      </c>
      <c r="H10" s="17" t="s">
        <v>221</v>
      </c>
      <c r="I10" s="18">
        <f>E10+G10</f>
        <v>48</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 investigación como un proceso de generación de conocimiento es la base del desarrollo de una tesis doctoral. El Coloquio Doctoral es el espacio de discusión colectiva en el que los doctorandos presentan y debaten los avances de sus investigaciones.</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Debate los avances de la tesis doctoral propia y de los otros participantes del coloquio, para la generación de oportunidades de mejora y la validación de la aplicación del método científico y los hallazgos de la investigación, con un enfoque integrador.</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1 semana</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Presentación de normativa institucional sobre la tesis doctoral. Presentación de versión preliminar de la tesis doctoral ante el grupo en general. Presentación sobre estilo de redacción y normas APA. Presentación de avances e incorporación de recomendaciones.</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100% concepto de jurados evaluadores acorde con lineamientos dados por el Comité Doctoral.</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4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Tabla!$H$2:$H$22</xm:f>
          </x14:formula1>
          <xm:sqref>H9:I9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234D-4B62-4B40-BA8B-4AFFBD3D416B}">
  <sheetPr>
    <pageSetUpPr fitToPage="1"/>
  </sheetPr>
  <dimension ref="B1:K65"/>
  <sheetViews>
    <sheetView workbookViewId="0">
      <selection activeCell="J12" sqref="J12"/>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6.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t="str" cm="1">
        <f t="array" ref="C7">_xlfn.XLOOKUP($H$9,Tabla1[[Nombre Unidad de Estudios]:[Nombre Unidad de Estudios]],Tabla1[Año],"",0)</f>
        <v/>
      </c>
      <c r="D7" s="12" t="s">
        <v>210</v>
      </c>
      <c r="E7" s="11" t="str" cm="1">
        <f t="array" ref="E7">_xlfn.XLOOKUP($H$9,Tabla1[[Nombre Unidad de Estudios]:[Nombre Unidad de Estudios]],Tabla1[Código Plan de Estudios],"",0)</f>
        <v/>
      </c>
      <c r="F7" s="12" t="s">
        <v>211</v>
      </c>
      <c r="G7" s="11" t="str" cm="1">
        <f t="array" ref="G7">_xlfn.XLOOKUP($H$9,Tabla1[[Nombre Unidad de Estudios]:[Nombre Unidad de Estudios]],Tabla1[Código Unidad de Estudios],"",0)</f>
        <v/>
      </c>
      <c r="H7" s="12" t="s">
        <v>212</v>
      </c>
      <c r="I7" s="11" t="str" cm="1">
        <f t="array" ref="I7">_xlfn.XLOOKUP($H$9,Tabla1[[Nombre Unidad de Estudios]:[Nombre Unidad de Estudios]],Tabla1[Tipo Unidad de Estudios],"",0)</f>
        <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
      </c>
      <c r="D9" s="13" t="s">
        <v>217</v>
      </c>
      <c r="E9" s="107" t="str" cm="1">
        <f t="array" ref="E9">_xlfn.XLOOKUP($H$9,Tabla1[[Nombre Unidad de Estudios]:[Nombre Unidad de Estudios]],Tabla1[Programa],"",0)</f>
        <v/>
      </c>
      <c r="F9" s="107"/>
      <c r="G9" s="12" t="s">
        <v>218</v>
      </c>
      <c r="H9" s="107" t="s">
        <v>240</v>
      </c>
      <c r="I9" s="108"/>
    </row>
    <row r="10" spans="2:11" ht="29.5" thickBot="1" x14ac:dyDescent="0.4">
      <c r="B10" s="15" t="s">
        <v>37</v>
      </c>
      <c r="C10" s="16" t="str" cm="1">
        <f t="array" ref="C10">_xlfn.XLOOKUP($H$9,Tabla1[[Nombre Unidad de Estudios]:[Nombre Unidad de Estudios]],Tabla1[Créditos Académicos],"",0)</f>
        <v/>
      </c>
      <c r="D10" s="17" t="s">
        <v>219</v>
      </c>
      <c r="E10" s="16" t="str" cm="1">
        <f t="array" ref="E10">_xlfn.XLOOKUP($H$9,Tabla1[[Nombre Unidad de Estudios]:[Nombre Unidad de Estudios]],Tabla1[Horas de Acompañamiento Directo '[HAD']],"",0)</f>
        <v/>
      </c>
      <c r="F10" s="17" t="s">
        <v>220</v>
      </c>
      <c r="G10" s="16" t="str" cm="1">
        <f t="array" ref="G10">_xlfn.XLOOKUP($H$9,Tabla1[[Nombre Unidad de Estudios]:[Nombre Unidad de Estudios]],Tabla1[Horas de Trabajo Autónomo '[HTA']],"",0)</f>
        <v/>
      </c>
      <c r="H10" s="17" t="s">
        <v>221</v>
      </c>
      <c r="I10" s="18" t="e">
        <f>E10+G10</f>
        <v>#VALUE!</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
      </c>
      <c r="G41" s="73"/>
      <c r="H41" s="20" t="s">
        <v>236</v>
      </c>
      <c r="I41" s="23" t="str" cm="1">
        <f t="array" ref="I41">_xlfn.XLOOKUP($H$9,Tabla1[[Nombre Unidad de Estudios]:[Nombre Unidad de Estudios]],Tabla1[Componente de Lengua Extranjera '[%']],"",0)</f>
        <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
      </c>
      <c r="C44" s="78"/>
      <c r="D44" s="78"/>
      <c r="E44" s="79"/>
      <c r="F44" s="77" t="str" cm="1">
        <f t="array" ref="F44">_xlfn.XLOOKUP($H$9,Tabla1[[Nombre Unidad de Estudios]:[Nombre Unidad de Estudios]],Tabla1[Bibliografia Complementaria],"",0)</f>
        <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x14ac:dyDescent="0.35">
      <c r="B60" s="24" t="str" cm="1">
        <f t="array" ref="B60">_xlfn.XLOOKUP($H$9,Tabla1[[Nombre Unidad de Estudios]:[Nombre Unidad de Estudios]],Tabla1['# versión],"",0)</f>
        <v/>
      </c>
      <c r="C60" s="27" t="str" cm="1">
        <f t="array" ref="C60">_xlfn.XLOOKUP($H$9,Tabla1[[Nombre Unidad de Estudios]:[Nombre Unidad de Estudios]],Tabla1[Fecha],"",0)</f>
        <v/>
      </c>
      <c r="D60" s="22" t="str" cm="1">
        <f t="array" ref="D60">_xlfn.XLOOKUP($H$9,Tabla1[[Nombre Unidad de Estudios]:[Nombre Unidad de Estudios]],Tabla1[Elaboró],"",0)</f>
        <v/>
      </c>
      <c r="E60" s="22" t="str" cm="1">
        <f t="array" ref="E60">_xlfn.XLOOKUP($H$9,Tabla1[[Nombre Unidad de Estudios]:[Nombre Unidad de Estudios]],Tabla1[Revisó],"",0)</f>
        <v/>
      </c>
      <c r="F60" s="22" t="str" cm="1">
        <f t="array" ref="F60">_xlfn.XLOOKUP($H$9,Tabla1[[Nombre Unidad de Estudios]:[Nombre Unidad de Estudios]],Tabla1[Aprobó],"",0)</f>
        <v/>
      </c>
      <c r="G60" s="45" t="str" cm="1">
        <f t="array" ref="G60">_xlfn.XLOOKUP($H$9,Tabla1[[Nombre Unidad de Estudios]:[Nombre Unidad de Estudios]],Tabla1[Descripción del cambio],"",0)</f>
        <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500-000000000000}"/>
  </hyperlinks>
  <pageMargins left="0.25" right="0.25" top="0.75" bottom="0.75" header="0.3" footer="0.3"/>
  <pageSetup paperSize="9" scale="76"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Tabla!$H$2:$H$22</xm:f>
          </x14:formula1>
          <xm:sqref>H9:I9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E5C9-64E4-4D3C-99E6-FAB00D9E0225}">
  <sheetPr>
    <pageSetUpPr fitToPage="1"/>
  </sheetPr>
  <dimension ref="B1:K65"/>
  <sheetViews>
    <sheetView workbookViewId="0">
      <selection activeCell="K2" sqref="K2"/>
    </sheetView>
  </sheetViews>
  <sheetFormatPr baseColWidth="10" defaultColWidth="10.81640625" defaultRowHeight="14.5" x14ac:dyDescent="0.35"/>
  <cols>
    <col min="1" max="1" width="3.1796875" style="4" customWidth="1"/>
    <col min="2" max="2" width="14.26953125" style="4" customWidth="1"/>
    <col min="3" max="3" width="11.26953125" style="4" bestFit="1" customWidth="1"/>
    <col min="4" max="4" width="12.26953125" style="4" customWidth="1"/>
    <col min="5" max="5" width="16.26953125" style="4" customWidth="1"/>
    <col min="6" max="6" width="10.81640625" style="4"/>
    <col min="7" max="7" width="10.81640625" style="4" customWidth="1"/>
    <col min="8" max="8" width="9.81640625" style="4" customWidth="1"/>
    <col min="9" max="9" width="16.7265625" style="4" customWidth="1"/>
    <col min="10" max="10" width="10.81640625" style="4"/>
    <col min="11" max="11" width="19.453125" style="4" customWidth="1"/>
    <col min="12" max="16384" width="10.81640625" style="4"/>
  </cols>
  <sheetData>
    <row r="1" spans="2:11" ht="15" thickBot="1" x14ac:dyDescent="0.4">
      <c r="C1" s="5"/>
      <c r="D1" s="5"/>
      <c r="E1" s="5"/>
      <c r="F1" s="5"/>
      <c r="G1" s="5"/>
      <c r="H1" s="5"/>
    </row>
    <row r="2" spans="2:11" ht="22.5" customHeight="1" thickTop="1" x14ac:dyDescent="0.35">
      <c r="B2" s="132"/>
      <c r="C2" s="134" t="s">
        <v>203</v>
      </c>
      <c r="D2" s="134"/>
      <c r="E2" s="134"/>
      <c r="F2" s="134"/>
      <c r="G2" s="134"/>
      <c r="H2" s="134"/>
      <c r="I2" s="6" t="s">
        <v>204</v>
      </c>
      <c r="K2" s="32" t="s">
        <v>205</v>
      </c>
    </row>
    <row r="3" spans="2:11" ht="20.25" customHeight="1" x14ac:dyDescent="0.35">
      <c r="B3" s="133"/>
      <c r="C3" s="135"/>
      <c r="D3" s="135"/>
      <c r="E3" s="135"/>
      <c r="F3" s="135"/>
      <c r="G3" s="135"/>
      <c r="H3" s="135"/>
      <c r="I3" s="7" t="s">
        <v>206</v>
      </c>
    </row>
    <row r="4" spans="2:11" ht="21" customHeight="1" thickBot="1" x14ac:dyDescent="0.4">
      <c r="B4" s="136" t="s">
        <v>207</v>
      </c>
      <c r="C4" s="137"/>
      <c r="D4" s="137"/>
      <c r="E4" s="137"/>
      <c r="F4" s="137"/>
      <c r="G4" s="137"/>
      <c r="H4" s="137"/>
      <c r="I4" s="8" t="s">
        <v>208</v>
      </c>
    </row>
    <row r="5" spans="2:11" ht="15.5" thickTop="1" thickBot="1" x14ac:dyDescent="0.4">
      <c r="B5" s="138"/>
      <c r="C5" s="138"/>
      <c r="D5" s="138"/>
      <c r="E5" s="138"/>
      <c r="F5" s="138"/>
      <c r="G5" s="138"/>
      <c r="H5" s="138"/>
      <c r="I5" s="138"/>
    </row>
    <row r="6" spans="2:11" x14ac:dyDescent="0.35">
      <c r="B6" s="139" t="s">
        <v>209</v>
      </c>
      <c r="C6" s="140"/>
      <c r="D6" s="140"/>
      <c r="E6" s="140"/>
      <c r="F6" s="140"/>
      <c r="G6" s="140"/>
      <c r="H6" s="140"/>
      <c r="I6" s="141"/>
    </row>
    <row r="7" spans="2:11" ht="43.5" x14ac:dyDescent="0.35">
      <c r="B7" s="10" t="s">
        <v>29</v>
      </c>
      <c r="C7" s="11" cm="1">
        <f t="array" ref="C7">_xlfn.XLOOKUP($H$9,Tabla1[[Nombre Unidad de Estudios]:[Nombre Unidad de Estudios]],Tabla1[Año],"",0)</f>
        <v>2026</v>
      </c>
      <c r="D7" s="12" t="s">
        <v>210</v>
      </c>
      <c r="E7" s="11" t="str" cm="1">
        <f t="array" ref="E7">_xlfn.XLOOKUP($H$9,Tabla1[[Nombre Unidad de Estudios]:[Nombre Unidad de Estudios]],Tabla1[Código Plan de Estudios],"",0)</f>
        <v>DTPAPSBOG001</v>
      </c>
      <c r="F7" s="12" t="s">
        <v>211</v>
      </c>
      <c r="G7" s="11" t="str" cm="1">
        <f t="array" ref="G7">_xlfn.XLOOKUP($H$9,Tabla1[[Nombre Unidad de Estudios]:[Nombre Unidad de Estudios]],Tabla1[Código Unidad de Estudios],"",0)</f>
        <v>ADPN0010</v>
      </c>
      <c r="H7" s="12" t="s">
        <v>212</v>
      </c>
      <c r="I7" s="11" t="str" cm="1">
        <f t="array" ref="I7">_xlfn.XLOOKUP($H$9,Tabla1[[Nombre Unidad de Estudios]:[Nombre Unidad de Estudios]],Tabla1[Tipo Unidad de Estudios],"",0)</f>
        <v>Nuclear</v>
      </c>
    </row>
    <row r="8" spans="2:11" ht="29" x14ac:dyDescent="0.35">
      <c r="B8" s="10" t="s">
        <v>33</v>
      </c>
      <c r="C8" s="13" t="s">
        <v>60</v>
      </c>
      <c r="D8" s="22" t="s">
        <v>213</v>
      </c>
      <c r="E8" s="13" t="s">
        <v>214</v>
      </c>
      <c r="F8" s="12"/>
      <c r="G8" s="12" t="s">
        <v>215</v>
      </c>
      <c r="H8" s="130"/>
      <c r="I8" s="131"/>
    </row>
    <row r="9" spans="2:11" ht="43.5" x14ac:dyDescent="0.35">
      <c r="B9" s="14" t="s">
        <v>216</v>
      </c>
      <c r="C9" s="11" t="str" cm="1">
        <f t="array" ref="C9">_xlfn.XLOOKUP($H$9,Tabla1[[Nombre Unidad de Estudios]:[Nombre Unidad de Estudios]],Tabla1[Nivel],"",0)</f>
        <v>Doctorado</v>
      </c>
      <c r="D9" s="13" t="s">
        <v>217</v>
      </c>
      <c r="E9" s="107" t="str" cm="1">
        <f t="array" ref="E9">_xlfn.XLOOKUP($H$9,Tabla1[[Nombre Unidad de Estudios]:[Nombre Unidad de Estudios]],Tabla1[Programa],"",0)</f>
        <v>Doctorado en Administración para la Sostenibilidad</v>
      </c>
      <c r="F9" s="107"/>
      <c r="G9" s="12" t="s">
        <v>218</v>
      </c>
      <c r="H9" s="107" t="s">
        <v>16</v>
      </c>
      <c r="I9" s="108"/>
    </row>
    <row r="10" spans="2:11" ht="29.5" thickBot="1" x14ac:dyDescent="0.4">
      <c r="B10" s="15" t="s">
        <v>37</v>
      </c>
      <c r="C10" s="16" cm="1">
        <f t="array" ref="C10">_xlfn.XLOOKUP($H$9,Tabla1[[Nombre Unidad de Estudios]:[Nombre Unidad de Estudios]],Tabla1[Créditos Académicos],"",0)</f>
        <v>3</v>
      </c>
      <c r="D10" s="17" t="s">
        <v>219</v>
      </c>
      <c r="E10" s="16" cm="1">
        <f t="array" ref="E10">_xlfn.XLOOKUP($H$9,Tabla1[[Nombre Unidad de Estudios]:[Nombre Unidad de Estudios]],Tabla1[Horas de Acompañamiento Directo '[HAD']],"",0)</f>
        <v>36</v>
      </c>
      <c r="F10" s="17" t="s">
        <v>220</v>
      </c>
      <c r="G10" s="16" cm="1">
        <f t="array" ref="G10">_xlfn.XLOOKUP($H$9,Tabla1[[Nombre Unidad de Estudios]:[Nombre Unidad de Estudios]],Tabla1[Horas de Trabajo Autónomo '[HTA']],"",0)</f>
        <v>108</v>
      </c>
      <c r="H10" s="17" t="s">
        <v>221</v>
      </c>
      <c r="I10" s="18">
        <f>E10+G10</f>
        <v>144</v>
      </c>
    </row>
    <row r="11" spans="2:11" x14ac:dyDescent="0.35">
      <c r="B11" s="47" t="s">
        <v>222</v>
      </c>
      <c r="C11" s="48"/>
      <c r="D11" s="48"/>
      <c r="E11" s="48"/>
      <c r="F11" s="48"/>
      <c r="G11" s="48"/>
      <c r="H11" s="48"/>
      <c r="I11" s="49"/>
    </row>
    <row r="12" spans="2:11" ht="76.5" customHeight="1" x14ac:dyDescent="0.35">
      <c r="B12" s="109" t="s">
        <v>223</v>
      </c>
      <c r="C12" s="110"/>
      <c r="D12" s="111" t="str" cm="1">
        <f t="array" ref="D12">_xlfn.XLOOKUP($H$9,Tabla1[[Nombre Unidad de Estudios]:[Nombre Unidad de Estudios]],Tabla1[Descripción de la Unidad de Estudios],"",0)</f>
        <v>La validación de hipótesis y su posterior uso en la generación de nueva teoría alrededor del ejercicio gerencial es uno de los objetivos fundamentales de los programas doctorales. Esta unidad desarrolla la investigación cuantitativa con software especializado.</v>
      </c>
      <c r="E12" s="112"/>
      <c r="F12" s="112"/>
      <c r="G12" s="112"/>
      <c r="H12" s="112"/>
      <c r="I12" s="113"/>
    </row>
    <row r="13" spans="2:11" ht="66" customHeight="1" thickBot="1" x14ac:dyDescent="0.4">
      <c r="B13" s="114" t="s">
        <v>224</v>
      </c>
      <c r="C13" s="115"/>
      <c r="D13" s="116" t="str" cm="1">
        <f t="array" ref="D13">_xlfn.XLOOKUP($H$9,Tabla1[[Nombre Unidad de Estudios]:[Nombre Unidad de Estudios]],Tabla1[Resultado de Aprendizaje de la Unidad de Estudios],"",0)</f>
        <v>Desarrolla la investigación desde una perspectiva cuantitativa, con el uso de herramientas metodológicas y software especializado para la interpretación y análisis de datos estadísticos levantados a partir de la investigación de campo.</v>
      </c>
      <c r="E13" s="117"/>
      <c r="F13" s="117"/>
      <c r="G13" s="117"/>
      <c r="H13" s="117"/>
      <c r="I13" s="118"/>
    </row>
    <row r="14" spans="2:11" x14ac:dyDescent="0.35">
      <c r="B14" s="47" t="s">
        <v>225</v>
      </c>
      <c r="C14" s="48"/>
      <c r="D14" s="48"/>
      <c r="E14" s="48"/>
      <c r="F14" s="48"/>
      <c r="G14" s="48"/>
      <c r="H14" s="48"/>
      <c r="I14" s="49"/>
    </row>
    <row r="15" spans="2:11" x14ac:dyDescent="0.35">
      <c r="B15" s="119" t="s">
        <v>226</v>
      </c>
      <c r="C15" s="107"/>
      <c r="D15" s="107"/>
      <c r="E15" s="107"/>
      <c r="F15" s="107"/>
      <c r="G15" s="107"/>
      <c r="H15" s="107"/>
      <c r="I15" s="108"/>
    </row>
    <row r="16" spans="2:11" x14ac:dyDescent="0.35">
      <c r="B16" s="119"/>
      <c r="C16" s="107"/>
      <c r="D16" s="107"/>
      <c r="E16" s="107"/>
      <c r="F16" s="107"/>
      <c r="G16" s="107"/>
      <c r="H16" s="107"/>
      <c r="I16" s="108"/>
    </row>
    <row r="17" spans="2:9" ht="15" thickBot="1" x14ac:dyDescent="0.4">
      <c r="B17" s="120"/>
      <c r="C17" s="121"/>
      <c r="D17" s="121"/>
      <c r="E17" s="121"/>
      <c r="F17" s="121"/>
      <c r="G17" s="121"/>
      <c r="H17" s="121"/>
      <c r="I17" s="122"/>
    </row>
    <row r="18" spans="2:9" ht="15" thickBot="1" x14ac:dyDescent="0.4">
      <c r="B18" s="123" t="s">
        <v>227</v>
      </c>
      <c r="C18" s="124"/>
      <c r="D18" s="124"/>
      <c r="E18" s="124"/>
      <c r="F18" s="124"/>
      <c r="G18" s="124"/>
      <c r="H18" s="124"/>
      <c r="I18" s="125"/>
    </row>
    <row r="19" spans="2:9" x14ac:dyDescent="0.35">
      <c r="B19" s="9" t="s">
        <v>44</v>
      </c>
      <c r="C19" s="29" t="str" cm="1">
        <f t="array" ref="C19">_xlfn.XLOOKUP($H$9,Tabla1[[Nombre Unidad de Estudios]:[Nombre Unidad de Estudios]],Tabla1[Módulo],"",0)</f>
        <v>6 semanas</v>
      </c>
      <c r="D19" s="9" t="s">
        <v>228</v>
      </c>
      <c r="E19" s="126" t="s">
        <v>229</v>
      </c>
      <c r="F19" s="127"/>
      <c r="G19" s="19" t="s">
        <v>230</v>
      </c>
      <c r="H19" s="128" t="s">
        <v>231</v>
      </c>
      <c r="I19" s="129"/>
    </row>
    <row r="20" spans="2:9" x14ac:dyDescent="0.35">
      <c r="B20" s="83" t="str" cm="1">
        <f t="array" ref="B20">_xlfn.XLOOKUP($H$9,Tabla1[[Nombre Unidad de Estudios]:[Nombre Unidad de Estudios]],Tabla1[Contenidos Unidad de Estudios],"",0)</f>
        <v>Determinación de la población objeto de estudio y determinación de la muestra. Métodos para la selección de la muestra. Elaboración de instrumentos de medición. Determinación de las escalas de medición.</v>
      </c>
      <c r="C20" s="84"/>
      <c r="D20" s="89"/>
      <c r="E20" s="90"/>
      <c r="F20" s="91"/>
      <c r="G20" s="98"/>
      <c r="H20" s="99"/>
      <c r="I20" s="100"/>
    </row>
    <row r="21" spans="2:9" x14ac:dyDescent="0.35">
      <c r="B21" s="85"/>
      <c r="C21" s="86"/>
      <c r="D21" s="92"/>
      <c r="E21" s="93"/>
      <c r="F21" s="94"/>
      <c r="G21" s="101"/>
      <c r="H21" s="102"/>
      <c r="I21" s="103"/>
    </row>
    <row r="22" spans="2:9" x14ac:dyDescent="0.35">
      <c r="B22" s="85"/>
      <c r="C22" s="86"/>
      <c r="D22" s="92"/>
      <c r="E22" s="93"/>
      <c r="F22" s="94"/>
      <c r="G22" s="101"/>
      <c r="H22" s="102"/>
      <c r="I22" s="103"/>
    </row>
    <row r="23" spans="2:9" x14ac:dyDescent="0.35">
      <c r="B23" s="85"/>
      <c r="C23" s="86"/>
      <c r="D23" s="92"/>
      <c r="E23" s="93"/>
      <c r="F23" s="94"/>
      <c r="G23" s="101"/>
      <c r="H23" s="102"/>
      <c r="I23" s="103"/>
    </row>
    <row r="24" spans="2:9" x14ac:dyDescent="0.35">
      <c r="B24" s="85"/>
      <c r="C24" s="86"/>
      <c r="D24" s="92"/>
      <c r="E24" s="93"/>
      <c r="F24" s="94"/>
      <c r="G24" s="101"/>
      <c r="H24" s="102"/>
      <c r="I24" s="103"/>
    </row>
    <row r="25" spans="2:9" x14ac:dyDescent="0.35">
      <c r="B25" s="85"/>
      <c r="C25" s="86"/>
      <c r="D25" s="92"/>
      <c r="E25" s="93"/>
      <c r="F25" s="94"/>
      <c r="G25" s="101"/>
      <c r="H25" s="102"/>
      <c r="I25" s="103"/>
    </row>
    <row r="26" spans="2:9" x14ac:dyDescent="0.35">
      <c r="B26" s="85"/>
      <c r="C26" s="86"/>
      <c r="D26" s="92"/>
      <c r="E26" s="93"/>
      <c r="F26" s="94"/>
      <c r="G26" s="101"/>
      <c r="H26" s="102"/>
      <c r="I26" s="103"/>
    </row>
    <row r="27" spans="2:9" x14ac:dyDescent="0.35">
      <c r="B27" s="85"/>
      <c r="C27" s="86"/>
      <c r="D27" s="92"/>
      <c r="E27" s="93"/>
      <c r="F27" s="94"/>
      <c r="G27" s="101"/>
      <c r="H27" s="102"/>
      <c r="I27" s="103"/>
    </row>
    <row r="28" spans="2:9" x14ac:dyDescent="0.35">
      <c r="B28" s="85"/>
      <c r="C28" s="86"/>
      <c r="D28" s="92"/>
      <c r="E28" s="93"/>
      <c r="F28" s="94"/>
      <c r="G28" s="101"/>
      <c r="H28" s="102"/>
      <c r="I28" s="103"/>
    </row>
    <row r="29" spans="2:9" x14ac:dyDescent="0.35">
      <c r="B29" s="85"/>
      <c r="C29" s="86"/>
      <c r="D29" s="92"/>
      <c r="E29" s="93"/>
      <c r="F29" s="94"/>
      <c r="G29" s="101"/>
      <c r="H29" s="102"/>
      <c r="I29" s="103"/>
    </row>
    <row r="30" spans="2:9" x14ac:dyDescent="0.35">
      <c r="B30" s="85"/>
      <c r="C30" s="86"/>
      <c r="D30" s="92"/>
      <c r="E30" s="93"/>
      <c r="F30" s="94"/>
      <c r="G30" s="101"/>
      <c r="H30" s="102"/>
      <c r="I30" s="103"/>
    </row>
    <row r="31" spans="2:9" x14ac:dyDescent="0.35">
      <c r="B31" s="85"/>
      <c r="C31" s="86"/>
      <c r="D31" s="92"/>
      <c r="E31" s="93"/>
      <c r="F31" s="94"/>
      <c r="G31" s="101"/>
      <c r="H31" s="102"/>
      <c r="I31" s="103"/>
    </row>
    <row r="32" spans="2:9" x14ac:dyDescent="0.35">
      <c r="B32" s="85"/>
      <c r="C32" s="86"/>
      <c r="D32" s="92"/>
      <c r="E32" s="93"/>
      <c r="F32" s="94"/>
      <c r="G32" s="101"/>
      <c r="H32" s="102"/>
      <c r="I32" s="103"/>
    </row>
    <row r="33" spans="2:9" ht="15" thickBot="1" x14ac:dyDescent="0.4">
      <c r="B33" s="87"/>
      <c r="C33" s="88"/>
      <c r="D33" s="95"/>
      <c r="E33" s="96"/>
      <c r="F33" s="97"/>
      <c r="G33" s="104"/>
      <c r="H33" s="105"/>
      <c r="I33" s="106"/>
    </row>
    <row r="34" spans="2:9" ht="15" thickBot="1" x14ac:dyDescent="0.4">
      <c r="B34" s="50" t="s">
        <v>232</v>
      </c>
      <c r="C34" s="51"/>
      <c r="D34" s="51"/>
      <c r="E34" s="51"/>
      <c r="F34" s="51"/>
      <c r="G34" s="51"/>
      <c r="H34" s="51"/>
      <c r="I34" s="52"/>
    </row>
    <row r="35" spans="2:9" ht="14.5" customHeight="1" x14ac:dyDescent="0.35">
      <c r="B35" s="53" t="s">
        <v>233</v>
      </c>
      <c r="C35" s="54"/>
      <c r="D35" s="54"/>
      <c r="E35" s="54"/>
      <c r="F35" s="54"/>
      <c r="G35" s="54"/>
      <c r="H35" s="54"/>
      <c r="I35" s="55"/>
    </row>
    <row r="36" spans="2:9" x14ac:dyDescent="0.35">
      <c r="B36" s="56"/>
      <c r="C36" s="57"/>
      <c r="D36" s="57"/>
      <c r="E36" s="57"/>
      <c r="F36" s="57"/>
      <c r="G36" s="57"/>
      <c r="H36" s="57"/>
      <c r="I36" s="58"/>
    </row>
    <row r="37" spans="2:9" x14ac:dyDescent="0.35">
      <c r="B37" s="59" t="str" cm="1">
        <f t="array" ref="B37">_xlfn.XLOOKUP($H$9,Tabla1[[Nombre Unidad de Estudios]:[Nombre Unidad de Estudios]],Tabla1[Esquema de Calificación],"",0)</f>
        <v>Participación en clase: 20%. Presentaciones de artículos: 20%. Elaboración de ensayos: 30%. Elaboración de revisiones de literatura: 30%.</v>
      </c>
      <c r="C37" s="60"/>
      <c r="D37" s="60"/>
      <c r="E37" s="60"/>
      <c r="F37" s="60"/>
      <c r="G37" s="60"/>
      <c r="H37" s="60"/>
      <c r="I37" s="61"/>
    </row>
    <row r="38" spans="2:9" x14ac:dyDescent="0.35">
      <c r="B38" s="59"/>
      <c r="C38" s="60"/>
      <c r="D38" s="60"/>
      <c r="E38" s="60"/>
      <c r="F38" s="60"/>
      <c r="G38" s="60"/>
      <c r="H38" s="60"/>
      <c r="I38" s="61"/>
    </row>
    <row r="39" spans="2:9" ht="15" thickBot="1" x14ac:dyDescent="0.4">
      <c r="B39" s="62"/>
      <c r="C39" s="63"/>
      <c r="D39" s="63"/>
      <c r="E39" s="63"/>
      <c r="F39" s="63"/>
      <c r="G39" s="63"/>
      <c r="H39" s="63"/>
      <c r="I39" s="64"/>
    </row>
    <row r="40" spans="2:9" ht="34.5" customHeight="1" thickBot="1" x14ac:dyDescent="0.4">
      <c r="B40" s="65" t="s">
        <v>234</v>
      </c>
      <c r="C40" s="66"/>
      <c r="D40" s="66"/>
      <c r="E40" s="67"/>
      <c r="F40" s="68" t="str" cm="1">
        <f t="array" ref="F40">_xlfn.XLOOKUP($H$9,Tabla1[[Nombre Unidad de Estudios]:[Nombre Unidad de Estudios]],Tabla1[Recursos Tecnológicos],"",0)</f>
        <v>Base de datos, Material bibliográfico, Plataforma virtual, Excel, SPSS, Eviews</v>
      </c>
      <c r="G40" s="69"/>
      <c r="H40" s="69"/>
      <c r="I40" s="70"/>
    </row>
    <row r="41" spans="2:9" ht="15" thickBot="1" x14ac:dyDescent="0.4">
      <c r="B41" s="71" t="s">
        <v>235</v>
      </c>
      <c r="C41" s="72"/>
      <c r="D41" s="72"/>
      <c r="E41" s="72"/>
      <c r="F41" s="73" t="str" cm="1">
        <f t="array" ref="F41">_xlfn.XLOOKUP($H$9,Tabla1[[Nombre Unidad de Estudios]:[Nombre Unidad de Estudios]],Tabla1[Componente de Lengua Extranjera '[Idioma']],"",0)</f>
        <v>Inglés</v>
      </c>
      <c r="G41" s="73"/>
      <c r="H41" s="20" t="s">
        <v>236</v>
      </c>
      <c r="I41" s="23" cm="1">
        <f t="array" ref="I41">_xlfn.XLOOKUP($H$9,Tabla1[[Nombre Unidad de Estudios]:[Nombre Unidad de Estudios]],Tabla1[Componente de Lengua Extranjera '[%']],"",0)</f>
        <v>0.3</v>
      </c>
    </row>
    <row r="42" spans="2:9" x14ac:dyDescent="0.35">
      <c r="B42" s="47" t="s">
        <v>237</v>
      </c>
      <c r="C42" s="48"/>
      <c r="D42" s="48"/>
      <c r="E42" s="48"/>
      <c r="F42" s="48"/>
      <c r="G42" s="48"/>
      <c r="H42" s="48"/>
      <c r="I42" s="49"/>
    </row>
    <row r="43" spans="2:9" ht="14.5" customHeight="1" x14ac:dyDescent="0.35">
      <c r="B43" s="74" t="s">
        <v>49</v>
      </c>
      <c r="C43" s="75"/>
      <c r="D43" s="75"/>
      <c r="E43" s="76"/>
      <c r="F43" s="74" t="s">
        <v>238</v>
      </c>
      <c r="G43" s="75"/>
      <c r="H43" s="75"/>
      <c r="I43" s="76"/>
    </row>
    <row r="44" spans="2:9" x14ac:dyDescent="0.35">
      <c r="B44" s="77" t="str" cm="1">
        <f t="array" ref="B44">_xlfn.XLOOKUP($H$9,Tabla1[[Nombre Unidad de Estudios]:[Nombre Unidad de Estudios]],Tabla1[Bibliografía Obligatoria],"",0)</f>
        <v>Bell, C. &amp; French, W. (1995). Desarrollo Organizacional. Prentice-Hall Hispanoamericana.
Bernal Torres, C. A. (2000). Metodología de la Investigación para Administración y Economía. Pearson.
Bejarano A., J. A. (1996). Sobre la Investigación y la Consultoría Económica. Innovar, No. 8. Universidad Nacional de Colombia.</v>
      </c>
      <c r="C44" s="78"/>
      <c r="D44" s="78"/>
      <c r="E44" s="79"/>
      <c r="F44" s="77" t="str" cm="1">
        <f t="array" ref="F44">_xlfn.XLOOKUP($H$9,Tabla1[[Nombre Unidad de Estudios]:[Nombre Unidad de Estudios]],Tabla1[Bibliografia Complementaria],"",0)</f>
        <v>Jordan, P. J. &amp;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78"/>
      <c r="H44" s="78"/>
      <c r="I44" s="79"/>
    </row>
    <row r="45" spans="2:9" x14ac:dyDescent="0.35">
      <c r="B45" s="77"/>
      <c r="C45" s="78"/>
      <c r="D45" s="78"/>
      <c r="E45" s="79"/>
      <c r="F45" s="77"/>
      <c r="G45" s="78"/>
      <c r="H45" s="78"/>
      <c r="I45" s="79"/>
    </row>
    <row r="46" spans="2:9" x14ac:dyDescent="0.35">
      <c r="B46" s="77"/>
      <c r="C46" s="78"/>
      <c r="D46" s="78"/>
      <c r="E46" s="79"/>
      <c r="F46" s="77"/>
      <c r="G46" s="78"/>
      <c r="H46" s="78"/>
      <c r="I46" s="79"/>
    </row>
    <row r="47" spans="2:9" x14ac:dyDescent="0.35">
      <c r="B47" s="77"/>
      <c r="C47" s="78"/>
      <c r="D47" s="78"/>
      <c r="E47" s="79"/>
      <c r="F47" s="77"/>
      <c r="G47" s="78"/>
      <c r="H47" s="78"/>
      <c r="I47" s="79"/>
    </row>
    <row r="48" spans="2:9" x14ac:dyDescent="0.35">
      <c r="B48" s="77"/>
      <c r="C48" s="78"/>
      <c r="D48" s="78"/>
      <c r="E48" s="79"/>
      <c r="F48" s="77"/>
      <c r="G48" s="78"/>
      <c r="H48" s="78"/>
      <c r="I48" s="79"/>
    </row>
    <row r="49" spans="2:9" x14ac:dyDescent="0.35">
      <c r="B49" s="77"/>
      <c r="C49" s="78"/>
      <c r="D49" s="78"/>
      <c r="E49" s="79"/>
      <c r="F49" s="77"/>
      <c r="G49" s="78"/>
      <c r="H49" s="78"/>
      <c r="I49" s="79"/>
    </row>
    <row r="50" spans="2:9" x14ac:dyDescent="0.35">
      <c r="B50" s="77"/>
      <c r="C50" s="78"/>
      <c r="D50" s="78"/>
      <c r="E50" s="79"/>
      <c r="F50" s="77"/>
      <c r="G50" s="78"/>
      <c r="H50" s="78"/>
      <c r="I50" s="79"/>
    </row>
    <row r="51" spans="2:9" x14ac:dyDescent="0.35">
      <c r="B51" s="77"/>
      <c r="C51" s="78"/>
      <c r="D51" s="78"/>
      <c r="E51" s="79"/>
      <c r="F51" s="77"/>
      <c r="G51" s="78"/>
      <c r="H51" s="78"/>
      <c r="I51" s="79"/>
    </row>
    <row r="52" spans="2:9" x14ac:dyDescent="0.35">
      <c r="B52" s="77"/>
      <c r="C52" s="78"/>
      <c r="D52" s="78"/>
      <c r="E52" s="79"/>
      <c r="F52" s="77"/>
      <c r="G52" s="78"/>
      <c r="H52" s="78"/>
      <c r="I52" s="79"/>
    </row>
    <row r="53" spans="2:9" x14ac:dyDescent="0.35">
      <c r="B53" s="77"/>
      <c r="C53" s="78"/>
      <c r="D53" s="78"/>
      <c r="E53" s="79"/>
      <c r="F53" s="77"/>
      <c r="G53" s="78"/>
      <c r="H53" s="78"/>
      <c r="I53" s="79"/>
    </row>
    <row r="54" spans="2:9" x14ac:dyDescent="0.35">
      <c r="B54" s="77"/>
      <c r="C54" s="78"/>
      <c r="D54" s="78"/>
      <c r="E54" s="79"/>
      <c r="F54" s="77"/>
      <c r="G54" s="78"/>
      <c r="H54" s="78"/>
      <c r="I54" s="79"/>
    </row>
    <row r="55" spans="2:9" x14ac:dyDescent="0.35">
      <c r="B55" s="77"/>
      <c r="C55" s="78"/>
      <c r="D55" s="78"/>
      <c r="E55" s="79"/>
      <c r="F55" s="77"/>
      <c r="G55" s="78"/>
      <c r="H55" s="78"/>
      <c r="I55" s="79"/>
    </row>
    <row r="56" spans="2:9" x14ac:dyDescent="0.35">
      <c r="B56" s="77"/>
      <c r="C56" s="78"/>
      <c r="D56" s="78"/>
      <c r="E56" s="79"/>
      <c r="F56" s="77"/>
      <c r="G56" s="78"/>
      <c r="H56" s="78"/>
      <c r="I56" s="79"/>
    </row>
    <row r="57" spans="2:9" ht="15" thickBot="1" x14ac:dyDescent="0.4">
      <c r="B57" s="80"/>
      <c r="C57" s="81"/>
      <c r="D57" s="81"/>
      <c r="E57" s="82"/>
      <c r="F57" s="80"/>
      <c r="G57" s="81"/>
      <c r="H57" s="81"/>
      <c r="I57" s="82"/>
    </row>
    <row r="58" spans="2:9" x14ac:dyDescent="0.35">
      <c r="B58" s="47" t="s">
        <v>239</v>
      </c>
      <c r="C58" s="48"/>
      <c r="D58" s="48"/>
      <c r="E58" s="48"/>
      <c r="F58" s="48"/>
      <c r="G58" s="48"/>
      <c r="H58" s="48"/>
      <c r="I58" s="49"/>
    </row>
    <row r="59" spans="2:9" x14ac:dyDescent="0.35">
      <c r="B59" s="21" t="s">
        <v>51</v>
      </c>
      <c r="C59" s="1" t="s">
        <v>52</v>
      </c>
      <c r="D59" s="1" t="s">
        <v>53</v>
      </c>
      <c r="E59" s="1" t="s">
        <v>54</v>
      </c>
      <c r="F59" s="1" t="s">
        <v>55</v>
      </c>
      <c r="G59" s="43" t="s">
        <v>56</v>
      </c>
      <c r="H59" s="43"/>
      <c r="I59" s="44"/>
    </row>
    <row r="60" spans="2:9" ht="29" x14ac:dyDescent="0.35">
      <c r="B60" s="24" cm="1">
        <f t="array" ref="B60">_xlfn.XLOOKUP($H$9,Tabla1[[Nombre Unidad de Estudios]:[Nombre Unidad de Estudios]],Tabla1['# versión],"",0)</f>
        <v>1</v>
      </c>
      <c r="C60" s="27" cm="1">
        <f t="array" ref="C60">_xlfn.XLOOKUP($H$9,Tabla1[[Nombre Unidad de Estudios]:[Nombre Unidad de Estudios]],Tabla1[Fecha],"",0)</f>
        <v>46083</v>
      </c>
      <c r="D60" s="22" t="str" cm="1">
        <f t="array" ref="D60">_xlfn.XLOOKUP($H$9,Tabla1[[Nombre Unidad de Estudios]:[Nombre Unidad de Estudios]],Tabla1[Elaboró],"",0)</f>
        <v>Omar Patiño</v>
      </c>
      <c r="E60" s="22" t="str" cm="1">
        <f t="array" ref="E60">_xlfn.XLOOKUP($H$9,Tabla1[[Nombre Unidad de Estudios]:[Nombre Unidad de Estudios]],Tabla1[Revisó],"",0)</f>
        <v>Juan Carlos Rentería</v>
      </c>
      <c r="F60" s="22" t="str" cm="1">
        <f t="array" ref="F60">_xlfn.XLOOKUP($H$9,Tabla1[[Nombre Unidad de Estudios]:[Nombre Unidad de Estudios]],Tabla1[Aprobó],"",0)</f>
        <v>Comité Curricular</v>
      </c>
      <c r="G60" s="45" t="str" cm="1">
        <f t="array" ref="G60">_xlfn.XLOOKUP($H$9,Tabla1[[Nombre Unidad de Estudios]:[Nombre Unidad de Estudios]],Tabla1[Descripción del cambio],"",0)</f>
        <v>Creación syllabus en nuevo formato</v>
      </c>
      <c r="H60" s="45"/>
      <c r="I60" s="46"/>
    </row>
    <row r="61" spans="2:9" x14ac:dyDescent="0.35">
      <c r="B61" s="24"/>
      <c r="C61" s="22"/>
      <c r="D61" s="22"/>
      <c r="E61" s="22"/>
      <c r="F61" s="22"/>
      <c r="G61" s="45"/>
      <c r="H61" s="45"/>
      <c r="I61" s="46"/>
    </row>
    <row r="62" spans="2:9" x14ac:dyDescent="0.35">
      <c r="B62" s="24"/>
      <c r="C62" s="22"/>
      <c r="D62" s="22"/>
      <c r="E62" s="22"/>
      <c r="F62" s="22"/>
      <c r="G62" s="45"/>
      <c r="H62" s="45"/>
      <c r="I62" s="46"/>
    </row>
    <row r="63" spans="2:9" x14ac:dyDescent="0.35">
      <c r="B63" s="24"/>
      <c r="C63" s="22"/>
      <c r="D63" s="22"/>
      <c r="E63" s="22"/>
      <c r="F63" s="22"/>
      <c r="G63" s="45"/>
      <c r="H63" s="45"/>
      <c r="I63" s="46"/>
    </row>
    <row r="64" spans="2:9" x14ac:dyDescent="0.35">
      <c r="B64" s="24"/>
      <c r="C64" s="22"/>
      <c r="D64" s="22"/>
      <c r="E64" s="22"/>
      <c r="F64" s="22"/>
      <c r="G64" s="45"/>
      <c r="H64" s="45"/>
      <c r="I64" s="46"/>
    </row>
    <row r="65" spans="2:9" ht="15" thickBot="1" x14ac:dyDescent="0.4">
      <c r="B65" s="25"/>
      <c r="C65" s="26"/>
      <c r="D65" s="26"/>
      <c r="E65" s="26"/>
      <c r="F65" s="26"/>
      <c r="G65" s="41"/>
      <c r="H65" s="41"/>
      <c r="I65" s="42"/>
    </row>
  </sheetData>
  <mergeCells count="41">
    <mergeCell ref="H8:I8"/>
    <mergeCell ref="B2:B3"/>
    <mergeCell ref="C2:H3"/>
    <mergeCell ref="B4:H4"/>
    <mergeCell ref="B5:I5"/>
    <mergeCell ref="B6:I6"/>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B58:I58"/>
    <mergeCell ref="B34:I34"/>
    <mergeCell ref="B35:I36"/>
    <mergeCell ref="B37:I39"/>
    <mergeCell ref="B40:E40"/>
    <mergeCell ref="F40:I40"/>
    <mergeCell ref="B41:E41"/>
    <mergeCell ref="F41:G41"/>
    <mergeCell ref="B42:I42"/>
    <mergeCell ref="B43:E43"/>
    <mergeCell ref="F43:I43"/>
    <mergeCell ref="B44:E57"/>
    <mergeCell ref="F44:I57"/>
    <mergeCell ref="G65:I65"/>
    <mergeCell ref="G59:I59"/>
    <mergeCell ref="G60:I60"/>
    <mergeCell ref="G61:I61"/>
    <mergeCell ref="G62:I62"/>
    <mergeCell ref="G63:I63"/>
    <mergeCell ref="G64:I64"/>
  </mergeCells>
  <hyperlinks>
    <hyperlink ref="K2" display="Menu principal" xr:uid="{00000000-0004-0000-1600-000000000000}"/>
  </hyperlinks>
  <pageMargins left="0.25" right="0.25" top="0.75" bottom="0.75" header="0.3" footer="0.3"/>
  <pageSetup paperSize="9" scale="7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Tabla!$H$2:$H$22</xm:f>
          </x14:formula1>
          <xm:sqref>H9:I9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Menú Principal</vt:lpstr>
      <vt:lpstr>Tabla</vt:lpstr>
      <vt:lpstr>Anteproyecto de Tesis Doctoral</vt:lpstr>
      <vt:lpstr>OPES</vt:lpstr>
      <vt:lpstr>Gestión para la Sostenibilidad</vt:lpstr>
      <vt:lpstr>Gestión del Talento Humano</vt:lpstr>
      <vt:lpstr>Gestión Financiera</vt:lpstr>
      <vt:lpstr>Innovación Tecnológica y Social</vt:lpstr>
      <vt:lpstr>Teorías y Modelos Gestión Org</vt:lpstr>
      <vt:lpstr>Mercadeo Estratégico</vt:lpstr>
      <vt:lpstr>Economía para la Sostenibilidad</vt:lpstr>
      <vt:lpstr>Economía Circular</vt:lpstr>
      <vt:lpstr>Gobernanza Territorial</vt:lpstr>
      <vt:lpstr>Pensamiento Holístico</vt:lpstr>
      <vt:lpstr>Territorios Inteligentes y Sost</vt:lpstr>
      <vt:lpstr>Seminario de Investigación I</vt:lpstr>
      <vt:lpstr>Seminario de Investigación II</vt:lpstr>
      <vt:lpstr>Metodología de la Investigación</vt:lpstr>
      <vt:lpstr>Tesis Doctoral</vt:lpstr>
      <vt:lpstr>Aplic. Modelos Estadísticos</vt:lpstr>
      <vt:lpstr>Coloquio Doctoral</vt:lpstr>
      <vt:lpstr>Estrategia y Prospectiva Organi</vt:lpstr>
      <vt:lpstr>Metodología Avanzada de Investi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Renteria</dc:creator>
  <cp:keywords/>
  <dc:description/>
  <cp:lastModifiedBy>JUAN JOSE GARCIA TELLEZ</cp:lastModifiedBy>
  <cp:revision/>
  <dcterms:created xsi:type="dcterms:W3CDTF">2026-03-03T01:40:00Z</dcterms:created>
  <dcterms:modified xsi:type="dcterms:W3CDTF">2026-03-26T18:15:04Z</dcterms:modified>
  <cp:category/>
  <cp:contentStatus/>
</cp:coreProperties>
</file>