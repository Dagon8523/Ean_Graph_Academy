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https://universidadeaneduco-my.sharepoint.com/personal/jcrenteria_universidadean_edu_co/Documents/01 - Doctorados en Administración/Syllabus y Matriz de Congruencia/DG/"/>
    </mc:Choice>
  </mc:AlternateContent>
  <xr:revisionPtr revIDLastSave="4" documentId="11_2D8C56D0FDCD426FDCBD428066EF698C360B4FF9" xr6:coauthVersionLast="47" xr6:coauthVersionMax="47" xr10:uidLastSave="{B711A973-820B-4C08-AABC-0802697BB90D}"/>
  <bookViews>
    <workbookView xWindow="-105" yWindow="0" windowWidth="26010" windowHeight="20985" activeTab="4" xr2:uid="{00000000-000D-0000-FFFF-FFFF00000000}"/>
  </bookViews>
  <sheets>
    <sheet name="Menú Principal" sheetId="24" r:id="rId1"/>
    <sheet name="Tabla" sheetId="1" r:id="rId2"/>
    <sheet name="Tesis Doctoral_" sheetId="3" r:id="rId3"/>
    <sheet name="OPES" sheetId="4" r:id="rId4"/>
    <sheet name="Tutoría 1" sheetId="5" r:id="rId5"/>
    <sheet name="Tutoría 2" sheetId="6" r:id="rId6"/>
    <sheet name="Tutoría 3" sheetId="7" r:id="rId7"/>
    <sheet name="Coloquio Doctoral_" sheetId="8" r:id="rId8"/>
    <sheet name="PEGG" sheetId="9" r:id="rId9"/>
    <sheet name="Economía y Organización" sheetId="10" r:id="rId10"/>
    <sheet name="Estrategia y Prospectiva Organ_" sheetId="11" r:id="rId11"/>
    <sheet name="Finanzas Corporativas" sheetId="12" r:id="rId12"/>
    <sheet name="Mercadeo Estratégico" sheetId="13" r:id="rId13"/>
    <sheet name="Metodología Avanzada de Invest_" sheetId="14" r:id="rId14"/>
    <sheet name="Métodos Cuantitativos y Cualita" sheetId="15" r:id="rId15"/>
    <sheet name="Modelos de Gestión y Management" sheetId="16" r:id="rId16"/>
    <sheet name="Teoría Avanzada de Gestión" sheetId="17" r:id="rId17"/>
    <sheet name="Epistemología y Metodología" sheetId="18" r:id="rId18"/>
    <sheet name="Fundamentos de Gestión y Teoría" sheetId="19" r:id="rId19"/>
    <sheet name="Gerencia y Gestión Humana" sheetId="20" r:id="rId20"/>
    <sheet name="Contexto Político" sheetId="21" r:id="rId21"/>
    <sheet name="Tecnología y Sistemas Aplicados" sheetId="22" r:id="rId22"/>
    <sheet name="Tendencias en Gestión e Innovac" sheetId="23" r:id="rId23"/>
  </sheets>
  <definedNames>
    <definedName name="_xlnm._FilterDatabase" localSheetId="1" hidden="1">Tabla!$A$1:$V$22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4" l="1"/>
  <c r="G60" i="23" a="1"/>
  <c r="G60" i="23"/>
  <c r="F60" i="23" a="1"/>
  <c r="F60" i="23"/>
  <c r="E60" i="23" a="1"/>
  <c r="E60" i="23"/>
  <c r="D60" i="23" a="1"/>
  <c r="D60" i="23"/>
  <c r="C60" i="23" a="1"/>
  <c r="C60" i="23"/>
  <c r="B60" i="23" a="1"/>
  <c r="B60" i="23"/>
  <c r="F44" i="23" a="1"/>
  <c r="F44" i="23"/>
  <c r="B44" i="23" a="1"/>
  <c r="B44" i="23"/>
  <c r="I41" i="23" a="1"/>
  <c r="I41" i="23"/>
  <c r="F41" i="23" a="1"/>
  <c r="F41" i="23"/>
  <c r="F40" i="23" a="1"/>
  <c r="F40" i="23"/>
  <c r="B37" i="23" a="1"/>
  <c r="B37" i="23"/>
  <c r="B20" i="23" a="1"/>
  <c r="B20" i="23"/>
  <c r="C19" i="23" a="1"/>
  <c r="C19" i="23"/>
  <c r="D13" i="23" a="1"/>
  <c r="D13" i="23"/>
  <c r="D12" i="23" a="1"/>
  <c r="D12" i="23"/>
  <c r="I10" i="23"/>
  <c r="G10" i="23" a="1"/>
  <c r="G10" i="23"/>
  <c r="E10" i="23" a="1"/>
  <c r="E10" i="23"/>
  <c r="C10" i="23" a="1"/>
  <c r="C10" i="23"/>
  <c r="E9" i="23" a="1"/>
  <c r="E9" i="23"/>
  <c r="C9" i="23" a="1"/>
  <c r="C9" i="23"/>
  <c r="I7" i="23" a="1"/>
  <c r="I7" i="23"/>
  <c r="G7" i="23" a="1"/>
  <c r="G7" i="23"/>
  <c r="E7" i="23" a="1"/>
  <c r="E7" i="23"/>
  <c r="C7" i="23" a="1"/>
  <c r="C7" i="23"/>
  <c r="G60" i="22" a="1"/>
  <c r="G60" i="22"/>
  <c r="F60" i="22" a="1"/>
  <c r="F60" i="22"/>
  <c r="E60" i="22" a="1"/>
  <c r="E60" i="22"/>
  <c r="D60" i="22" a="1"/>
  <c r="D60" i="22"/>
  <c r="C60" i="22" a="1"/>
  <c r="C60" i="22"/>
  <c r="B60" i="22" a="1"/>
  <c r="B60" i="22"/>
  <c r="F44" i="22" a="1"/>
  <c r="F44" i="22"/>
  <c r="B44" i="22" a="1"/>
  <c r="B44" i="22"/>
  <c r="I41" i="22" a="1"/>
  <c r="I41" i="22"/>
  <c r="F41" i="22" a="1"/>
  <c r="F41" i="22"/>
  <c r="F40" i="22" a="1"/>
  <c r="F40" i="22"/>
  <c r="B37" i="22" a="1"/>
  <c r="B37" i="22"/>
  <c r="B20" i="22" a="1"/>
  <c r="B20" i="22"/>
  <c r="C19" i="22" a="1"/>
  <c r="C19" i="22"/>
  <c r="D13" i="22" a="1"/>
  <c r="D13" i="22"/>
  <c r="D12" i="22" a="1"/>
  <c r="D12" i="22"/>
  <c r="I10" i="22"/>
  <c r="G10" i="22" a="1"/>
  <c r="G10" i="22"/>
  <c r="E10" i="22" a="1"/>
  <c r="E10" i="22"/>
  <c r="C10" i="22" a="1"/>
  <c r="C10" i="22"/>
  <c r="E9" i="22" a="1"/>
  <c r="E9" i="22"/>
  <c r="C9" i="22" a="1"/>
  <c r="C9" i="22"/>
  <c r="I7" i="22" a="1"/>
  <c r="I7" i="22"/>
  <c r="G7" i="22" a="1"/>
  <c r="G7" i="22"/>
  <c r="E7" i="22" a="1"/>
  <c r="E7" i="22"/>
  <c r="C7" i="22" a="1"/>
  <c r="C7" i="22"/>
  <c r="G60" i="21" a="1"/>
  <c r="G60" i="21"/>
  <c r="F60" i="21" a="1"/>
  <c r="F60" i="21"/>
  <c r="E60" i="21" a="1"/>
  <c r="E60" i="21"/>
  <c r="D60" i="21" a="1"/>
  <c r="D60" i="21"/>
  <c r="C60" i="21" a="1"/>
  <c r="C60" i="21"/>
  <c r="B60" i="21" a="1"/>
  <c r="B60" i="21"/>
  <c r="F44" i="21" a="1"/>
  <c r="F44" i="21"/>
  <c r="B44" i="21" a="1"/>
  <c r="B44" i="21"/>
  <c r="I41" i="21" a="1"/>
  <c r="I41" i="21"/>
  <c r="F41" i="21" a="1"/>
  <c r="F41" i="21"/>
  <c r="F40" i="21" a="1"/>
  <c r="F40" i="21"/>
  <c r="B37" i="21" a="1"/>
  <c r="B37" i="21"/>
  <c r="C19" i="21" a="1"/>
  <c r="C19" i="21"/>
  <c r="D13" i="21" a="1"/>
  <c r="D13" i="21"/>
  <c r="D12" i="21" a="1"/>
  <c r="D12" i="21"/>
  <c r="I10" i="21"/>
  <c r="G10" i="21" a="1"/>
  <c r="G10" i="21"/>
  <c r="E10" i="21" a="1"/>
  <c r="E10" i="21"/>
  <c r="C10" i="21" a="1"/>
  <c r="C10" i="21"/>
  <c r="E9" i="21" a="1"/>
  <c r="E9" i="21"/>
  <c r="C9" i="21" a="1"/>
  <c r="C9" i="21"/>
  <c r="I7" i="21" a="1"/>
  <c r="I7" i="21"/>
  <c r="G7" i="21" a="1"/>
  <c r="G7" i="21"/>
  <c r="E7" i="21" a="1"/>
  <c r="E7" i="21"/>
  <c r="C7" i="21" a="1"/>
  <c r="C7" i="21"/>
  <c r="G60" i="20" a="1"/>
  <c r="G60" i="20"/>
  <c r="F60" i="20" a="1"/>
  <c r="F60" i="20"/>
  <c r="E60" i="20" a="1"/>
  <c r="E60" i="20"/>
  <c r="D60" i="20" a="1"/>
  <c r="D60" i="20"/>
  <c r="C60" i="20" a="1"/>
  <c r="C60" i="20"/>
  <c r="B60" i="20" a="1"/>
  <c r="B60" i="20"/>
  <c r="F44" i="20" a="1"/>
  <c r="F44" i="20"/>
  <c r="B44" i="20" a="1"/>
  <c r="B44" i="20"/>
  <c r="I41" i="20" a="1"/>
  <c r="I41" i="20"/>
  <c r="F41" i="20" a="1"/>
  <c r="F41" i="20"/>
  <c r="F40" i="20" a="1"/>
  <c r="F40" i="20"/>
  <c r="B37" i="20" a="1"/>
  <c r="B37" i="20"/>
  <c r="B20" i="20" a="1"/>
  <c r="B20" i="20"/>
  <c r="C19" i="20" a="1"/>
  <c r="C19" i="20"/>
  <c r="D13" i="20" a="1"/>
  <c r="D13" i="20"/>
  <c r="D12" i="20" a="1"/>
  <c r="D12" i="20"/>
  <c r="I10" i="20"/>
  <c r="G10" i="20" a="1"/>
  <c r="G10" i="20"/>
  <c r="E10" i="20" a="1"/>
  <c r="E10" i="20"/>
  <c r="C10" i="20" a="1"/>
  <c r="C10" i="20"/>
  <c r="E9" i="20" a="1"/>
  <c r="E9" i="20"/>
  <c r="C9" i="20" a="1"/>
  <c r="C9" i="20"/>
  <c r="I7" i="20" a="1"/>
  <c r="I7" i="20"/>
  <c r="G7" i="20" a="1"/>
  <c r="G7" i="20"/>
  <c r="E7" i="20" a="1"/>
  <c r="E7" i="20"/>
  <c r="C7" i="20" a="1"/>
  <c r="C7" i="20"/>
  <c r="G60" i="19" a="1"/>
  <c r="G60" i="19"/>
  <c r="F60" i="19" a="1"/>
  <c r="F60" i="19"/>
  <c r="E60" i="19" a="1"/>
  <c r="E60" i="19"/>
  <c r="D60" i="19" a="1"/>
  <c r="D60" i="19"/>
  <c r="C60" i="19" a="1"/>
  <c r="C60" i="19"/>
  <c r="B60" i="19" a="1"/>
  <c r="B60" i="19"/>
  <c r="F44" i="19" a="1"/>
  <c r="F44" i="19"/>
  <c r="B44" i="19" a="1"/>
  <c r="B44" i="19"/>
  <c r="I41" i="19" a="1"/>
  <c r="I41" i="19"/>
  <c r="F41" i="19" a="1"/>
  <c r="F41" i="19"/>
  <c r="F40" i="19" a="1"/>
  <c r="F40" i="19"/>
  <c r="B37" i="19" a="1"/>
  <c r="B37" i="19"/>
  <c r="B20" i="19" a="1"/>
  <c r="B20" i="19"/>
  <c r="C19" i="19" a="1"/>
  <c r="C19" i="19"/>
  <c r="D13" i="19" a="1"/>
  <c r="D13" i="19"/>
  <c r="D12" i="19" a="1"/>
  <c r="D12" i="19"/>
  <c r="I10" i="19"/>
  <c r="G10" i="19" a="1"/>
  <c r="G10" i="19"/>
  <c r="E10" i="19" a="1"/>
  <c r="E10" i="19"/>
  <c r="C10" i="19" a="1"/>
  <c r="C10" i="19"/>
  <c r="E9" i="19" a="1"/>
  <c r="E9" i="19"/>
  <c r="C9" i="19" a="1"/>
  <c r="C9" i="19"/>
  <c r="I7" i="19" a="1"/>
  <c r="I7" i="19"/>
  <c r="G7" i="19" a="1"/>
  <c r="G7" i="19"/>
  <c r="E7" i="19" a="1"/>
  <c r="E7" i="19"/>
  <c r="C7" i="19" a="1"/>
  <c r="C7" i="19"/>
  <c r="G60" i="18" a="1"/>
  <c r="G60" i="18"/>
  <c r="F60" i="18" a="1"/>
  <c r="F60" i="18"/>
  <c r="E60" i="18" a="1"/>
  <c r="E60" i="18"/>
  <c r="D60" i="18" a="1"/>
  <c r="D60" i="18"/>
  <c r="C60" i="18" a="1"/>
  <c r="C60" i="18"/>
  <c r="B60" i="18" a="1"/>
  <c r="B60" i="18"/>
  <c r="F44" i="18" a="1"/>
  <c r="F44" i="18"/>
  <c r="B44" i="18" a="1"/>
  <c r="B44" i="18"/>
  <c r="I41" i="18" a="1"/>
  <c r="I41" i="18"/>
  <c r="F41" i="18" a="1"/>
  <c r="F41" i="18"/>
  <c r="F40" i="18" a="1"/>
  <c r="F40" i="18"/>
  <c r="B37" i="18" a="1"/>
  <c r="B37" i="18"/>
  <c r="B20" i="18" a="1"/>
  <c r="B20" i="18"/>
  <c r="C19" i="18" a="1"/>
  <c r="C19" i="18"/>
  <c r="D13" i="18" a="1"/>
  <c r="D13" i="18"/>
  <c r="D12" i="18" a="1"/>
  <c r="D12" i="18"/>
  <c r="I10" i="18"/>
  <c r="G10" i="18" a="1"/>
  <c r="G10" i="18"/>
  <c r="E10" i="18" a="1"/>
  <c r="E10" i="18"/>
  <c r="C10" i="18" a="1"/>
  <c r="C10" i="18"/>
  <c r="E9" i="18" a="1"/>
  <c r="E9" i="18"/>
  <c r="C9" i="18" a="1"/>
  <c r="C9" i="18"/>
  <c r="I7" i="18" a="1"/>
  <c r="I7" i="18"/>
  <c r="G7" i="18" a="1"/>
  <c r="G7" i="18"/>
  <c r="E7" i="18" a="1"/>
  <c r="E7" i="18"/>
  <c r="C7" i="18" a="1"/>
  <c r="C7" i="18"/>
  <c r="G60" i="17" a="1"/>
  <c r="G60" i="17"/>
  <c r="F60" i="17" a="1"/>
  <c r="F60" i="17"/>
  <c r="E60" i="17" a="1"/>
  <c r="E60" i="17"/>
  <c r="D60" i="17" a="1"/>
  <c r="D60" i="17"/>
  <c r="C60" i="17" a="1"/>
  <c r="C60" i="17"/>
  <c r="B60" i="17" a="1"/>
  <c r="B60" i="17"/>
  <c r="F44" i="17" a="1"/>
  <c r="F44" i="17"/>
  <c r="B44" i="17" a="1"/>
  <c r="B44" i="17"/>
  <c r="I41" i="17" a="1"/>
  <c r="I41" i="17"/>
  <c r="F41" i="17" a="1"/>
  <c r="F41" i="17"/>
  <c r="F40" i="17" a="1"/>
  <c r="F40" i="17"/>
  <c r="B37" i="17" a="1"/>
  <c r="B37" i="17"/>
  <c r="B20" i="17" a="1"/>
  <c r="B20" i="17"/>
  <c r="C19" i="17" a="1"/>
  <c r="C19" i="17"/>
  <c r="D13" i="17" a="1"/>
  <c r="D13" i="17"/>
  <c r="D12" i="17" a="1"/>
  <c r="D12" i="17"/>
  <c r="I10" i="17"/>
  <c r="G10" i="17" a="1"/>
  <c r="G10" i="17"/>
  <c r="E10" i="17" a="1"/>
  <c r="E10" i="17"/>
  <c r="C10" i="17" a="1"/>
  <c r="C10" i="17"/>
  <c r="E9" i="17" a="1"/>
  <c r="E9" i="17"/>
  <c r="C9" i="17" a="1"/>
  <c r="C9" i="17"/>
  <c r="I7" i="17" a="1"/>
  <c r="I7" i="17"/>
  <c r="G7" i="17" a="1"/>
  <c r="G7" i="17"/>
  <c r="E7" i="17" a="1"/>
  <c r="E7" i="17"/>
  <c r="C7" i="17" a="1"/>
  <c r="C7" i="17"/>
  <c r="G60" i="16" a="1"/>
  <c r="G60" i="16"/>
  <c r="F60" i="16" a="1"/>
  <c r="F60" i="16"/>
  <c r="E60" i="16" a="1"/>
  <c r="E60" i="16"/>
  <c r="D60" i="16" a="1"/>
  <c r="D60" i="16"/>
  <c r="C60" i="16" a="1"/>
  <c r="C60" i="16"/>
  <c r="B60" i="16" a="1"/>
  <c r="B60" i="16"/>
  <c r="F44" i="16" a="1"/>
  <c r="F44" i="16"/>
  <c r="B44" i="16" a="1"/>
  <c r="B44" i="16"/>
  <c r="I41" i="16" a="1"/>
  <c r="I41" i="16"/>
  <c r="F41" i="16" a="1"/>
  <c r="F41" i="16"/>
  <c r="F40" i="16" a="1"/>
  <c r="F40" i="16"/>
  <c r="B37" i="16" a="1"/>
  <c r="B37" i="16"/>
  <c r="B20" i="16" a="1"/>
  <c r="B20" i="16"/>
  <c r="C19" i="16" a="1"/>
  <c r="C19" i="16"/>
  <c r="D13" i="16" a="1"/>
  <c r="D13" i="16"/>
  <c r="D12" i="16" a="1"/>
  <c r="D12" i="16"/>
  <c r="I10" i="16"/>
  <c r="G10" i="16" a="1"/>
  <c r="G10" i="16"/>
  <c r="E10" i="16" a="1"/>
  <c r="E10" i="16"/>
  <c r="C10" i="16" a="1"/>
  <c r="C10" i="16"/>
  <c r="E9" i="16" a="1"/>
  <c r="E9" i="16"/>
  <c r="C9" i="16" a="1"/>
  <c r="C9" i="16"/>
  <c r="I7" i="16" a="1"/>
  <c r="I7" i="16"/>
  <c r="G7" i="16" a="1"/>
  <c r="G7" i="16"/>
  <c r="E7" i="16" a="1"/>
  <c r="E7" i="16"/>
  <c r="C7" i="16" a="1"/>
  <c r="C7" i="16"/>
  <c r="G60" i="15" a="1"/>
  <c r="G60" i="15"/>
  <c r="F60" i="15" a="1"/>
  <c r="F60" i="15"/>
  <c r="E60" i="15" a="1"/>
  <c r="E60" i="15"/>
  <c r="D60" i="15" a="1"/>
  <c r="D60" i="15"/>
  <c r="C60" i="15" a="1"/>
  <c r="C60" i="15"/>
  <c r="B60" i="15" a="1"/>
  <c r="B60" i="15"/>
  <c r="F44" i="15" a="1"/>
  <c r="F44" i="15"/>
  <c r="B44" i="15" a="1"/>
  <c r="B44" i="15"/>
  <c r="I41" i="15" a="1"/>
  <c r="I41" i="15"/>
  <c r="F41" i="15" a="1"/>
  <c r="F41" i="15"/>
  <c r="F40" i="15" a="1"/>
  <c r="F40" i="15"/>
  <c r="B37" i="15" a="1"/>
  <c r="B37" i="15"/>
  <c r="B20" i="15" a="1"/>
  <c r="B20" i="15"/>
  <c r="C19" i="15" a="1"/>
  <c r="C19" i="15"/>
  <c r="D13" i="15" a="1"/>
  <c r="D13" i="15"/>
  <c r="D12" i="15" a="1"/>
  <c r="D12" i="15"/>
  <c r="I10" i="15"/>
  <c r="G10" i="15" a="1"/>
  <c r="G10" i="15"/>
  <c r="E10" i="15" a="1"/>
  <c r="E10" i="15"/>
  <c r="C10" i="15" a="1"/>
  <c r="C10" i="15"/>
  <c r="E9" i="15" a="1"/>
  <c r="E9" i="15"/>
  <c r="C9" i="15" a="1"/>
  <c r="C9" i="15"/>
  <c r="I7" i="15" a="1"/>
  <c r="I7" i="15"/>
  <c r="G7" i="15" a="1"/>
  <c r="G7" i="15"/>
  <c r="E7" i="15" a="1"/>
  <c r="E7" i="15"/>
  <c r="C7" i="15" a="1"/>
  <c r="C7" i="15"/>
  <c r="G60" i="14" a="1"/>
  <c r="G60" i="14"/>
  <c r="F60" i="14" a="1"/>
  <c r="F60" i="14"/>
  <c r="E60" i="14" a="1"/>
  <c r="E60" i="14"/>
  <c r="D60" i="14" a="1"/>
  <c r="D60" i="14"/>
  <c r="C60" i="14" a="1"/>
  <c r="C60" i="14"/>
  <c r="B60" i="14" a="1"/>
  <c r="B60" i="14"/>
  <c r="F44" i="14" a="1"/>
  <c r="F44" i="14"/>
  <c r="B44" i="14" a="1"/>
  <c r="B44" i="14"/>
  <c r="I41" i="14" a="1"/>
  <c r="I41" i="14"/>
  <c r="F41" i="14" a="1"/>
  <c r="F41" i="14"/>
  <c r="F40" i="14" a="1"/>
  <c r="F40" i="14"/>
  <c r="B37" i="14" a="1"/>
  <c r="B37" i="14"/>
  <c r="B20" i="14" a="1"/>
  <c r="B20" i="14"/>
  <c r="C19" i="14" a="1"/>
  <c r="C19" i="14"/>
  <c r="D13" i="14" a="1"/>
  <c r="D13" i="14"/>
  <c r="D12" i="14" a="1"/>
  <c r="D12" i="14"/>
  <c r="I10" i="14"/>
  <c r="G10" i="14" a="1"/>
  <c r="G10" i="14"/>
  <c r="E10" i="14" a="1"/>
  <c r="E10" i="14"/>
  <c r="C10" i="14" a="1"/>
  <c r="C10" i="14"/>
  <c r="E9" i="14" a="1"/>
  <c r="E9" i="14"/>
  <c r="C9" i="14" a="1"/>
  <c r="C9" i="14"/>
  <c r="I7" i="14" a="1"/>
  <c r="I7" i="14"/>
  <c r="G7" i="14" a="1"/>
  <c r="G7" i="14"/>
  <c r="E7" i="14" a="1"/>
  <c r="E7" i="14"/>
  <c r="C7" i="14" a="1"/>
  <c r="C7" i="14"/>
  <c r="G60" i="13" a="1"/>
  <c r="G60" i="13"/>
  <c r="F60" i="13" a="1"/>
  <c r="F60" i="13"/>
  <c r="E60" i="13" a="1"/>
  <c r="E60" i="13"/>
  <c r="D60" i="13" a="1"/>
  <c r="D60" i="13"/>
  <c r="C60" i="13" a="1"/>
  <c r="C60" i="13"/>
  <c r="B60" i="13" a="1"/>
  <c r="B60" i="13"/>
  <c r="F44" i="13" a="1"/>
  <c r="F44" i="13"/>
  <c r="B44" i="13" a="1"/>
  <c r="B44" i="13"/>
  <c r="I41" i="13" a="1"/>
  <c r="I41" i="13"/>
  <c r="F41" i="13" a="1"/>
  <c r="F41" i="13"/>
  <c r="F40" i="13" a="1"/>
  <c r="F40" i="13"/>
  <c r="B37" i="13" a="1"/>
  <c r="B37" i="13"/>
  <c r="B20" i="13" a="1"/>
  <c r="B20" i="13"/>
  <c r="C19" i="13" a="1"/>
  <c r="C19" i="13"/>
  <c r="D13" i="13" a="1"/>
  <c r="D13" i="13"/>
  <c r="D12" i="13" a="1"/>
  <c r="D12" i="13"/>
  <c r="I10" i="13"/>
  <c r="G10" i="13" a="1"/>
  <c r="G10" i="13"/>
  <c r="E10" i="13" a="1"/>
  <c r="E10" i="13"/>
  <c r="C10" i="13" a="1"/>
  <c r="C10" i="13"/>
  <c r="E9" i="13" a="1"/>
  <c r="E9" i="13"/>
  <c r="C9" i="13" a="1"/>
  <c r="C9" i="13"/>
  <c r="I7" i="13" a="1"/>
  <c r="I7" i="13"/>
  <c r="G7" i="13" a="1"/>
  <c r="G7" i="13"/>
  <c r="E7" i="13" a="1"/>
  <c r="E7" i="13"/>
  <c r="C7" i="13" a="1"/>
  <c r="C7" i="13"/>
  <c r="G60" i="12" a="1"/>
  <c r="G60" i="12"/>
  <c r="F60" i="12" a="1"/>
  <c r="F60" i="12"/>
  <c r="E60" i="12" a="1"/>
  <c r="E60" i="12"/>
  <c r="D60" i="12" a="1"/>
  <c r="D60" i="12"/>
  <c r="C60" i="12" a="1"/>
  <c r="C60" i="12"/>
  <c r="B60" i="12" a="1"/>
  <c r="B60" i="12"/>
  <c r="F44" i="12" a="1"/>
  <c r="F44" i="12"/>
  <c r="B44" i="12" a="1"/>
  <c r="B44" i="12"/>
  <c r="I41" i="12" a="1"/>
  <c r="I41" i="12"/>
  <c r="F41" i="12" a="1"/>
  <c r="F41" i="12"/>
  <c r="F40" i="12" a="1"/>
  <c r="F40" i="12"/>
  <c r="B37" i="12" a="1"/>
  <c r="B37" i="12"/>
  <c r="B20" i="12" a="1"/>
  <c r="B20" i="12"/>
  <c r="C19" i="12" a="1"/>
  <c r="C19" i="12"/>
  <c r="D13" i="12" a="1"/>
  <c r="D13" i="12"/>
  <c r="D12" i="12" a="1"/>
  <c r="D12" i="12"/>
  <c r="I10" i="12"/>
  <c r="G10" i="12" a="1"/>
  <c r="G10" i="12"/>
  <c r="E10" i="12" a="1"/>
  <c r="E10" i="12"/>
  <c r="C10" i="12" a="1"/>
  <c r="C10" i="12"/>
  <c r="E9" i="12" a="1"/>
  <c r="E9" i="12"/>
  <c r="C9" i="12" a="1"/>
  <c r="C9" i="12"/>
  <c r="I7" i="12" a="1"/>
  <c r="I7" i="12"/>
  <c r="G7" i="12" a="1"/>
  <c r="G7" i="12"/>
  <c r="E7" i="12" a="1"/>
  <c r="E7" i="12"/>
  <c r="C7" i="12" a="1"/>
  <c r="C7" i="12"/>
  <c r="G60" i="11" a="1"/>
  <c r="G60" i="11"/>
  <c r="F60" i="11" a="1"/>
  <c r="F60" i="11"/>
  <c r="E60" i="11" a="1"/>
  <c r="E60" i="11"/>
  <c r="D60" i="11" a="1"/>
  <c r="D60" i="11"/>
  <c r="C60" i="11" a="1"/>
  <c r="C60" i="11"/>
  <c r="B60" i="11" a="1"/>
  <c r="B60" i="11"/>
  <c r="F44" i="11" a="1"/>
  <c r="F44" i="11"/>
  <c r="B44" i="11" a="1"/>
  <c r="B44" i="11"/>
  <c r="I41" i="11" a="1"/>
  <c r="I41" i="11"/>
  <c r="F41" i="11" a="1"/>
  <c r="F41" i="11"/>
  <c r="F40" i="11" a="1"/>
  <c r="F40" i="11"/>
  <c r="B37" i="11" a="1"/>
  <c r="B37" i="11"/>
  <c r="C19" i="11" a="1"/>
  <c r="C19" i="11"/>
  <c r="D13" i="11" a="1"/>
  <c r="D13" i="11"/>
  <c r="D12" i="11" a="1"/>
  <c r="D12" i="11"/>
  <c r="I10" i="11"/>
  <c r="G10" i="11" a="1"/>
  <c r="G10" i="11"/>
  <c r="E10" i="11" a="1"/>
  <c r="E10" i="11"/>
  <c r="C10" i="11" a="1"/>
  <c r="C10" i="11"/>
  <c r="E9" i="11" a="1"/>
  <c r="E9" i="11"/>
  <c r="C9" i="11" a="1"/>
  <c r="C9" i="11"/>
  <c r="I7" i="11" a="1"/>
  <c r="I7" i="11"/>
  <c r="G7" i="11" a="1"/>
  <c r="G7" i="11"/>
  <c r="E7" i="11" a="1"/>
  <c r="E7" i="11"/>
  <c r="C7" i="11" a="1"/>
  <c r="C7" i="11"/>
  <c r="G60" i="10" a="1"/>
  <c r="G60" i="10"/>
  <c r="F60" i="10" a="1"/>
  <c r="F60" i="10"/>
  <c r="E60" i="10" a="1"/>
  <c r="E60" i="10"/>
  <c r="D60" i="10" a="1"/>
  <c r="D60" i="10"/>
  <c r="C60" i="10" a="1"/>
  <c r="C60" i="10"/>
  <c r="B60" i="10" a="1"/>
  <c r="B60" i="10"/>
  <c r="F44" i="10" a="1"/>
  <c r="F44" i="10"/>
  <c r="B44" i="10" a="1"/>
  <c r="B44" i="10"/>
  <c r="I41" i="10" a="1"/>
  <c r="I41" i="10"/>
  <c r="F41" i="10" a="1"/>
  <c r="F41" i="10"/>
  <c r="F40" i="10" a="1"/>
  <c r="F40" i="10"/>
  <c r="B37" i="10" a="1"/>
  <c r="B37" i="10"/>
  <c r="B20" i="10" a="1"/>
  <c r="B20" i="10"/>
  <c r="C19" i="10" a="1"/>
  <c r="C19" i="10"/>
  <c r="D13" i="10" a="1"/>
  <c r="D13" i="10"/>
  <c r="D12" i="10" a="1"/>
  <c r="D12" i="10"/>
  <c r="I10" i="10"/>
  <c r="G10" i="10" a="1"/>
  <c r="G10" i="10"/>
  <c r="E10" i="10" a="1"/>
  <c r="E10" i="10"/>
  <c r="C10" i="10" a="1"/>
  <c r="C10" i="10"/>
  <c r="E9" i="10" a="1"/>
  <c r="E9" i="10"/>
  <c r="C9" i="10" a="1"/>
  <c r="C9" i="10"/>
  <c r="I7" i="10" a="1"/>
  <c r="I7" i="10"/>
  <c r="G7" i="10" a="1"/>
  <c r="G7" i="10"/>
  <c r="E7" i="10" a="1"/>
  <c r="E7" i="10"/>
  <c r="C7" i="10" a="1"/>
  <c r="C7" i="10"/>
  <c r="G60" i="9" a="1"/>
  <c r="G60" i="9"/>
  <c r="F60" i="9" a="1"/>
  <c r="F60" i="9"/>
  <c r="E60" i="9" a="1"/>
  <c r="E60" i="9"/>
  <c r="D60" i="9" a="1"/>
  <c r="D60" i="9"/>
  <c r="C60" i="9" a="1"/>
  <c r="C60" i="9"/>
  <c r="B60" i="9" a="1"/>
  <c r="B60" i="9"/>
  <c r="F44" i="9" a="1"/>
  <c r="F44" i="9"/>
  <c r="B44" i="9" a="1"/>
  <c r="B44" i="9"/>
  <c r="I41" i="9" a="1"/>
  <c r="I41" i="9"/>
  <c r="F41" i="9" a="1"/>
  <c r="F41" i="9"/>
  <c r="F40" i="9" a="1"/>
  <c r="F40" i="9"/>
  <c r="B37" i="9" a="1"/>
  <c r="B37" i="9"/>
  <c r="B20" i="9" a="1"/>
  <c r="B20" i="9"/>
  <c r="C19" i="9" a="1"/>
  <c r="C19" i="9"/>
  <c r="D13" i="9" a="1"/>
  <c r="D13" i="9"/>
  <c r="D12" i="9" a="1"/>
  <c r="D12" i="9"/>
  <c r="I10" i="9"/>
  <c r="G10" i="9" a="1"/>
  <c r="G10" i="9"/>
  <c r="E10" i="9" a="1"/>
  <c r="E10" i="9"/>
  <c r="C10" i="9" a="1"/>
  <c r="C10" i="9"/>
  <c r="E9" i="9" a="1"/>
  <c r="E9" i="9"/>
  <c r="C9" i="9" a="1"/>
  <c r="C9" i="9"/>
  <c r="I7" i="9" a="1"/>
  <c r="I7" i="9"/>
  <c r="G7" i="9" a="1"/>
  <c r="G7" i="9"/>
  <c r="E7" i="9" a="1"/>
  <c r="E7" i="9"/>
  <c r="C7" i="9" a="1"/>
  <c r="C7" i="9"/>
  <c r="G60" i="8" a="1"/>
  <c r="G60" i="8"/>
  <c r="F60" i="8" a="1"/>
  <c r="F60" i="8"/>
  <c r="E60" i="8" a="1"/>
  <c r="E60" i="8"/>
  <c r="D60" i="8" a="1"/>
  <c r="D60" i="8"/>
  <c r="C60" i="8" a="1"/>
  <c r="C60" i="8"/>
  <c r="B60" i="8" a="1"/>
  <c r="B60" i="8"/>
  <c r="F44" i="8" a="1"/>
  <c r="F44" i="8"/>
  <c r="B44" i="8" a="1"/>
  <c r="B44" i="8"/>
  <c r="I41" i="8" a="1"/>
  <c r="I41" i="8"/>
  <c r="F41" i="8" a="1"/>
  <c r="F41" i="8"/>
  <c r="F40" i="8" a="1"/>
  <c r="F40" i="8"/>
  <c r="B37" i="8" a="1"/>
  <c r="B37" i="8"/>
  <c r="B20" i="8" a="1"/>
  <c r="B20" i="8"/>
  <c r="C19" i="8" a="1"/>
  <c r="C19" i="8"/>
  <c r="D13" i="8" a="1"/>
  <c r="D13" i="8"/>
  <c r="D12" i="8" a="1"/>
  <c r="D12" i="8"/>
  <c r="I10" i="8"/>
  <c r="G10" i="8" a="1"/>
  <c r="G10" i="8"/>
  <c r="E10" i="8" a="1"/>
  <c r="E10" i="8"/>
  <c r="C10" i="8" a="1"/>
  <c r="C10" i="8"/>
  <c r="E9" i="8" a="1"/>
  <c r="E9" i="8"/>
  <c r="C9" i="8" a="1"/>
  <c r="C9" i="8"/>
  <c r="I7" i="8" a="1"/>
  <c r="I7" i="8"/>
  <c r="G7" i="8" a="1"/>
  <c r="G7" i="8"/>
  <c r="E7" i="8" a="1"/>
  <c r="E7" i="8"/>
  <c r="C7" i="8" a="1"/>
  <c r="C7" i="8"/>
  <c r="G60" i="7" a="1"/>
  <c r="G60" i="7"/>
  <c r="F60" i="7" a="1"/>
  <c r="F60" i="7"/>
  <c r="E60" i="7" a="1"/>
  <c r="E60" i="7"/>
  <c r="D60" i="7" a="1"/>
  <c r="D60" i="7"/>
  <c r="C60" i="7" a="1"/>
  <c r="C60" i="7"/>
  <c r="B60" i="7" a="1"/>
  <c r="B60" i="7"/>
  <c r="F44" i="7" a="1"/>
  <c r="F44" i="7"/>
  <c r="B44" i="7" a="1"/>
  <c r="B44" i="7"/>
  <c r="I41" i="7" a="1"/>
  <c r="I41" i="7"/>
  <c r="F41" i="7" a="1"/>
  <c r="F41" i="7"/>
  <c r="F40" i="7" a="1"/>
  <c r="F40" i="7"/>
  <c r="B37" i="7" a="1"/>
  <c r="B37" i="7"/>
  <c r="B20" i="7" a="1"/>
  <c r="B20" i="7"/>
  <c r="C19" i="7" a="1"/>
  <c r="C19" i="7"/>
  <c r="D13" i="7" a="1"/>
  <c r="D13" i="7"/>
  <c r="D12" i="7" a="1"/>
  <c r="D12" i="7"/>
  <c r="I10" i="7"/>
  <c r="G10" i="7" a="1"/>
  <c r="G10" i="7"/>
  <c r="E10" i="7" a="1"/>
  <c r="E10" i="7"/>
  <c r="C10" i="7" a="1"/>
  <c r="C10" i="7"/>
  <c r="E9" i="7" a="1"/>
  <c r="E9" i="7"/>
  <c r="C9" i="7" a="1"/>
  <c r="C9" i="7"/>
  <c r="I7" i="7" a="1"/>
  <c r="I7" i="7"/>
  <c r="G7" i="7" a="1"/>
  <c r="G7" i="7"/>
  <c r="E7" i="7" a="1"/>
  <c r="E7" i="7"/>
  <c r="C7" i="7" a="1"/>
  <c r="C7" i="7"/>
  <c r="G60" i="6" a="1"/>
  <c r="G60" i="6"/>
  <c r="F60" i="6" a="1"/>
  <c r="F60" i="6"/>
  <c r="E60" i="6" a="1"/>
  <c r="E60" i="6"/>
  <c r="D60" i="6" a="1"/>
  <c r="D60" i="6"/>
  <c r="C60" i="6" a="1"/>
  <c r="C60" i="6"/>
  <c r="B60" i="6" a="1"/>
  <c r="B60" i="6"/>
  <c r="F44" i="6" a="1"/>
  <c r="F44" i="6"/>
  <c r="B44" i="6" a="1"/>
  <c r="B44" i="6"/>
  <c r="I41" i="6" a="1"/>
  <c r="I41" i="6"/>
  <c r="F41" i="6" a="1"/>
  <c r="F41" i="6"/>
  <c r="F40" i="6" a="1"/>
  <c r="F40" i="6"/>
  <c r="B37" i="6" a="1"/>
  <c r="B37" i="6"/>
  <c r="B20" i="6" a="1"/>
  <c r="B20" i="6"/>
  <c r="C19" i="6" a="1"/>
  <c r="C19" i="6"/>
  <c r="D13" i="6" a="1"/>
  <c r="D13" i="6"/>
  <c r="D12" i="6" a="1"/>
  <c r="D12" i="6"/>
  <c r="I10" i="6"/>
  <c r="G10" i="6" a="1"/>
  <c r="G10" i="6"/>
  <c r="E10" i="6" a="1"/>
  <c r="E10" i="6"/>
  <c r="C10" i="6" a="1"/>
  <c r="C10" i="6"/>
  <c r="E9" i="6" a="1"/>
  <c r="E9" i="6"/>
  <c r="C9" i="6" a="1"/>
  <c r="C9" i="6"/>
  <c r="I7" i="6" a="1"/>
  <c r="I7" i="6"/>
  <c r="G7" i="6" a="1"/>
  <c r="G7" i="6"/>
  <c r="E7" i="6" a="1"/>
  <c r="E7" i="6"/>
  <c r="C7" i="6" a="1"/>
  <c r="C7" i="6"/>
  <c r="G60" i="5" a="1"/>
  <c r="G60" i="5"/>
  <c r="F60" i="5" a="1"/>
  <c r="F60" i="5"/>
  <c r="E60" i="5" a="1"/>
  <c r="E60" i="5"/>
  <c r="D60" i="5" a="1"/>
  <c r="D60" i="5"/>
  <c r="C60" i="5" a="1"/>
  <c r="C60" i="5"/>
  <c r="B60" i="5" a="1"/>
  <c r="B60" i="5"/>
  <c r="F44" i="5" a="1"/>
  <c r="F44" i="5"/>
  <c r="B44" i="5" a="1"/>
  <c r="B44" i="5"/>
  <c r="I41" i="5" a="1"/>
  <c r="I41" i="5"/>
  <c r="F41" i="5" a="1"/>
  <c r="F41" i="5"/>
  <c r="F40" i="5" a="1"/>
  <c r="F40" i="5"/>
  <c r="B37" i="5" a="1"/>
  <c r="B37" i="5"/>
  <c r="B20" i="5" a="1"/>
  <c r="B20" i="5"/>
  <c r="C19" i="5" a="1"/>
  <c r="C19" i="5"/>
  <c r="D13" i="5" a="1"/>
  <c r="D13" i="5"/>
  <c r="D12" i="5" a="1"/>
  <c r="D12" i="5"/>
  <c r="I10" i="5"/>
  <c r="G10" i="5" a="1"/>
  <c r="G10" i="5"/>
  <c r="E10" i="5" a="1"/>
  <c r="E10" i="5"/>
  <c r="C10" i="5" a="1"/>
  <c r="C10" i="5"/>
  <c r="E9" i="5" a="1"/>
  <c r="E9" i="5"/>
  <c r="C9" i="5" a="1"/>
  <c r="C9" i="5"/>
  <c r="I7" i="5" a="1"/>
  <c r="I7" i="5"/>
  <c r="G7" i="5" a="1"/>
  <c r="G7" i="5"/>
  <c r="E7" i="5" a="1"/>
  <c r="E7" i="5"/>
  <c r="C7" i="5" a="1"/>
  <c r="C7" i="5"/>
  <c r="G56" i="4" a="1"/>
  <c r="G56" i="4"/>
  <c r="F56" i="4" a="1"/>
  <c r="F56" i="4"/>
  <c r="E56" i="4" a="1"/>
  <c r="E56" i="4"/>
  <c r="D56" i="4" a="1"/>
  <c r="D56" i="4"/>
  <c r="C56" i="4" a="1"/>
  <c r="C56" i="4"/>
  <c r="B56" i="4" a="1"/>
  <c r="B56" i="4"/>
  <c r="F44" i="4" a="1"/>
  <c r="F44" i="4"/>
  <c r="B44" i="4" a="1"/>
  <c r="B44" i="4"/>
  <c r="I41" i="4" a="1"/>
  <c r="I41" i="4"/>
  <c r="F41" i="4" a="1"/>
  <c r="F41" i="4"/>
  <c r="F40" i="4" a="1"/>
  <c r="F40" i="4"/>
  <c r="B37" i="4" a="1"/>
  <c r="B37" i="4"/>
  <c r="B20" i="4" a="1"/>
  <c r="B20" i="4"/>
  <c r="C19" i="4" a="1"/>
  <c r="C19" i="4"/>
  <c r="D13" i="4" a="1"/>
  <c r="D13" i="4"/>
  <c r="D12" i="4" a="1"/>
  <c r="D12" i="4"/>
  <c r="I10" i="4"/>
  <c r="G10" i="4" a="1"/>
  <c r="G10" i="4"/>
  <c r="E10" i="4" a="1"/>
  <c r="E10" i="4"/>
  <c r="C10" i="4" a="1"/>
  <c r="C10" i="4"/>
  <c r="E9" i="4" a="1"/>
  <c r="E9" i="4"/>
  <c r="C9" i="4" a="1"/>
  <c r="C9" i="4"/>
  <c r="I7" i="4" a="1"/>
  <c r="I7" i="4"/>
  <c r="G7" i="4" a="1"/>
  <c r="G7" i="4"/>
  <c r="E7" i="4" a="1"/>
  <c r="E7" i="4"/>
  <c r="C7" i="4" a="1"/>
  <c r="C7" i="4"/>
  <c r="G56" i="3" a="1"/>
  <c r="G56" i="3"/>
  <c r="F56" i="3" a="1"/>
  <c r="F56" i="3"/>
  <c r="E56" i="3" a="1"/>
  <c r="E56" i="3"/>
  <c r="D56" i="3" a="1"/>
  <c r="D56" i="3"/>
  <c r="C56" i="3" a="1"/>
  <c r="C56" i="3"/>
  <c r="B56" i="3" a="1"/>
  <c r="B56" i="3"/>
  <c r="F44" i="3" a="1"/>
  <c r="F44" i="3"/>
  <c r="B44" i="3" a="1"/>
  <c r="B44" i="3"/>
  <c r="I41" i="3" a="1"/>
  <c r="I41" i="3"/>
  <c r="F41" i="3" a="1"/>
  <c r="F41" i="3"/>
  <c r="F40" i="3" a="1"/>
  <c r="F40" i="3"/>
  <c r="B37" i="3" a="1"/>
  <c r="B37" i="3"/>
  <c r="B20" i="3" a="1"/>
  <c r="B20" i="3"/>
  <c r="C19" i="3" a="1"/>
  <c r="C19" i="3"/>
  <c r="D13" i="3" a="1"/>
  <c r="D13" i="3"/>
  <c r="D12" i="3" a="1"/>
  <c r="D12" i="3"/>
  <c r="I10" i="3"/>
  <c r="G10" i="3" a="1"/>
  <c r="G10" i="3"/>
  <c r="E10" i="3" a="1"/>
  <c r="E10" i="3"/>
  <c r="C10" i="3" a="1"/>
  <c r="C10" i="3"/>
  <c r="E9" i="3" a="1"/>
  <c r="E9" i="3"/>
  <c r="C9" i="3" a="1"/>
  <c r="C9" i="3"/>
  <c r="I7" i="3" a="1"/>
  <c r="I7" i="3"/>
  <c r="G7" i="3" a="1"/>
  <c r="G7" i="3"/>
  <c r="E7" i="3" a="1"/>
  <c r="E7" i="3"/>
  <c r="C7" i="3" a="1"/>
  <c r="C7" i="3"/>
  <c r="D28" i="24"/>
  <c r="D25" i="24"/>
  <c r="C25" i="24"/>
  <c r="D24" i="24"/>
  <c r="C24" i="24"/>
  <c r="D23" i="24"/>
  <c r="C23" i="24"/>
  <c r="D22" i="24"/>
  <c r="C22" i="24"/>
  <c r="D21" i="24"/>
  <c r="C21" i="24"/>
  <c r="D20" i="24"/>
  <c r="C20" i="24"/>
  <c r="D19" i="24"/>
  <c r="C19" i="24"/>
  <c r="D18" i="24"/>
  <c r="C18" i="24"/>
  <c r="D17" i="24"/>
  <c r="C17" i="24"/>
  <c r="D16" i="24"/>
  <c r="C16" i="24"/>
  <c r="D15" i="24"/>
  <c r="C15" i="24"/>
  <c r="D14" i="24"/>
  <c r="C14" i="24"/>
  <c r="D13" i="24"/>
  <c r="C13" i="24"/>
  <c r="D12" i="24"/>
  <c r="C12" i="24"/>
  <c r="D11" i="24"/>
  <c r="C11" i="24"/>
  <c r="D10" i="24"/>
  <c r="C10" i="24"/>
  <c r="D9" i="24"/>
  <c r="C9" i="24"/>
  <c r="D8" i="24"/>
  <c r="C8" i="24"/>
  <c r="D7" i="24"/>
  <c r="C7" i="24"/>
  <c r="D6" i="24"/>
  <c r="C6" i="24"/>
  <c r="D5" i="2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<sst xmlns="http://schemas.openxmlformats.org/spreadsheetml/2006/main" count="1528" uniqueCount="241">
  <si>
    <t>Doctorado en Gestión</t>
  </si>
  <si>
    <t>Unidad de Estudios</t>
  </si>
  <si>
    <t>Código</t>
  </si>
  <si>
    <t>Créditos</t>
  </si>
  <si>
    <t>Coloquio Doctoral</t>
  </si>
  <si>
    <t>Contexto Político</t>
  </si>
  <si>
    <t>Economía y Organización</t>
  </si>
  <si>
    <t>Epistemología y Metodología de la Investigación</t>
  </si>
  <si>
    <t>Estrategia y Prospectiva Organizacional</t>
  </si>
  <si>
    <t>Finanzas Corporativas</t>
  </si>
  <si>
    <t>Fundamentos de Gestión y Teoría de la Organización</t>
  </si>
  <si>
    <t>Gerencia y Gestión Humana</t>
  </si>
  <si>
    <t>Mercadeo Estratégico</t>
  </si>
  <si>
    <t>Metodología Avanzada de Investigación Aplicada</t>
  </si>
  <si>
    <t>Métodos Cuantitativos y Cualitativos</t>
  </si>
  <si>
    <t>Modelos de Gestión y Management</t>
  </si>
  <si>
    <t>Oportunidades para el Emprendimiento Sostenible</t>
  </si>
  <si>
    <t>Pensamiento Estratégico y Gerencia Global</t>
  </si>
  <si>
    <t>Tecnología y Sistemas Aplicados a la Gestión Organizacional</t>
  </si>
  <si>
    <t>Tendencias en Gestión e Innovación</t>
  </si>
  <si>
    <t>Teoría Avanzada de Gestión</t>
  </si>
  <si>
    <t>Tesis Doctoral</t>
  </si>
  <si>
    <t>Tutoría 1</t>
  </si>
  <si>
    <t>Tutoría 2</t>
  </si>
  <si>
    <t>Tutoría 3</t>
  </si>
  <si>
    <t>Electiva 1</t>
  </si>
  <si>
    <t>Electiva 2</t>
  </si>
  <si>
    <t>Total</t>
  </si>
  <si>
    <t>Tabla Resumen</t>
  </si>
  <si>
    <t>Año</t>
  </si>
  <si>
    <t>Código Plan de Estudios</t>
  </si>
  <si>
    <t>Código Unidad de Estudios</t>
  </si>
  <si>
    <t>Tipo Unidad de Estudios</t>
  </si>
  <si>
    <t>Modalidad</t>
  </si>
  <si>
    <t>Nivel</t>
  </si>
  <si>
    <t>Programa</t>
  </si>
  <si>
    <t>Nombre Unidad de Estudios</t>
  </si>
  <si>
    <t>Créditos Académicos</t>
  </si>
  <si>
    <t>Horas de Acompañamiento Directo [HAD]</t>
  </si>
  <si>
    <t>Horas de Trabajo Autónomo [HTA]</t>
  </si>
  <si>
    <t>Horas Totales [HT]</t>
  </si>
  <si>
    <t>Descripción de la Unidad de Estudios</t>
  </si>
  <si>
    <t>Resultado de Aprendizaje de la Unidad de Estudios</t>
  </si>
  <si>
    <t>Contenidos Unidad de Estudios</t>
  </si>
  <si>
    <t>Módulo</t>
  </si>
  <si>
    <t>Esquema de Calificación</t>
  </si>
  <si>
    <t>Recursos Tecnológicos</t>
  </si>
  <si>
    <t>Componente de Lengua Extranjera [Idioma]</t>
  </si>
  <si>
    <t>Componente de Lengua Extranjera [%]</t>
  </si>
  <si>
    <t>Bibliografía Obligatoria</t>
  </si>
  <si>
    <t>Bibliografia Complementaria</t>
  </si>
  <si>
    <t># versión</t>
  </si>
  <si>
    <t>Fecha</t>
  </si>
  <si>
    <t>Elaboró</t>
  </si>
  <si>
    <t>Revisó</t>
  </si>
  <si>
    <t>Aprobó</t>
  </si>
  <si>
    <t>Descripción del cambio</t>
  </si>
  <si>
    <t>DTPGESBOG002</t>
  </si>
  <si>
    <t>ADP01750</t>
  </si>
  <si>
    <t>Requisito de Grado</t>
  </si>
  <si>
    <t>Presencial</t>
  </si>
  <si>
    <t>Doctorado</t>
  </si>
  <si>
    <t>Doctorado En Gestión</t>
  </si>
  <si>
    <t>El desarrollo de una tesis doctoral busca generar una contribución única y original en un campo específico del conocimiento, para lo cual es necesario que el doctorando aplique el método científico en el desarrollo de su proyecto de investigación.</t>
  </si>
  <si>
    <t>Desarrolla procesos de generación de conocimiento en áreas específicas de su experiencia, teniendo como base los conceptos fundamentales y la teoría de punta en un campo del conocimiento.</t>
  </si>
  <si>
    <t>Diseño de la investigación.
Revisión de literatura.
Elaboración de instrumento de investigación.
Recopilación de información.
Análisis de información.
Escritura de tesis.
Sustentación de tesis doctoral.</t>
  </si>
  <si>
    <t>2 semestres</t>
  </si>
  <si>
    <t>100% Presentación y sustentación de la tesis doctoral.</t>
  </si>
  <si>
    <t>Base de datos; Material bibliográfico; Plataforma virtual</t>
  </si>
  <si>
    <t>Inglés</t>
  </si>
  <si>
    <t>Bell, C. y French, W. (1995). Desarrollo Organizacional. Prentice-Hall Hispanoamericana.
Bernal Torres, C. A. (2000). Metodología de la Investigación para Administración y Economía. Pearson.
Bejarano A., J. A. (1996). Sobre la Investigación y la Consultoría Económica: Fragmentos de un Proyecto. Innovar, (8).</t>
  </si>
  <si>
    <t>Jordan, P. J. y Troth, A. C. (2020). Common method bias in applied settings. Australian Journal of Management, 45(1), 3-14. https://doi.org/10.1177/0312896219871976
Kuhn, T. S. (2005). La estructura de las revoluciones científicas. Fondo de Cultura Económica.
Lakatos, I. (1993). La metodología de los Programas de investigación científica. Alianza.</t>
  </si>
  <si>
    <t>Omar Patiño</t>
  </si>
  <si>
    <t>Juan Carlos Rentería</t>
  </si>
  <si>
    <t>Comité Curricular</t>
  </si>
  <si>
    <t>Creación syllabus en nuevo formato</t>
  </si>
  <si>
    <t>ADP01769</t>
  </si>
  <si>
    <t>La unidad de estudios Tutoría I tiene como propósito orientar a los doctorandos respecto a la normatividad de lineamientos para la construcción de tesis doctoral en la Universidad EAN.</t>
  </si>
  <si>
    <t>Diseña un proyecto de investigación aplicando el método científico y/o modelos pertinentes para resolver una problemática desde una perspectiva transdisciplinar, de las organizaciones en un entorno de desarrollo sostenible.</t>
  </si>
  <si>
    <t>Lineamientos de funcionamiento de doctorados en la Universidad EAN.
Grupos y líneas de investigación en la Universidad EAN.
Manejo de bases de datos en la biblioteca virtual de la Universidad EAN.
Enfoques de investigación.
Planteamiento de problema de investigación.</t>
  </si>
  <si>
    <t>4 semanas</t>
  </si>
  <si>
    <t>30% Evaluación de exposición oral, debates, argumentación y talleres.
35% Primer avance de investigación.
35% Informe final de investigación que incluye los elementos de planteamiento del problema.</t>
  </si>
  <si>
    <t>ADP01770</t>
  </si>
  <si>
    <t>La unidad de estudios Tutoría II tiene como propósito orientar al estudiante en la construcción de la revisión de la literatura del anteproyecto de tesis doctoral.</t>
  </si>
  <si>
    <t>Crea hasta el marco teórico de un proyecto de investigación aplicando el método científico y/o modelos pertinentes para resolver una problemática desde una perspectiva transdisciplinar, de las organizaciones en un entorno de desarrollo sostenible.</t>
  </si>
  <si>
    <t>Planteamiento de problema de investigación.
Articulación entre el planteamiento del problema, marco teórico, enfoque de investigación, alcances de investigación.
Utilidad de la teoría. Establecimiento de límites teóricos a la investigación.
Identificación de las fases para realizar la revisión sistemática de la literatura.</t>
  </si>
  <si>
    <t>30% Evaluación de exposición oral, debates, argumentación, talleres.
35% Primer avance de investigación, aproximación a manejo de gestores bibliográficos.
35% Informe final de investigación con la construcción del marco teórico, análisis de datos cualitativos.</t>
  </si>
  <si>
    <t>ADP01771</t>
  </si>
  <si>
    <t>La investigación como un proceso de generación de conocimiento es la base del desarrollo de una tesis doctoral. La comprensión del problema objeto de la investigación y su inserción en el estado del arte son componentes fundamentales del proceso investigativo.</t>
  </si>
  <si>
    <t>Propone el ante proyecto del trabajo tesis doctoral aplicando las herramientas de habilidades, conceptuales, metodológicas y de estilo, con el enfoque de investigación, desarrollo e innovación.</t>
  </si>
  <si>
    <t>Presentación de la normativa institucional acerca de la unidad de estudios, la presentación de la tesis doctoral.
Presentación de versión preliminar de la tesis doctoral ante el grupo en general.
Presentación acerca de estilo de redacción y manejo de normas APA.
Incorporación de recomendaciones sugeridas.
Presentación de avances en el desarrollo de la tesis.</t>
  </si>
  <si>
    <t>100% Concepto de jurados evaluadores acorde con lineamientos dados por el Comité Doctoral.</t>
  </si>
  <si>
    <t>ADPN0018</t>
  </si>
  <si>
    <t>La investigación como un proceso de generación de conocimiento es la base del desarrollo de una tesis doctoral. La comprensión del problema objeto de la investigación permite al doctorando presentar y debatir los avances de su trabajo investigativo.</t>
  </si>
  <si>
    <t>Debate los avances de la tesis doctoral propia y de los otros participantes del coloquio, para la generación de oportunidades de mejora y la validación de la aplicación del método científico y los hallazgos de la investigación, con un enfoque de investigación, desarrollo e innovación.</t>
  </si>
  <si>
    <t>Presentación de la normativa institucional acerca de la unidad de estudios, la presentación del anteproyecto y la tesis doctoral.
Presentación de versión preliminar de anteproyecto ante el grupo en general.
Incorporación de recomendaciones sugeridas.
Presentación de avances en el desarrollo del anteproyecto ante grupo en general.</t>
  </si>
  <si>
    <t>1 semana</t>
  </si>
  <si>
    <t>FDPO0002</t>
  </si>
  <si>
    <t>Transversal</t>
  </si>
  <si>
    <t>El emprendimiento, entendido como la acción que lleva a la creación de empresas, se ha consolidado como estrategia de desarrollo social y económico. Esta unidad busca desarrollar técnicas y estrategias de innovación ante problemáticas de sostenibilidad.</t>
  </si>
  <si>
    <t>Desarrolla técnicas y estrategias de innovación ante problemáticas de generación y sostenibilidad de los recursos a partir del uso de metodologías de preservación y emprendimiento social para transformar organizaciones y territorios.</t>
  </si>
  <si>
    <t>Aproximaciones teóricas generales al estudio del emprendimiento.
Teorías relevantes.
Estudios conceptuales sobre la incidencia del entorno en el surgimiento de nuevas empresas.
Investigaciones empíricas sobre el entorno y la actividad emprendedora.
La investigación en emprendimiento y perspectiva.</t>
  </si>
  <si>
    <t>35% Trabajo monográfico.
35% Presentación y discusión de resúmenes analíticos.
30% Actividades de debate y reflexión - participación como comentarista.</t>
  </si>
  <si>
    <t>Bosma, N. y Kelley, D. (2020). GEM Global Report 2019/2020. Global Entrepreneurship Monitor. https://www.gemconsortium.org/reports/latest-global-report
Varela, R., Pereira, F., Goméz, L. y Parra, L. (2020). Dinámica de la Actividad Empresarial en Colombia, Informe GEM Colombia (2019/2020). ICESI. http://gemcolombia.org/publicaciones/
Valencia-Arias, A., Flórez, L. G., Restrepo, L. A. M., López, A. M. U. L. U. y Restrepo, I. M. (2017). [Estudio sobre emprendimiento].</t>
  </si>
  <si>
    <t>Gartner, W. B., Welter, F., Baker, T. y Audretsch, D. B. (2016). Everyday Entrepreneurship. Entrepreneurship, Theory and Practice, 41(3). https://www.researchgate.net/profile/William_Gartner3/publication/309145495</t>
  </si>
  <si>
    <t>FPA01646</t>
  </si>
  <si>
    <t>Este curso aborda la complejidad del pensamiento estratégico desde una perspectiva multidisciplinaria. Su propósito es que los estudiantes logren estructurar modelos de diagnóstico a problemas bajo estudio mediante la aplicación de herramientas de gestión sostenible.</t>
  </si>
  <si>
    <t>Estructura modelos de diagnóstico a problemas bajo estudio mediante la aplicación de herramientas de gestión sostenible que redunden en los resultados de las organizaciones.</t>
  </si>
  <si>
    <t>1. Fundamentos de la gestión sostenible en las organizaciones.
2. Integración de conceptos y teorías en modelos de gestión sostenible.
3. Análisis de modelos y de casos.
4. Diagnóstico organizacional bajo el enfoque de sostenibilidad.
5. Estudios de caso: aplicación y evaluación de modelos.</t>
  </si>
  <si>
    <t>6 semanas</t>
  </si>
  <si>
    <t>25% Dirección de sesión individual/grupal.
25% Desarrollo individual de casos.
40% Redacción final individual de artículos.
10% Participación constructiva en las sesiones.</t>
  </si>
  <si>
    <t>Murnieks, C. Y., Klotz, A. C. y Shepherd, D. A. (2020). Entrepreneurial motivation. Journal of Organizational Behavior, 41, 115-143.
Zeng, M. (2019). Alibaba and the Future of Business. Harvard Business Review. https://hbr.org/2018/09/alibaba-and-the-future-of-business
Zhu, F. y Lansiti, M. (2019). Why Some Platforms Thrive and Others Don't. Harvard Business Review. https://hbr.org/2019/01/why-some-platforms-thrive-and-others-dont</t>
  </si>
  <si>
    <t>Lawrence, T. B., Suddaby, R. y Leca, B. (2009). Introduction: theorizing and studying Institutional work. https://thomaslawrence.files.wordpress.com
Lundin, M. (2007). Explaining Cooperation. Journal of Public Administration Research and Theory, 17(4), 651-672.
Freeman, J. H. y Audia, P. G. (2006). Community ecology and the sociology of organizations.</t>
  </si>
  <si>
    <t>ADA01281</t>
  </si>
  <si>
    <t>Nuclear</t>
  </si>
  <si>
    <t>El estudio de las relaciones económicas contemporáneas es un componente esencial para la comprensión de la situación actual de nuestras sociedades, así como de las organizaciones que operan en marcos de restricciones ecológicas y de sostenibilidad.</t>
  </si>
  <si>
    <t>Desarrolla habilidades analíticas para comprender el comportamiento organizacional en economías competitivas y de mercado.</t>
  </si>
  <si>
    <t>La economía en el marco de las restricciones ecológicas. Un espacio seguro para la humanidad.
Perspectivas de análisis: economía tradicional, economía ambiental, economía ecológica, ecología industrial, economía de la sostenibilidad.
Fundamentos y principales debates en microeconomía.</t>
  </si>
  <si>
    <t>20% Participación en foros.
30% Ejercicios.
30% Trabajo final.
20% Presentación final.</t>
  </si>
  <si>
    <t>Bernal, R. y Peña, X. (2011). Guía Práctica de Evaluación de impacto. Ediciones Uniandes.
Cárdenas, J. C. (2010). Dilemas de lo colectivo. Instituciones, pobreza y cooperación en el manejo local de los recursos de uso común. Ediciones Uniandes.
Costanza, R., Cumberland, J., Daly, H., Goodland, R., Norgaard, R., Kubiszewski, I. y Franco, C. (2014). An introduction to ecological economics (2nd ed.). CRC Press.</t>
  </si>
  <si>
    <t>Sachs, J. (2016). La era del desarrollo sostenible. Paidos Empresa.
Tirole, J. (2017). La economía del bien común. Penguin Random House Grupo Editorial.</t>
  </si>
  <si>
    <t>ADA01400</t>
  </si>
  <si>
    <t>Las tendencias del entorno y los cambios sociales han afectado de manera rotunda las ciencias de la administración y la economía. La sociedad actual tiene nuevas necesidades que requieren propuestas estratégicas y prospectivas para la toma de decisiones organizacionales.</t>
  </si>
  <si>
    <t>Propone planes y estrategias con visión prospectiva para la mejor toma de decisiones que permitan alcanzar resultados efectivos en las organizaciones.</t>
  </si>
  <si>
    <t>La estrategia implícita y explícita en la práctica gerencial vs los resultados empresariales.
El pensamiento estratégico y la gestión de inteligencia competitiva.
Herramientas de diagnóstico del Modelo MMGO.</t>
  </si>
  <si>
    <t>10% Primer ensayo.
10% Conversatorio sobre la evolución del concepto de estrategia.
10% Desarrollo, presentación y debate sobre caso.
20% Análisis y discusión de análisis estratégicos.
20% Presentación de tipos de Estrategias.</t>
  </si>
  <si>
    <t>Amaya P., P. J. (S/A). Colombia un país por construir. Universidad Nacional de Colombia. Documento Destino Colombia. http://www.scribd.com/doc/6288666/Destino-Colombia-Spanish
Bryant, B. P. y Lempert, R. J. (2010). Thinking inside the box: a participatory, computer-assisted approach to scenario discovery. Technological Forecasting and Social Change, 77(1), 34-49.</t>
  </si>
  <si>
    <t>Prospectiva tecnológica: avances tecnológicos e innovación tecnológica. www.youtube.com/watch?v=A6lQQxVttz8
Resumen Destino Colombia. http://www.generonconsulting.com/publications/papers/pdfs/EscenariosDestinoColombia.pdf
Secretaría de Infraestructura, Gobernación de Antioquia. (2014). Plan Escenarios 2030.</t>
  </si>
  <si>
    <t>ADA01422</t>
  </si>
  <si>
    <t>Entender los retos fundamentales de los negocios requiere de una visión práctica de la gestión financiera eficaz, que logre desarrollar capacidades y habilidades para analizar las finanzas corporativas como insumo para las líneas de investigación aplicada.</t>
  </si>
  <si>
    <t>Analiza el estado de las finanzas corporativas como insumo para las distintas líneas de investigación aplicada, lo cual le permitirá comprender el impacto de la gestión directiva de las organizaciones en estudio.</t>
  </si>
  <si>
    <t>El valor del dinero en el tiempo.
Interpretación de los estados financieros.
Valoración de empresas.
Evaluación de proyectos, bonos y acciones.
Riesgo.
Costo del capital propio.
Estructura del capital.
Gobierno corporativo.</t>
  </si>
  <si>
    <t>30% Participación en clase.
40% Presentación de artículos.
30% Ejercicios.</t>
  </si>
  <si>
    <t>Berk, J. (2017). Corporate finance (4a. ed.). Pearson Educación. https://www-ebooks7-24-com.bdbiblioteca.universidadean.edu.co/?il=5388
Vera-Colina, M. A. (2012). Metodología para el análisis de la gestión financiera en Pymes. SSRN. https://ssrn.com/abstract=2591117
Bonet-Morón, J. y Pérez-Valbuena, G. J. [Estudio sobre finanzas regionales].</t>
  </si>
  <si>
    <t>Mejia-Escobar, J. C., González-Ruiz, J. D. y Duque-Grisales, E. (2020). Sustainable financial products in the latin america banking industry. Sustainability, 12(14). https://doi.org/10.3390/su12145648
BVC (2014). Guía del Mercado de Valores. https://www.bvc.com.co
IIRC (2013). The International Integrated Reporting Framework. https://integratedreporting.org</t>
  </si>
  <si>
    <t>ADA01601</t>
  </si>
  <si>
    <t>Los desafíos del planeta siguen en aumento año tras año. Los problemas ambientales, la inclusión social y el equilibrio entre las fuerzas del entorno plantean la necesidad de integrar los nuevos paradigmas del marketing estratégico en la gestión de organizaciones más sostenibles.</t>
  </si>
  <si>
    <t>Integra los nuevos paradigmas de marketing estratégico en la creación de nuevo conocimiento para la gestión de organizaciones más sostenibles.</t>
  </si>
  <si>
    <t>Fundamentos de mercadeo.
Comportamiento del Consumidor.
Marketing Mix.
Comunicaciones integradas de Marketing.
Marketing en la Era Digital.
Mercadeo estratégico.
Análisis de la Necesidad.</t>
  </si>
  <si>
    <t>50% Working Paper - Individual o en Parejas (15 referencias académicas por integrante).
25% Tipificación de Artículos (antes del módulo).
25% Exposición de artículo de la literatura académica.</t>
  </si>
  <si>
    <t>Amado, A., Cortez, P., Rita, P. y Moro, S. (2018). Research trends on Big Data in Marketing. European Research on Management and Business Economics, 24(1), 1-7. https://doi.org/10.1016/j.iedeen.2017.06.002
De Haan, E., Wiesel, T. y Pauwels, K. (2015). The effectiveness of different forms of online advertising for purchase conversion. International Journal of Research in Marketing, 33(3), 491-507. https://doi.org/10.1016/j.ijresmar.2015.12.001</t>
  </si>
  <si>
    <t>Cacciolatti, L. y Lee, S. H. (2016). Revisiting the relationship between marketing capabilities and firm performance. Journal of Business Research, 69(12), 5597-5610. https://doi.org/10.1016/j.jbusres.2016.03.067
Daud, S. y Asha'ari, M. J. (2018). Sustainable Marketing and Corporate Sustainability Performance. Global Business and Management Research, 10(8), 919-929.
Eckhardt, G. M., Houston, M. B., Jiang, B., Lamberton, C. [et al.] [Estudio sobre consumo compartido].</t>
  </si>
  <si>
    <t>ADA01607</t>
  </si>
  <si>
    <t>La validación de hipótesis y su posterior uso en la generación de nueva teoría alrededor del ejercicio gerencial es uno de los objetivos fundamentales de los programas doctorales. Esta unidad desarrolla la investigación desde una perspectiva cuantitativa con software especializado.</t>
  </si>
  <si>
    <t>Desarrolla la investigación desde una perspectiva cuantitativa, con el uso de herramientas metodológicas y software especializado para la interpretación y análisis de datos estadísticos levantados a partir de la investigación de campo.</t>
  </si>
  <si>
    <t>Determinación de la población objeto de estudio y determinación de la muestra.
Métodos para la selección de la muestra.
Elaboración de instrumentos de medición.
Determinación de las escalas de medición.</t>
  </si>
  <si>
    <t>20% Participación en clase.
20% Presentaciones de artículos.
30% Elaboración de ensayos.
30% Elaboración de revisiones de literatura.</t>
  </si>
  <si>
    <t>Base de datos; Material bibliográfico; Plataforma virtual; Excel; SPSS; Eviews</t>
  </si>
  <si>
    <t>ADA01612</t>
  </si>
  <si>
    <t>La investigación se divide en diferentes áreas y una de ellas es la planeación del proyecto, incluyendo la identificación de los sujetos de la investigación, el tipo de muestra y la herramienta de obtención de datos más adecuada.</t>
  </si>
  <si>
    <t>Desarrolla competencias investigativas en lo relacionado con los métodos cualitativos y cuantitativos aplicados al proyecto de tesis doctoral, para identificar qué tipo de muestra y qué herramienta de obtención de datos deberá emplear en su investigación.</t>
  </si>
  <si>
    <t>Introducción a los métodos de investigación.
Fundamentos epistemológicos, ontológicos y axiológicos para la investigación científica en ciencias de la gestión.
La importancia de las decisiones relacionadas con los métodos de investigación.</t>
  </si>
  <si>
    <t>30% Taller 1.
30% Taller 2.
40% Plan metodológico para la tesis.</t>
  </si>
  <si>
    <t>Base de datos; Material bibliográfico; Plataforma virtual; Software SPSS / Nvivo</t>
  </si>
  <si>
    <t>ADA01620</t>
  </si>
  <si>
    <t>Las investigaciones recientes están direccionando a las organizaciones a mejorar sus procesos administrativos y su gestión. Esta unidad busca que el estudiante diseñe sus propios modelos de gestión y management, desarrollando actitudes y habilidades para la toma de decisiones en entornos competitivos.</t>
  </si>
  <si>
    <t>Diseña sus propios modelos de gestión y management, desarrollando actitudes, aptitudes y habilidades que requiere el rol de gestor-líder, para la toma de decisiones en entornos organizacionales competitivos.</t>
  </si>
  <si>
    <t>Modelos de gestión: Origen y Definición.
Tendencias de los modelos de gestión.
Modelo de Management 3.0.
Total Quality Management systems/standards.
Conceptos Fundamentales de la Calidad y Sistema de Gestión de Calidad.</t>
  </si>
  <si>
    <t>50% Actividades en sesiones.
50% Actividad individual.</t>
  </si>
  <si>
    <t>Almeida, F. y Espinheira, E. (2021). Management 3.0: A Systematic Literature Review. International Journal of Human Capital Management, 5(2), 44-57. https://doi.org/10.21009/IJHCM.05.02.5
Bodrozic, Z. y Adler, P. S. (2018). The Evolution of Management Models: A Neo-Schumpeterian Theory. Administrative Science Quarterly, 63(1), 85-129.
Wilson, L. (2019). Chapter 6 Management 1.0, 2.0 and 3.0. In How to Ensure Your Employees Are Motivated.</t>
  </si>
  <si>
    <t>Lawrence, T. B., Suddaby, R. y Leca, B. (2009). Introduction: theorizing and studying Institutional work. https://thomaslawrence.files.wordpress.com/2008/08/lawrence-et-al-2009-introduction-theorizing-and-studying-institutiona1.pdf
Lundin, M. (2007). Explaining Cooperation: How Resource Interdependence, Goal Congruence, and Trust Affect Joint Actions. Journal of Public Administration Research and Theory, 17(4), 651-672.
Freeman, J. H. y Audia, P. G. (2006). Community ecology and the sociology of organizations.</t>
  </si>
  <si>
    <t>ADA01749</t>
  </si>
  <si>
    <t>Las organizaciones operan en entornos dinámicos donde la capacidad de los individuos, grupos y colectivos más grandes para procesar información y tomar decisiones es fundamental. Esta unidad analiza las teorías avanzadas de gestión y su aplicación organizacional.</t>
  </si>
  <si>
    <t>Estructura soluciones a los problemas sociales de las regiones con base en el uso de herramientas y teorías administrativas para encontrar una óptima estructura y gestión de las organizaciones.</t>
  </si>
  <si>
    <t>Fundamentos teóricos de la Organización.
Teorías administrativas Clásicas.
Teorías Modernas.
Pensamiento sistémico.
Otras Teorías posmodernas.</t>
  </si>
  <si>
    <t>ADP01381</t>
  </si>
  <si>
    <t>La investigación como un proceso de generación de conocimiento se convierte en una de las herramientas más importantes para el desarrollo gerencial y para el avance de las ciencias de la gestión. Esta unidad desarrolla habilidades para llevar a cabo procesos rigurosos de investigación aplicada.</t>
  </si>
  <si>
    <t>Desarrollar las habilidades necesarias para llevar a cabo procesos rigurosos y metódicos de investigación aplicada a la administración para la sostenibilidad y con ello comprender realidades particulares de cada organización, determinando variables e indicadores de investigación.</t>
  </si>
  <si>
    <t>Las ciencias de la gestión y su investigación.
Discusión sobre tipologías de investigación y tipologías de los artículos científicos.
Extrapolación de tipologías de presentación y estructuración de los artículos científicos.
Aproximación al marco teórico. Revisión y consulta de la literatura.</t>
  </si>
  <si>
    <t>20% Participación en clase.
50% Presentación del trabajo final.
30% Elaboración de revisiones de literatura.</t>
  </si>
  <si>
    <t>ADP01432</t>
  </si>
  <si>
    <t>La dinámica de desarrollo que vive actualmente el mundo, el permanente cambio que se genera en el entorno organizacional y la creciente necesidad de contar con gestores capaces de interpretar los modelos organizacionales, hacen fundamental el estudio de la teoría de la organización.</t>
  </si>
  <si>
    <t>Interpreta los modelos organizacionales y de gestión con base a contextos y realidades específicas para proponer mejoras significativas y sostenibles en las organizaciones.</t>
  </si>
  <si>
    <t>Epistemología de la Gestión: Conceptos de Gestión, Teoría – disciplina, ciencia – sociotécnica.
El objeto de estudio de la Gestión: Organización, características, diferencias entre organización y empresa.
Formas de aproximación a la organización: Paradigma de la simplicidad, Teoría General de Sistemas, paradigma de la complejidad.</t>
  </si>
  <si>
    <t>30% Análisis de lecturas.
30% Exposiciones.
40% Trabajo final.</t>
  </si>
  <si>
    <t>Ader, J. J. (1993). Organizaciones. Editorial Paidós.
Krieger, M. (2001). Sociología de las Organizaciones (1a. ed.). Prentice Hall.
Mintzberg, H. y Quinn, J. B. (1988). El Proceso Estratégico (2a. ed.). Prentice Hall.
Luhmann, N. (1997). Organización y Decisión. Autopoiesis, acción y entendimiento. Anthropos Editorial.
Bertalanffy, L. V. (1984). Teoría General de los Sistemas: fundamentos, desarrollo, aplicaciones. FCE.</t>
  </si>
  <si>
    <t>Debeljuh, P. (2009). Ética Empresarial. Cengage Learning.
Collins, J. (2010). Empresas que Sobresalen. Grupo Editorial Norma.
Hamel, G. (2012). El Futuro de la Administración. Grupo Editorial Norma.
Martínez Villaverde, L. (2010). Gestión del Cambio y la Innovación en la Empresa. Editorial Ideas Propias.
Mûnch, L. (2007). Administración. Editorial Pearson.</t>
  </si>
  <si>
    <t>ADP01460</t>
  </si>
  <si>
    <t>Considerando que la visión estratégica de los temas de gestión humana y liderazgo viene consolidándose como eje fundamental y decisivo en el impacto directo de las organizaciones, esta unidad busca plantear acciones estratégicas en la gestión del talento humano.</t>
  </si>
  <si>
    <t>Plantea acciones estratégicas en la gestión del talento humano mediante la generación de una cultura organizacional hacia el liderazgo de servicio que redunde en el desarrollo del personal de las organizaciones.</t>
  </si>
  <si>
    <t>Direccionamiento Estratégico Corporativo: foco Sostenibilidad.
Dirección Estratégica de la Gestión Humana.
Liderazgo para la Dirección de Organizaciones Sostenibles.
Liderazgo Competitivo en la gestión del Talento Humano con visión estratégica.</t>
  </si>
  <si>
    <t>30% Participación individual en debates.
40% Elaboración de talleres individuales.
30% Elaboración de talleres en equipo.</t>
  </si>
  <si>
    <t>Allas, T. y Schaninger, W. (2020). The boss factor: Making the world a better place through workplace relationships. McKinsey Quarterly. https://www.mckinsey.com/business-functions/organization/our-insights/the-boss-factor
Blanch, J., Gil, F., Antino, M. y Rodríguez-Muñoz, A. (2016). Modelos de Liderazgo Positivo: Marco Teórico y Líneas de Investigación. Papeles del Psicólogo, 37(3), 170-176.</t>
  </si>
  <si>
    <t>Deloitte Insights. (2020). La empresa Social en acción: la paradoja como camino hacia adelante. Deloitte Development LLC. https://www2.deloitte.com/co/es/pages/human-capital/articles/tendencias-globales-de-capital-humano-2020.html</t>
  </si>
  <si>
    <t>ADPN0009</t>
  </si>
  <si>
    <t>La crisis multidimensional ocasionada por el COVID-19, para algunos catalogada como una coyuntura crítica, puso de manifiesto las limitaciones del orden establecido. Esta unidad desarrolla habilidades para el análisis de los negocios en un marco político doméstico e internacional.</t>
  </si>
  <si>
    <t>Desarrolla habilidades y destrezas para el análisis de los negocios en torno a un marco político doméstico inscritos alrededor de un contexto político internacional.</t>
  </si>
  <si>
    <t>Visión compleja: el origen de la distinción conceptual entre política, la modernidad y la globalización.
Escenario internacional y regional y Colombia como actor.
Violencia, conflicto y paz: un marco para la comprensión desde lo nacional.
Construcción de paz local: infraestructuras.
Colombia frente al reto migratorio.</t>
  </si>
  <si>
    <t>60% Talleres y participación en clase.
40% Ensayo final.</t>
  </si>
  <si>
    <t>González, G. y otros (2021). Coyuntura crítica, transición de poder y vaciamiento latinoamericano. Nueva Sociedad, (291). https://nuso.org/articulo/coyuntura-critica-transicion-de-poder-y-vaciamiento-latinoamericano/
Harari, Y. N. (2018). 21 lecciones para el siglo XXI. Debate. (Capítulos 7, 8 y 9).
JEP (2022). Acuerdo Final para la Terminación del Conflicto y la Construcción de una Paz Estable y Duradera.</t>
  </si>
  <si>
    <t>Vargas Llosa, M. (2017). Estragos de la ocupación israelí. En: Cinco días con Mario: el documental del viaje de Vargas Llosa a Cisjordania. https://elpais.com/especiales/2016/estragos-de-la-ocupacion-israeli/
García Márquez, G. (1995). La proclama. Por un país al alcance de los niños. En Misión de Educación, Ciencia y Desarrollo. Colombia: Al filo de la oportunidad. Magisterio, pp. 15-23.</t>
  </si>
  <si>
    <t>ADPN0007</t>
  </si>
  <si>
    <t>Dadas las necesidades de reactivación económica y social de los países en temas socioeconómicos causados por diferentes crisis a nivel mundial, esta unidad estructura estrategias para la mejora de las organizaciones con base en la gestión eficiente de los sistemas de información.</t>
  </si>
  <si>
    <t>Estructura estrategias para la mejora de las organizaciones con base en la gestión eficiente de los sistemas de información, para contribuir en el posicionamiento y nivel de competitividad.</t>
  </si>
  <si>
    <t>1. Tendencias de gestión de la Innovación Tecnológica.
2. Gestión de las tecnologías en las organizaciones.
3. Sistemas aplicados a las organizaciones.
4. Innovación y desarrollo tecnológico.
5. Estrategias para el desarrollo de Rutas de Innovación Empresarial.</t>
  </si>
  <si>
    <t>30% Participación en clase.
70% Evaluación de entrega final: caso de estudio / working paper.</t>
  </si>
  <si>
    <t>Dyer, J., Gregersen, H. y Christensen, C. (2011). The Innovator's DNA. Mastering the Five Skills of Disruptive Innovation. Harvard Business Review Press.
Ramirez-Salazar, M. P. (2016). Modelo de Innovación Abierta Colaborativa. Tesis Doctoral, Capítulos 1 y 2. Ediciones EAN.
Domingo, C. (2013). El Viaje de la Innovación, Capítulo 2, pp. 25-33.
Drucker, P. (1986). Innovation and Entrepreneurship.</t>
  </si>
  <si>
    <t>Schoemaker, P. J. H., Day, G. S. y Gunther, R. E. (2004). Wharton: Managing Emerging Technologies.
Perez-Uribe, R., Ramirez-Salazar, M. P. y Moscoso-Duran, F. (2018). Modelo Ean-Rise. Revista Opción, 34(18), 1142-1186. https://www.researchgate.net/publication/333191293</t>
  </si>
  <si>
    <t>ADPN0004</t>
  </si>
  <si>
    <t>Esta unidad aborda las tendencias contemporáneas en gestión e innovación, con el propósito de que los estudiantes identifiquen y apliquen metodologías de innovación para la gestión estratégica de las organizaciones en un entorno competitivo y cambiante.</t>
  </si>
  <si>
    <t>Identifica y aplica tendencias y metodologías de innovación para la gestión estratégica de organizaciones en entornos competitivos. (Nota: campo no completamente especificado en el syllabus original.)</t>
  </si>
  <si>
    <t>Creatividad y proceso creativo.
Innovación empresarial.
Tendencias y metodologías de innovación.
Gestión estratégica de la innovación.
Protección de la innovación.</t>
  </si>
  <si>
    <t>Tidd, J. y Bessant, J. (2020). Managing innovation: Integrating technological, market and organizational change (6th ed.). Wiley.
Christensen, C. M. (2016). The innovator's dilemma: When new technologies cause great firms to fail. Harvard Business Review Press.
Schilling, M. A. (2022). Strategic management of technological innovation (7th ed.). McGraw-Hill Education.
Chesbrough, H. W. (2003). Open innovation: The new imperative for creating and profiting from technology. Harvard Business School Press.</t>
  </si>
  <si>
    <t>Trott, P. (2021). Innovation management and new product development (7th ed.). Pearson Education.
Rogers, E. M. (2003). Diffusion of innovations (5th ed.). Free Press.</t>
  </si>
  <si>
    <t>FORMATO</t>
  </si>
  <si>
    <t>Versión:  1</t>
  </si>
  <si>
    <t>Menu principal</t>
  </si>
  <si>
    <t>Código: IAC-201-f1</t>
  </si>
  <si>
    <t xml:space="preserve">SYLLABUS </t>
  </si>
  <si>
    <r>
      <t xml:space="preserve">Fecha: </t>
    </r>
    <r>
      <rPr>
        <b/>
        <sz val="10"/>
        <rFont val="Arial Narrow"/>
        <family val="2"/>
      </rPr>
      <t>17/Feb/2026</t>
    </r>
  </si>
  <si>
    <t>1.	Información General de la Unidad de Estudio</t>
  </si>
  <si>
    <t>Código Plan de estudios</t>
  </si>
  <si>
    <t>Código Unidad de Estudio</t>
  </si>
  <si>
    <t>Tipo Unidad de estudio</t>
  </si>
  <si>
    <t>x</t>
  </si>
  <si>
    <t>Virtual</t>
  </si>
  <si>
    <t>Presencial y Virtual</t>
  </si>
  <si>
    <t xml:space="preserve">Nivel </t>
  </si>
  <si>
    <t>Programas</t>
  </si>
  <si>
    <t>Nombre Unidad  de estudios</t>
  </si>
  <si>
    <t>HAD</t>
  </si>
  <si>
    <t>HTA</t>
  </si>
  <si>
    <t>HT</t>
  </si>
  <si>
    <t>2.	Descripción  Resultados de Aprendizaje.</t>
  </si>
  <si>
    <t>Descripción de la unidad de estudio</t>
  </si>
  <si>
    <t>Resultado de Aprendizaje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</si>
  <si>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</si>
  <si>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</si>
  <si>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</si>
  <si>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Ciclo</t>
  </si>
  <si>
    <t>9 Semanas</t>
  </si>
  <si>
    <t>Semestre</t>
  </si>
  <si>
    <t>18 Semanas</t>
  </si>
  <si>
    <t>4.	Esquema de Calificación</t>
  </si>
  <si>
    <r>
      <rPr>
        <b/>
        <sz val="11"/>
        <color theme="1"/>
        <rFont val="Aptos Narrow"/>
        <family val="2"/>
        <scheme val="minor"/>
      </rPr>
      <t>Esquema de Calificación</t>
    </r>
    <r>
      <rPr>
        <sz val="11"/>
        <color theme="1"/>
        <rFont val="Aptos Narrow"/>
        <family val="2"/>
        <scheme val="minor"/>
      </rPr>
      <t>: (Asignación puntajes, notas y ponderación que tienen las actividades desarrolladas en la Unidad de Estudio).</t>
    </r>
  </si>
  <si>
    <t>5. Recursos Tecnológicos (Describir los recursos como software, sala de cómputos, laboratorios)</t>
  </si>
  <si>
    <t>6. Componente de Lengua extranjera</t>
  </si>
  <si>
    <t>Porcentaje</t>
  </si>
  <si>
    <t>7.	Bibliografía Obligatoria y Complementaria.</t>
  </si>
  <si>
    <t>Bibliografía Complementaria</t>
  </si>
  <si>
    <t>8. Control de Cambios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</si>
</sst>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10"/>
      <name val="Arial"/>
      <family val="2"/>
    </font>
    <font>
      <b/>
      <sz val="11"/>
      <color theme="0"/>
      <name val="Aptos Narrow"/>
      <family val="2"/>
      <scheme val="minor"/>
    </font>
    <font>
      <b/>
      <sz val="11"/>
      <color theme="1"/>
      <name val="Aptos Narrow"/>
      <family val="2"/>
      <scheme val="minor"/>
    </font>
    <font>
      <sz val="10"/>
      <color theme="1"/>
      <name val="Aptos Narrow"/>
      <family val="2"/>
      <scheme val="minor"/>
    </font>
    <font>
      <b/>
      <sz val="10"/>
      <color theme="1"/>
      <name val="Arial Narrow"/>
      <family val="2"/>
    </font>
    <font>
      <b/>
      <sz val="11"/>
      <color rgb="FF3D7357"/>
      <name val="Arial Narrow"/>
      <family val="2"/>
    </font>
    <font>
      <b/>
      <sz val="10"/>
      <name val="Arial Narrow"/>
      <family val="2"/>
    </font>
    <font>
      <u/>
      <sz val="11"/>
      <color theme="10"/>
      <name val="Aptos Narrow"/>
      <family val="2"/>
      <scheme val="minor"/>
    </font>
    <font>
      <sz val="11"/>
      <color indexed="8"/>
      <name val="Aptos Narrow"/>
      <family val="2"/>
      <scheme val="minor"/>
    </font>
    <font>
      <b/>
      <sz val="20"/>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002060"/>
        <bgColor indexed="64"/>
      </patternFill>
    </fill>
  </fills>
  <borders count="61">
    <border>
      <left/>
      <right/>
      <top/>
      <bottom/>
      <diagonal/>
    </border>
    <border>
      <left/>
      <right/>
      <top/>
      <bottom style="double">
        <color auto="1"/>
      </bottom>
      <diagonal/>
    </border>
    <border>
      <left style="dashed">
        <color auto="1"/>
      </left>
      <right style="double">
        <color auto="1"/>
      </right>
      <top style="double">
        <color auto="1"/>
      </top>
      <bottom style="dashed">
        <color auto="1"/>
      </bottom>
      <diagonal/>
    </border>
    <border>
      <left style="dashed">
        <color auto="1"/>
      </left>
      <right style="double">
        <color auto="1"/>
      </right>
      <top style="dashed">
        <color auto="1"/>
      </top>
      <bottom/>
      <diagonal/>
    </border>
    <border>
      <left style="dotted">
        <color auto="1"/>
      </left>
      <right style="double">
        <color auto="1"/>
      </right>
      <top style="dashed">
        <color auto="1"/>
      </top>
      <bottom style="double">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style="thin">
        <color auto="1"/>
      </bottom>
      <diagonal/>
    </border>
    <border>
      <left/>
      <right/>
      <top/>
      <bottom style="thin">
        <color auto="1"/>
      </bottom>
      <diagonal/>
    </border>
    <border>
      <left style="thin">
        <color auto="1"/>
      </left>
      <right style="medium">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double">
        <color auto="1"/>
      </left>
      <right style="dashed">
        <color auto="1"/>
      </right>
      <top style="double">
        <color auto="1"/>
      </top>
      <bottom style="dashed">
        <color auto="1"/>
      </bottom>
      <diagonal/>
    </border>
    <border>
      <left style="double">
        <color auto="1"/>
      </left>
      <right style="dashed">
        <color auto="1"/>
      </right>
      <top style="dashed">
        <color auto="1"/>
      </top>
      <bottom/>
      <diagonal/>
    </border>
    <border>
      <left style="dashed">
        <color auto="1"/>
      </left>
      <right style="dashed">
        <color auto="1"/>
      </right>
      <top style="double">
        <color auto="1"/>
      </top>
      <bottom style="dashed">
        <color auto="1"/>
      </bottom>
      <diagonal/>
    </border>
    <border>
      <left style="dashed">
        <color auto="1"/>
      </left>
      <right style="dashed">
        <color auto="1"/>
      </right>
      <top style="dashed">
        <color auto="1"/>
      </top>
      <bottom/>
      <diagonal/>
    </border>
    <border>
      <left style="double">
        <color auto="1"/>
      </left>
      <right/>
      <top style="dashed">
        <color auto="1"/>
      </top>
      <bottom style="double">
        <color auto="1"/>
      </bottom>
      <diagonal/>
    </border>
    <border>
      <left/>
      <right/>
      <top style="dashed">
        <color auto="1"/>
      </top>
      <bottom style="double">
        <color auto="1"/>
      </bottom>
      <diagonal/>
    </border>
  </borders>
  <cellStyleXfs count="3">
    <xf numFmtId="0" fontId="0" fillId="0" borderId="0"/>
    <xf numFmtId="9" fontId="11" fillId="0" borderId="0" applyFont="0" applyFill="0" applyBorder="0" applyAlignment="0" applyProtection="0"/>
    <xf numFmtId="0" fontId="8" fillId="0" borderId="0" applyNumberFormat="0" applyFill="0" applyBorder="0" applyAlignment="0" applyProtection="0"/>
  </cellStyleXfs>
  <cellXfs count="147">
    <xf numFmtId="0" fontId="0" fillId="0" borderId="0" xfId="0"/>
    <xf numFmtId="0" fontId="3" fillId="0" borderId="13" xfId="0" applyFont="1" applyBorder="1" applyAlignment="1">
      <alignment horizontal="center" vertical="center"/>
    </xf>
    <xf numFmtId="0" fontId="3" fillId="0" borderId="29" xfId="0" applyFont="1" applyBorder="1" applyAlignment="1">
      <alignment horizontal="center" vertical="center"/>
    </xf>
    <xf numFmtId="0" fontId="3" fillId="0" borderId="5" xfId="0" applyFont="1" applyBorder="1" applyAlignment="1">
      <alignment horizontal="center" vertical="center"/>
    </xf>
    <xf numFmtId="0" fontId="3" fillId="0" borderId="40" xfId="0" applyFont="1" applyBorder="1" applyAlignment="1">
      <alignment horizontal="center" vertical="center"/>
    </xf>
    <xf numFmtId="0" fontId="6" fillId="0" borderId="60" xfId="0" applyFont="1" applyBorder="1" applyAlignment="1">
      <alignment horizontal="center" vertical="center"/>
    </xf>
    <xf numFmtId="0" fontId="6" fillId="0" borderId="59" xfId="0" applyFont="1" applyBorder="1" applyAlignment="1">
      <alignment horizontal="center" vertical="center"/>
    </xf>
    <xf numFmtId="0" fontId="5" fillId="0" borderId="58" xfId="0" applyFont="1" applyBorder="1" applyAlignment="1">
      <alignment horizontal="center" vertical="center" wrapText="1"/>
    </xf>
    <xf numFmtId="0" fontId="5" fillId="0" borderId="57" xfId="0" applyFont="1" applyBorder="1" applyAlignment="1">
      <alignment horizontal="center" vertical="center" wrapText="1"/>
    </xf>
    <xf numFmtId="0" fontId="4" fillId="0" borderId="56" xfId="0" applyFont="1" applyBorder="1" applyAlignment="1">
      <alignment vertical="center" wrapText="1"/>
    </xf>
    <xf numFmtId="0" fontId="4" fillId="0" borderId="55" xfId="0" applyFont="1" applyBorder="1" applyAlignment="1">
      <alignment vertical="center" wrapText="1"/>
    </xf>
    <xf numFmtId="0" fontId="3" fillId="0" borderId="49" xfId="0" applyFont="1" applyBorder="1" applyAlignment="1">
      <alignment horizontal="center" vertical="center" wrapText="1"/>
    </xf>
    <xf numFmtId="0" fontId="3" fillId="0" borderId="47" xfId="0" applyFont="1" applyBorder="1" applyAlignment="1">
      <alignment horizontal="center" vertical="center" wrapText="1"/>
    </xf>
    <xf numFmtId="0" fontId="0" fillId="0" borderId="24" xfId="0" applyBorder="1" applyAlignment="1">
      <alignment horizontal="left" vertical="center" wrapText="1"/>
    </xf>
    <xf numFmtId="0" fontId="1" fillId="0" borderId="0" xfId="0" applyFont="1" applyAlignment="1">
      <alignment vertical="top" wrapText="1"/>
    </xf>
    <xf numFmtId="9" fontId="1" fillId="0" borderId="0" xfId="1" applyFont="1" applyAlignment="1">
      <alignment vertical="top" wrapText="1"/>
    </xf>
    <xf numFmtId="0" fontId="0" fillId="2" borderId="0" xfId="0" applyFill="1"/>
    <xf numFmtId="0" fontId="0" fillId="2" borderId="1" xfId="0" applyFill="1" applyBorder="1"/>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0" fillId="0" borderId="7" xfId="0" applyBorder="1" applyAlignment="1">
      <alignment horizontal="center" vertical="center"/>
    </xf>
    <xf numFmtId="0" fontId="3" fillId="0" borderId="7" xfId="0" applyFont="1" applyBorder="1" applyAlignment="1">
      <alignment horizontal="center" vertical="center" wrapText="1"/>
    </xf>
    <xf numFmtId="0" fontId="3" fillId="0" borderId="7" xfId="0" applyFont="1" applyBorder="1" applyAlignment="1">
      <alignment horizontal="center" vertical="center"/>
    </xf>
    <xf numFmtId="0" fontId="3" fillId="2" borderId="6" xfId="0" applyFont="1" applyFill="1" applyBorder="1" applyAlignment="1">
      <alignment horizontal="center" vertical="center" wrapText="1"/>
    </xf>
    <xf numFmtId="0" fontId="3" fillId="0" borderId="8" xfId="0" applyFont="1" applyBorder="1" applyAlignment="1">
      <alignment horizontal="center" vertical="center" wrapText="1"/>
    </xf>
    <xf numFmtId="0" fontId="0" fillId="0" borderId="9" xfId="0" applyBorder="1" applyAlignment="1">
      <alignment horizontal="center" vertical="center"/>
    </xf>
    <xf numFmtId="0" fontId="3" fillId="0" borderId="9" xfId="0" applyFont="1" applyBorder="1" applyAlignment="1">
      <alignment horizontal="center" vertical="center" wrapText="1"/>
    </xf>
    <xf numFmtId="0" fontId="0" fillId="0" borderId="10" xfId="0" applyBorder="1" applyAlignment="1">
      <alignment horizontal="center" vertical="center"/>
    </xf>
    <xf numFmtId="0" fontId="3" fillId="2" borderId="5" xfId="0" applyFont="1" applyFill="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xf>
    <xf numFmtId="0" fontId="3" fillId="0" borderId="7" xfId="0" applyFont="1" applyBorder="1" applyAlignment="1">
      <alignment horizontal="center"/>
    </xf>
    <xf numFmtId="0" fontId="0" fillId="0" borderId="7" xfId="0" applyBorder="1" applyAlignment="1">
      <alignment horizontal="center" vertical="center" wrapText="1"/>
    </xf>
    <xf numFmtId="9" fontId="0" fillId="0" borderId="12" xfId="1" applyFont="1" applyBorder="1"/>
    <xf numFmtId="14" fontId="1" fillId="0" borderId="0" xfId="0" applyNumberFormat="1" applyFont="1" applyAlignment="1">
      <alignment vertical="top"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14" fontId="0" fillId="0" borderId="7" xfId="0" applyNumberFormat="1" applyBorder="1" applyAlignment="1">
      <alignment horizontal="center" vertical="center" wrapText="1"/>
    </xf>
    <xf numFmtId="0" fontId="0" fillId="0" borderId="13" xfId="0" applyBorder="1" applyAlignment="1">
      <alignment horizontal="center" vertical="center"/>
    </xf>
    <xf numFmtId="0" fontId="9" fillId="0" borderId="13" xfId="0" applyFont="1" applyBorder="1" applyAlignment="1">
      <alignment horizontal="center" vertical="center"/>
    </xf>
    <xf numFmtId="0" fontId="3" fillId="0" borderId="0" xfId="0" applyFont="1"/>
    <xf numFmtId="0" fontId="10" fillId="0" borderId="0" xfId="0" applyFont="1"/>
    <xf numFmtId="0" fontId="8" fillId="2" borderId="0" xfId="2" applyFill="1" applyAlignment="1">
      <alignment horizontal="center" vertical="center"/>
    </xf>
    <xf numFmtId="0" fontId="8" fillId="0" borderId="0" xfId="2"/>
    <xf numFmtId="0" fontId="0" fillId="0" borderId="0" xfId="0" applyAlignment="1">
      <alignment horizontal="center"/>
    </xf>
    <xf numFmtId="0" fontId="3" fillId="0" borderId="0" xfId="0" applyFont="1" applyAlignment="1">
      <alignment horizontal="center"/>
    </xf>
    <xf numFmtId="0" fontId="0" fillId="0" borderId="14" xfId="0" applyBorder="1"/>
    <xf numFmtId="0" fontId="0" fillId="0" borderId="14" xfId="0" applyBorder="1" applyAlignment="1">
      <alignment horizontal="center"/>
    </xf>
    <xf numFmtId="0" fontId="2" fillId="3" borderId="0" xfId="0" applyFont="1" applyFill="1"/>
    <xf numFmtId="0" fontId="2" fillId="3" borderId="0" xfId="0" applyFont="1" applyFill="1" applyAlignment="1">
      <alignment horizontal="center"/>
    </xf>
    <xf numFmtId="0" fontId="8" fillId="0" borderId="0" xfId="2" applyFill="1"/>
    <xf numFmtId="0" fontId="0" fillId="0" borderId="44"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3" xfId="0" applyBorder="1" applyAlignment="1">
      <alignment horizontal="left" vertical="center" wrapText="1"/>
    </xf>
    <xf numFmtId="0" fontId="3" fillId="0" borderId="24" xfId="0" applyFont="1" applyBorder="1" applyAlignment="1">
      <alignment horizontal="center" vertical="top"/>
    </xf>
    <xf numFmtId="0" fontId="3" fillId="0" borderId="25" xfId="0" applyFont="1" applyBorder="1" applyAlignment="1">
      <alignment horizontal="center" vertical="top"/>
    </xf>
    <xf numFmtId="0" fontId="3" fillId="0" borderId="44" xfId="0" applyFont="1" applyBorder="1" applyAlignment="1">
      <alignment horizontal="center" vertical="top"/>
    </xf>
    <xf numFmtId="0" fontId="3" fillId="0" borderId="19" xfId="0" applyFont="1" applyBorder="1" applyAlignment="1">
      <alignment horizontal="center" vertical="top"/>
    </xf>
    <xf numFmtId="0" fontId="3" fillId="0" borderId="0" xfId="0" applyFont="1" applyAlignment="1">
      <alignment horizontal="center" vertical="top"/>
    </xf>
    <xf numFmtId="0" fontId="3" fillId="0" borderId="20" xfId="0" applyFont="1" applyBorder="1" applyAlignment="1">
      <alignment horizontal="center" vertical="top"/>
    </xf>
    <xf numFmtId="0" fontId="3" fillId="0" borderId="21" xfId="0" applyFont="1" applyBorder="1" applyAlignment="1">
      <alignment horizontal="center" vertical="top"/>
    </xf>
    <xf numFmtId="0" fontId="3" fillId="0" borderId="22" xfId="0" applyFont="1" applyBorder="1" applyAlignment="1">
      <alignment horizontal="center" vertical="top"/>
    </xf>
    <xf numFmtId="0" fontId="3" fillId="0" borderId="23" xfId="0" applyFont="1" applyBorder="1" applyAlignment="1">
      <alignment horizontal="center" vertical="top"/>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44" xfId="0" applyFont="1" applyFill="1" applyBorder="1" applyAlignment="1">
      <alignment horizontal="center" vertical="center"/>
    </xf>
    <xf numFmtId="0" fontId="3" fillId="2" borderId="19" xfId="0" applyFont="1" applyFill="1" applyBorder="1" applyAlignment="1">
      <alignment horizontal="center" vertical="center"/>
    </xf>
    <xf numFmtId="0" fontId="3" fillId="2" borderId="0" xfId="0" applyFont="1" applyFill="1" applyAlignment="1">
      <alignment horizontal="center" vertical="center"/>
    </xf>
    <xf numFmtId="0" fontId="3" fillId="2" borderId="20" xfId="0" applyFont="1" applyFill="1" applyBorder="1" applyAlignment="1">
      <alignment horizontal="center" vertical="center"/>
    </xf>
    <xf numFmtId="0" fontId="3" fillId="2" borderId="21" xfId="0" applyFont="1" applyFill="1" applyBorder="1" applyAlignment="1">
      <alignment horizontal="center" vertical="center"/>
    </xf>
    <xf numFmtId="0" fontId="3" fillId="2" borderId="22" xfId="0" applyFont="1" applyFill="1" applyBorder="1" applyAlignment="1">
      <alignment horizontal="center" vertical="center"/>
    </xf>
    <xf numFmtId="0" fontId="3" fillId="2" borderId="23" xfId="0" applyFont="1" applyFill="1" applyBorder="1" applyAlignment="1">
      <alignment horizontal="center" vertical="center"/>
    </xf>
    <xf numFmtId="0" fontId="0" fillId="0" borderId="7" xfId="0" applyBorder="1" applyAlignment="1">
      <alignment horizontal="center" vertical="center" wrapText="1"/>
    </xf>
    <xf numFmtId="0" fontId="0" fillId="0" borderId="15" xfId="0" applyBorder="1" applyAlignment="1">
      <alignment horizontal="center" vertical="center" wrapText="1"/>
    </xf>
    <xf numFmtId="0" fontId="3" fillId="0" borderId="5" xfId="0" applyFont="1" applyBorder="1" applyAlignment="1">
      <alignment horizontal="center"/>
    </xf>
    <xf numFmtId="0" fontId="3" fillId="0" borderId="29" xfId="0" applyFont="1" applyBorder="1" applyAlignment="1">
      <alignment horizontal="center"/>
    </xf>
    <xf numFmtId="0" fontId="3" fillId="0" borderId="13" xfId="0" applyFont="1" applyBorder="1" applyAlignment="1">
      <alignment horizontal="center"/>
    </xf>
    <xf numFmtId="0" fontId="3" fillId="0" borderId="45" xfId="0" applyFont="1" applyBorder="1" applyAlignment="1">
      <alignment horizontal="left" vertical="center" wrapText="1"/>
    </xf>
    <xf numFmtId="0" fontId="3" fillId="0" borderId="46" xfId="0" applyFont="1" applyBorder="1" applyAlignment="1">
      <alignment horizontal="left" vertical="center" wrapText="1"/>
    </xf>
    <xf numFmtId="0" fontId="0" fillId="0" borderId="47" xfId="0" applyBorder="1" applyAlignment="1">
      <alignment horizontal="center" vertical="center" wrapText="1"/>
    </xf>
    <xf numFmtId="0" fontId="0" fillId="0" borderId="48" xfId="0" applyBorder="1" applyAlignment="1">
      <alignment horizontal="center" vertical="center" wrapText="1"/>
    </xf>
    <xf numFmtId="0" fontId="0" fillId="0" borderId="49" xfId="0" applyBorder="1" applyAlignment="1">
      <alignment horizontal="center" vertical="center" wrapText="1"/>
    </xf>
    <xf numFmtId="0" fontId="3" fillId="0" borderId="50" xfId="0" applyFont="1" applyBorder="1" applyAlignment="1">
      <alignment horizontal="left" vertical="center" wrapText="1"/>
    </xf>
    <xf numFmtId="0" fontId="3" fillId="0" borderId="51" xfId="0" applyFont="1" applyBorder="1" applyAlignment="1">
      <alignment horizontal="left" vertical="center" wrapText="1"/>
    </xf>
    <xf numFmtId="0" fontId="0" fillId="0" borderId="52" xfId="0"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xf numFmtId="0" fontId="0" fillId="0" borderId="6" xfId="0" applyBorder="1" applyAlignment="1">
      <alignment horizontal="center" vertical="center" wrapText="1"/>
    </xf>
    <xf numFmtId="0" fontId="0" fillId="0" borderId="39" xfId="0" applyBorder="1" applyAlignment="1">
      <alignment horizontal="center" vertical="center" wrapText="1"/>
    </xf>
    <xf numFmtId="0" fontId="0" fillId="0" borderId="40" xfId="0" applyBorder="1" applyAlignment="1">
      <alignment horizontal="center" vertical="center" wrapText="1"/>
    </xf>
    <xf numFmtId="0" fontId="0" fillId="0" borderId="41" xfId="0" applyBorder="1" applyAlignment="1">
      <alignment horizontal="center" vertical="center" wrapText="1"/>
    </xf>
    <xf numFmtId="0" fontId="3" fillId="0" borderId="33" xfId="0" applyFont="1" applyBorder="1" applyAlignment="1">
      <alignment horizontal="center" vertical="top"/>
    </xf>
    <xf numFmtId="0" fontId="3" fillId="0" borderId="34" xfId="0" applyFont="1" applyBorder="1" applyAlignment="1">
      <alignment horizontal="center" vertical="top"/>
    </xf>
    <xf numFmtId="0" fontId="3" fillId="0" borderId="37" xfId="0" applyFont="1" applyBorder="1" applyAlignment="1">
      <alignment horizontal="center" vertical="top"/>
    </xf>
    <xf numFmtId="0" fontId="0" fillId="0" borderId="42" xfId="0" applyBorder="1" applyAlignment="1">
      <alignment horizontal="center" vertical="center"/>
    </xf>
    <xf numFmtId="0" fontId="0" fillId="0" borderId="43" xfId="0" applyBorder="1" applyAlignment="1">
      <alignment horizontal="center" vertical="center"/>
    </xf>
    <xf numFmtId="0" fontId="0" fillId="2" borderId="42" xfId="0" applyFill="1" applyBorder="1" applyAlignment="1">
      <alignment horizontal="center" vertical="center"/>
    </xf>
    <xf numFmtId="0" fontId="0" fillId="2" borderId="43" xfId="0" applyFill="1" applyBorder="1" applyAlignment="1">
      <alignment horizontal="center" vertical="center"/>
    </xf>
    <xf numFmtId="0" fontId="3" fillId="0" borderId="7" xfId="0" applyFont="1" applyBorder="1" applyAlignment="1">
      <alignment horizontal="center"/>
    </xf>
    <xf numFmtId="0" fontId="3" fillId="0" borderId="15" xfId="0" applyFont="1" applyBorder="1" applyAlignment="1">
      <alignment horizontal="center"/>
    </xf>
    <xf numFmtId="0" fontId="0" fillId="0" borderId="7" xfId="0" applyBorder="1" applyAlignment="1">
      <alignment horizontal="left" vertical="center" wrapText="1"/>
    </xf>
    <xf numFmtId="0" fontId="0" fillId="0" borderId="15" xfId="0" applyBorder="1" applyAlignment="1">
      <alignment horizontal="left" vertical="center" wrapText="1"/>
    </xf>
    <xf numFmtId="0" fontId="0" fillId="0" borderId="19" xfId="0" applyBorder="1" applyAlignment="1">
      <alignment horizontal="left" vertical="top" wrapText="1"/>
    </xf>
    <xf numFmtId="0" fontId="0" fillId="0" borderId="0" xfId="0" applyAlignment="1">
      <alignment horizontal="left" vertical="top" wrapText="1"/>
    </xf>
    <xf numFmtId="0" fontId="0" fillId="0" borderId="27"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28" xfId="0" applyBorder="1" applyAlignment="1">
      <alignment horizontal="left" vertical="top" wrapText="1"/>
    </xf>
    <xf numFmtId="0" fontId="3" fillId="0" borderId="30" xfId="0" applyFont="1" applyBorder="1" applyAlignment="1">
      <alignment horizontal="center"/>
    </xf>
    <xf numFmtId="0" fontId="3" fillId="0" borderId="31" xfId="0" applyFont="1" applyBorder="1" applyAlignment="1">
      <alignment horizontal="center"/>
    </xf>
    <xf numFmtId="0" fontId="3" fillId="0" borderId="32" xfId="0" applyFont="1" applyBorder="1" applyAlignment="1">
      <alignment horizontal="center"/>
    </xf>
    <xf numFmtId="0" fontId="3" fillId="0" borderId="33" xfId="0" applyFont="1" applyBorder="1" applyAlignment="1">
      <alignment horizontal="center" vertical="top" wrapText="1"/>
    </xf>
    <xf numFmtId="0" fontId="3" fillId="0" borderId="34" xfId="0" applyFont="1" applyBorder="1" applyAlignment="1">
      <alignment horizontal="center" vertical="top" wrapText="1"/>
    </xf>
    <xf numFmtId="0" fontId="3" fillId="0" borderId="35" xfId="0" applyFont="1" applyBorder="1" applyAlignment="1">
      <alignment horizontal="center" vertical="top" wrapText="1"/>
    </xf>
    <xf numFmtId="0" fontId="0" fillId="0" borderId="36" xfId="0" applyBorder="1" applyAlignment="1">
      <alignment horizontal="center" vertical="center" wrapText="1"/>
    </xf>
    <xf numFmtId="0" fontId="0" fillId="0" borderId="34" xfId="0" applyBorder="1" applyAlignment="1">
      <alignment horizontal="center" vertical="center" wrapText="1"/>
    </xf>
    <xf numFmtId="0" fontId="0" fillId="0" borderId="37" xfId="0" applyBorder="1" applyAlignment="1">
      <alignment horizontal="center" vertical="center" wrapText="1"/>
    </xf>
    <xf numFmtId="0" fontId="3" fillId="0" borderId="38" xfId="0" applyFont="1" applyBorder="1" applyAlignment="1">
      <alignment horizontal="center" vertical="center"/>
    </xf>
    <xf numFmtId="0" fontId="3" fillId="0" borderId="11" xfId="0" applyFont="1" applyBorder="1" applyAlignment="1">
      <alignment horizontal="center" vertical="center"/>
    </xf>
    <xf numFmtId="0" fontId="0" fillId="0" borderId="11" xfId="0" applyBorder="1" applyAlignment="1">
      <alignment horizontal="center"/>
    </xf>
    <xf numFmtId="0" fontId="0" fillId="0" borderId="16"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0" fontId="0" fillId="0" borderId="19" xfId="0" applyBorder="1" applyAlignment="1">
      <alignment horizontal="center" vertical="top" wrapText="1"/>
    </xf>
    <xf numFmtId="0" fontId="0" fillId="0" borderId="0" xfId="0" applyAlignment="1">
      <alignment horizontal="center" vertical="top" wrapText="1"/>
    </xf>
    <xf numFmtId="0" fontId="0" fillId="0" borderId="20" xfId="0" applyBorder="1" applyAlignment="1">
      <alignment horizontal="center" vertical="top" wrapText="1"/>
    </xf>
    <xf numFmtId="0" fontId="0" fillId="0" borderId="19" xfId="0" applyBorder="1" applyAlignment="1">
      <alignment horizontal="center" vertical="center" wrapText="1"/>
    </xf>
    <xf numFmtId="0" fontId="0" fillId="0" borderId="0" xfId="0"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3" fillId="0" borderId="24" xfId="0" applyFont="1" applyBorder="1" applyAlignment="1">
      <alignment horizontal="center" vertical="top" wrapText="1"/>
    </xf>
    <xf numFmtId="0" fontId="3" fillId="0" borderId="25" xfId="0" applyFont="1" applyBorder="1" applyAlignment="1">
      <alignment horizontal="center" vertical="top" wrapText="1"/>
    </xf>
    <xf numFmtId="0" fontId="3" fillId="0" borderId="26" xfId="0" applyFont="1" applyBorder="1" applyAlignment="1">
      <alignment horizontal="center" vertical="top"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9" fillId="2" borderId="42" xfId="0" applyFont="1" applyFill="1" applyBorder="1" applyAlignment="1">
      <alignment horizontal="center" vertical="center"/>
    </xf>
    <xf numFmtId="0" fontId="9" fillId="2" borderId="43" xfId="0" applyFont="1" applyFill="1" applyBorder="1" applyAlignment="1">
      <alignment horizontal="center" vertical="center"/>
    </xf>
  </cellXfs>
  <cellStyles count="3">
    <cellStyle name="Hipervínculo" xfId="2" builtinId="8"/>
    <cellStyle name="Normal" xfId="0" builtinId="0"/>
    <cellStyle name="Porcentaje" xfId="1" builtinId="5"/>
  </cellStyles>
  <dxfs count="29">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numFmt numFmtId="0" formatCode="General"/>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
      <font>
        <b val="0"/>
        <i val="0"/>
        <strike val="0"/>
        <u val="none"/>
        <sz val="10"/>
        <color auto="1"/>
        <name val="Arial"/>
      </font>
      <alignment horizontal="general" vertical="top" textRotation="0" wrapText="1"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DBD43C68-2AE8-4784-BF5A-CAD8772550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36D3606-979B-4A75-B581-F3BBD11858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1204AD85-B5A9-44C2-91B0-81287F2BC9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B1EF00AB-2BAD-4C75-906C-E28D77D51F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BD72BCEC-8241-42F2-9BA3-DA79D80324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24A920C-6A20-49B2-A60C-6A05E30AF9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8F1112E9-4C7C-45FE-9D46-8D31F076B1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9984DA50-A90F-47D2-86B2-BAFE0E857D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232F4CC1-EFDE-458E-841B-179A8FBD89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BD2EBA2B-5BAB-4FAE-AF07-AAE3B58E84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26EE213D-01FE-43AA-A704-6406247CBD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B3952FF-969E-4114-AEFC-E491F98378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997C5955-FCA6-495A-969E-56B7AC647D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706A443-1FDF-4479-B0D2-27782C354B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C2644BD-82DF-4C88-8EC3-748298F41A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8C88CA5F-C38B-4130-916A-3342BF586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FDED9BCB-67B5-43C5-BEF3-7910468513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7226434D-42F7-4978-9B18-4DB2E16E9C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35D8880-5BB0-4333-89CC-79AB38FC53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C5DB24B5-4418-4F3D-80D8-7854DC27AE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1A9EE693-CFF2-493A-8C52-A5B833DD18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14325"/>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1:AB22" totalsRowShown="0" dataDxfId="28">
  <autoFilter ref="A1:AB22" xr:uid="{00000000-0009-0000-0100-000001000000}"/>
  <tableColumns count="28">
    <tableColumn id="1" xr3:uid="{00000000-0010-0000-0000-000001000000}" name="Año" dataDxfId="27"/>
    <tableColumn id="2" xr3:uid="{00000000-0010-0000-0000-000002000000}" name="Código Plan de Estudios" dataDxfId="26"/>
    <tableColumn id="3" xr3:uid="{00000000-0010-0000-0000-000003000000}" name="Código Unidad de Estudios" dataDxfId="25"/>
    <tableColumn id="4" xr3:uid="{00000000-0010-0000-0000-000004000000}" name="Tipo Unidad de Estudios" dataDxfId="24"/>
    <tableColumn id="5" xr3:uid="{00000000-0010-0000-0000-000005000000}" name="Modalidad" dataDxfId="23"/>
    <tableColumn id="6" xr3:uid="{00000000-0010-0000-0000-000006000000}" name="Nivel" dataDxfId="22"/>
    <tableColumn id="7" xr3:uid="{00000000-0010-0000-0000-000007000000}" name="Programa" dataDxfId="21"/>
    <tableColumn id="8" xr3:uid="{00000000-0010-0000-0000-000008000000}" name="Nombre Unidad de Estudios" dataDxfId="20"/>
    <tableColumn id="9" xr3:uid="{00000000-0010-0000-0000-000009000000}" name="Créditos Académicos" dataDxfId="19"/>
    <tableColumn id="10" xr3:uid="{00000000-0010-0000-0000-00000A000000}" name="Horas de Acompañamiento Directo [HAD]" dataDxfId="18"/>
    <tableColumn id="11" xr3:uid="{00000000-0010-0000-0000-00000B000000}" name="Horas de Trabajo Autónomo [HTA]" dataDxfId="17"/>
    <tableColumn id="12" xr3:uid="{00000000-0010-0000-0000-00000C000000}" name="Horas Totales [HT]" dataDxfId="16"/>
    <tableColumn id="13" xr3:uid="{00000000-0010-0000-0000-00000D000000}" name="Descripción de la Unidad de Estudios" dataDxfId="15"/>
    <tableColumn id="14" xr3:uid="{00000000-0010-0000-0000-00000E000000}" name="Resultado de Aprendizaje de la Unidad de Estudios" dataDxfId="14"/>
    <tableColumn id="15" xr3:uid="{00000000-0010-0000-0000-00000F000000}" name="Contenidos Unidad de Estudios" dataDxfId="13"/>
    <tableColumn id="30" xr3:uid="{00000000-0010-0000-0000-00001E000000}" name="Módulo" dataDxfId="12"/>
    <tableColumn id="16" xr3:uid="{00000000-0010-0000-0000-000010000000}" name="Esquema de Calificación" dataDxfId="11"/>
    <tableColumn id="17" xr3:uid="{00000000-0010-0000-0000-000011000000}" name="Recursos Tecnológicos" dataDxfId="10"/>
    <tableColumn id="18" xr3:uid="{00000000-0010-0000-0000-000012000000}" name="Componente de Lengua Extranjera [Idioma]" dataDxfId="9"/>
    <tableColumn id="19" xr3:uid="{00000000-0010-0000-0000-000013000000}" name="Componente de Lengua Extranjera [%]" dataDxfId="8" dataCellStyle="Porcentaje"/>
    <tableColumn id="20" xr3:uid="{00000000-0010-0000-0000-000014000000}" name="Bibliografía Obligatoria" dataDxfId="7"/>
    <tableColumn id="21" xr3:uid="{00000000-0010-0000-0000-000015000000}" name="Bibliografia Complementaria" dataDxfId="6"/>
    <tableColumn id="22" xr3:uid="{00000000-0010-0000-0000-000016000000}" name="# versión" dataDxfId="5"/>
    <tableColumn id="23" xr3:uid="{00000000-0010-0000-0000-000017000000}" name="Fecha" dataDxfId="4"/>
    <tableColumn id="24" xr3:uid="{00000000-0010-0000-0000-000018000000}" name="Elaboró" dataDxfId="3"/>
    <tableColumn id="25" xr3:uid="{00000000-0010-0000-0000-000019000000}" name="Revisó" dataDxfId="2"/>
    <tableColumn id="26" xr3:uid="{00000000-0010-0000-0000-00001A000000}" name="Aprobó" dataDxfId="1"/>
    <tableColumn id="27" xr3:uid="{00000000-0010-0000-0000-00001B000000}" name="Descripción del cambio"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4995B-28F0-430B-8223-4DFED069CF04}">
  <dimension ref="B2:D30"/>
  <sheetViews>
    <sheetView workbookViewId="0"/>
  </sheetViews>
  <sheetFormatPr defaultColWidth="11.42578125" defaultRowHeight="15"/>
  <cols>
    <col min="1" max="1" width="2.85546875" customWidth="1"/>
    <col min="2" max="2" width="57.85546875" customWidth="1"/>
    <col min="3" max="3" width="21.28515625" customWidth="1"/>
  </cols>
  <sheetData>
    <row r="2" spans="2:4" ht="26.25">
      <c r="B2" s="45" t="s">
        <v>0</v>
      </c>
    </row>
    <row r="4" spans="2:4">
      <c r="B4" s="52" t="s">
        <v>1</v>
      </c>
      <c r="C4" s="53" t="s">
        <v>2</v>
      </c>
      <c r="D4" s="53" t="s">
        <v>3</v>
      </c>
    </row>
    <row r="5" spans="2:4">
      <c r="B5" s="54" t="s">
        <v>4</v>
      </c>
      <c r="C5" s="48" t="str">
        <f>_xlfn.XLOOKUP(B5,Tabla1[Nombre Unidad de Estudios],Tabla1[Código Unidad de Estudios],"",0)</f>
        <v>ADPN0018</v>
      </c>
      <c r="D5" s="48">
        <f>_xlfn.XLOOKUP(B5,Tabla1[Nombre Unidad de Estudios],Tabla1[Créditos Académicos],"",0)</f>
        <v>1</v>
      </c>
    </row>
    <row r="6" spans="2:4">
      <c r="B6" s="54" t="s">
        <v>5</v>
      </c>
      <c r="C6" s="48" t="str">
        <f>_xlfn.XLOOKUP(B6,Tabla1[Nombre Unidad de Estudios],Tabla1[Código Unidad de Estudios],"",0)</f>
        <v>ADPN0009</v>
      </c>
      <c r="D6" s="48">
        <f>_xlfn.XLOOKUP(B6,Tabla1[Nombre Unidad de Estudios],Tabla1[Créditos Académicos],"",0)</f>
        <v>3</v>
      </c>
    </row>
    <row r="7" spans="2:4">
      <c r="B7" s="54" t="s">
        <v>6</v>
      </c>
      <c r="C7" s="48" t="str">
        <f>_xlfn.XLOOKUP(B7,Tabla1[Nombre Unidad de Estudios],Tabla1[Código Unidad de Estudios],"",0)</f>
        <v>ADA01281</v>
      </c>
      <c r="D7" s="48">
        <f>_xlfn.XLOOKUP(B7,Tabla1[Nombre Unidad de Estudios],Tabla1[Créditos Académicos],"",0)</f>
        <v>2</v>
      </c>
    </row>
    <row r="8" spans="2:4">
      <c r="B8" s="54" t="s">
        <v>7</v>
      </c>
      <c r="C8" s="48" t="str">
        <f>_xlfn.XLOOKUP(B8,Tabla1[Nombre Unidad de Estudios],Tabla1[Código Unidad de Estudios],"",0)</f>
        <v>ADP01381</v>
      </c>
      <c r="D8" s="48">
        <f>_xlfn.XLOOKUP(B8,Tabla1[Nombre Unidad de Estudios],Tabla1[Créditos Académicos],"",0)</f>
        <v>3</v>
      </c>
    </row>
    <row r="9" spans="2:4">
      <c r="B9" s="54" t="s">
        <v>8</v>
      </c>
      <c r="C9" s="48" t="str">
        <f>_xlfn.XLOOKUP(B9,Tabla1[Nombre Unidad de Estudios],Tabla1[Código Unidad de Estudios],"",0)</f>
        <v>ADA01400</v>
      </c>
      <c r="D9" s="48">
        <f>_xlfn.XLOOKUP(B9,Tabla1[Nombre Unidad de Estudios],Tabla1[Créditos Académicos],"",0)</f>
        <v>3</v>
      </c>
    </row>
    <row r="10" spans="2:4">
      <c r="B10" s="54" t="s">
        <v>9</v>
      </c>
      <c r="C10" s="48" t="str">
        <f>_xlfn.XLOOKUP(B10,Tabla1[Nombre Unidad de Estudios],Tabla1[Código Unidad de Estudios],"",0)</f>
        <v>ADA01422</v>
      </c>
      <c r="D10" s="48">
        <f>_xlfn.XLOOKUP(B10,Tabla1[Nombre Unidad de Estudios],Tabla1[Créditos Académicos],"",0)</f>
        <v>2</v>
      </c>
    </row>
    <row r="11" spans="2:4">
      <c r="B11" s="54" t="s">
        <v>10</v>
      </c>
      <c r="C11" s="48" t="str">
        <f>_xlfn.XLOOKUP(B11,Tabla1[Nombre Unidad de Estudios],Tabla1[Código Unidad de Estudios],"",0)</f>
        <v>ADP01432</v>
      </c>
      <c r="D11" s="48">
        <f>_xlfn.XLOOKUP(B11,Tabla1[Nombre Unidad de Estudios],Tabla1[Créditos Académicos],"",0)</f>
        <v>3</v>
      </c>
    </row>
    <row r="12" spans="2:4">
      <c r="B12" s="54" t="s">
        <v>11</v>
      </c>
      <c r="C12" s="48" t="str">
        <f>_xlfn.XLOOKUP(B12,Tabla1[Nombre Unidad de Estudios],Tabla1[Código Unidad de Estudios],"",0)</f>
        <v>ADP01460</v>
      </c>
      <c r="D12" s="48">
        <f>_xlfn.XLOOKUP(B12,Tabla1[Nombre Unidad de Estudios],Tabla1[Créditos Académicos],"",0)</f>
        <v>2</v>
      </c>
    </row>
    <row r="13" spans="2:4">
      <c r="B13" s="54" t="s">
        <v>12</v>
      </c>
      <c r="C13" s="48" t="str">
        <f>_xlfn.XLOOKUP(B13,Tabla1[Nombre Unidad de Estudios],Tabla1[Código Unidad de Estudios],"",0)</f>
        <v>ADA01601</v>
      </c>
      <c r="D13" s="48">
        <f>_xlfn.XLOOKUP(B13,Tabla1[Nombre Unidad de Estudios],Tabla1[Créditos Académicos],"",0)</f>
        <v>2</v>
      </c>
    </row>
    <row r="14" spans="2:4">
      <c r="B14" s="54" t="s">
        <v>13</v>
      </c>
      <c r="C14" s="48" t="str">
        <f>_xlfn.XLOOKUP(B14,Tabla1[Nombre Unidad de Estudios],Tabla1[Código Unidad de Estudios],"",0)</f>
        <v>ADA01607</v>
      </c>
      <c r="D14" s="48">
        <f>_xlfn.XLOOKUP(B14,Tabla1[Nombre Unidad de Estudios],Tabla1[Créditos Académicos],"",0)</f>
        <v>3</v>
      </c>
    </row>
    <row r="15" spans="2:4">
      <c r="B15" s="54" t="s">
        <v>14</v>
      </c>
      <c r="C15" s="48" t="str">
        <f>_xlfn.XLOOKUP(B15,Tabla1[Nombre Unidad de Estudios],Tabla1[Código Unidad de Estudios],"",0)</f>
        <v>ADA01612</v>
      </c>
      <c r="D15" s="48">
        <f>_xlfn.XLOOKUP(B15,Tabla1[Nombre Unidad de Estudios],Tabla1[Créditos Académicos],"",0)</f>
        <v>3</v>
      </c>
    </row>
    <row r="16" spans="2:4">
      <c r="B16" s="54" t="s">
        <v>15</v>
      </c>
      <c r="C16" s="48" t="str">
        <f>_xlfn.XLOOKUP(B16,Tabla1[Nombre Unidad de Estudios],Tabla1[Código Unidad de Estudios],"",0)</f>
        <v>ADA01620</v>
      </c>
      <c r="D16" s="48">
        <f>_xlfn.XLOOKUP(B16,Tabla1[Nombre Unidad de Estudios],Tabla1[Créditos Académicos],"",0)</f>
        <v>3</v>
      </c>
    </row>
    <row r="17" spans="2:4">
      <c r="B17" s="54" t="s">
        <v>16</v>
      </c>
      <c r="C17" s="48" t="str">
        <f>_xlfn.XLOOKUP(B17,Tabla1[Nombre Unidad de Estudios],Tabla1[Código Unidad de Estudios],"",0)</f>
        <v>FDPO0002</v>
      </c>
      <c r="D17" s="48">
        <f>_xlfn.XLOOKUP(B17,Tabla1[Nombre Unidad de Estudios],Tabla1[Créditos Académicos],"",0)</f>
        <v>2</v>
      </c>
    </row>
    <row r="18" spans="2:4">
      <c r="B18" s="54" t="s">
        <v>17</v>
      </c>
      <c r="C18" s="48" t="str">
        <f>_xlfn.XLOOKUP(B18,Tabla1[Nombre Unidad de Estudios],Tabla1[Código Unidad de Estudios],"",0)</f>
        <v>FPA01646</v>
      </c>
      <c r="D18" s="48">
        <f>_xlfn.XLOOKUP(B18,Tabla1[Nombre Unidad de Estudios],Tabla1[Créditos Académicos],"",0)</f>
        <v>3</v>
      </c>
    </row>
    <row r="19" spans="2:4">
      <c r="B19" s="54" t="s">
        <v>18</v>
      </c>
      <c r="C19" s="48" t="str">
        <f>_xlfn.XLOOKUP(B19,Tabla1[Nombre Unidad de Estudios],Tabla1[Código Unidad de Estudios],"",0)</f>
        <v>ADPN0007</v>
      </c>
      <c r="D19" s="48">
        <f>_xlfn.XLOOKUP(B19,Tabla1[Nombre Unidad de Estudios],Tabla1[Créditos Académicos],"",0)</f>
        <v>3</v>
      </c>
    </row>
    <row r="20" spans="2:4">
      <c r="B20" s="54" t="s">
        <v>19</v>
      </c>
      <c r="C20" s="48" t="str">
        <f>_xlfn.XLOOKUP(B20,Tabla1[Nombre Unidad de Estudios],Tabla1[Código Unidad de Estudios],"",0)</f>
        <v>ADPN0004</v>
      </c>
      <c r="D20" s="48">
        <f>_xlfn.XLOOKUP(B20,Tabla1[Nombre Unidad de Estudios],Tabla1[Créditos Académicos],"",0)</f>
        <v>3</v>
      </c>
    </row>
    <row r="21" spans="2:4">
      <c r="B21" s="54" t="s">
        <v>20</v>
      </c>
      <c r="C21" s="48" t="str">
        <f>_xlfn.XLOOKUP(B21,Tabla1[Nombre Unidad de Estudios],Tabla1[Código Unidad de Estudios],"",0)</f>
        <v>ADA01749</v>
      </c>
      <c r="D21" s="48">
        <f>_xlfn.XLOOKUP(B21,Tabla1[Nombre Unidad de Estudios],Tabla1[Créditos Académicos],"",0)</f>
        <v>3</v>
      </c>
    </row>
    <row r="22" spans="2:4">
      <c r="B22" s="54" t="s">
        <v>21</v>
      </c>
      <c r="C22" s="48" t="str">
        <f>_xlfn.XLOOKUP(B22,Tabla1[Nombre Unidad de Estudios],Tabla1[Código Unidad de Estudios],"",0)</f>
        <v>ADP01750</v>
      </c>
      <c r="D22" s="48">
        <f>_xlfn.XLOOKUP(B22,Tabla1[Nombre Unidad de Estudios],Tabla1[Créditos Académicos],"",0)</f>
        <v>24</v>
      </c>
    </row>
    <row r="23" spans="2:4">
      <c r="B23" s="54" t="s">
        <v>22</v>
      </c>
      <c r="C23" s="48" t="str">
        <f>_xlfn.XLOOKUP(B23,Tabla1[Nombre Unidad de Estudios],Tabla1[Código Unidad de Estudios],"",0)</f>
        <v>ADP01769</v>
      </c>
      <c r="D23" s="48">
        <f>_xlfn.XLOOKUP(B23,Tabla1[Nombre Unidad de Estudios],Tabla1[Créditos Académicos],"",0)</f>
        <v>2</v>
      </c>
    </row>
    <row r="24" spans="2:4">
      <c r="B24" s="54" t="s">
        <v>23</v>
      </c>
      <c r="C24" s="48" t="str">
        <f>_xlfn.XLOOKUP(B24,Tabla1[Nombre Unidad de Estudios],Tabla1[Código Unidad de Estudios],"",0)</f>
        <v>ADP01770</v>
      </c>
      <c r="D24" s="48">
        <f>_xlfn.XLOOKUP(B24,Tabla1[Nombre Unidad de Estudios],Tabla1[Créditos Académicos],"",0)</f>
        <v>2</v>
      </c>
    </row>
    <row r="25" spans="2:4">
      <c r="B25" s="54" t="s">
        <v>24</v>
      </c>
      <c r="C25" s="48" t="str">
        <f>_xlfn.XLOOKUP(B25,Tabla1[Nombre Unidad de Estudios],Tabla1[Código Unidad de Estudios],"",0)</f>
        <v>ADP01771</v>
      </c>
      <c r="D25" s="48">
        <f>_xlfn.XLOOKUP(B25,Tabla1[Nombre Unidad de Estudios],Tabla1[Créditos Académicos],"",0)</f>
        <v>2</v>
      </c>
    </row>
    <row r="26" spans="2:4">
      <c r="B26" t="s">
        <v>25</v>
      </c>
      <c r="D26" s="48">
        <v>3</v>
      </c>
    </row>
    <row r="27" spans="2:4">
      <c r="B27" s="50" t="s">
        <v>26</v>
      </c>
      <c r="C27" s="50"/>
      <c r="D27" s="51">
        <v>3</v>
      </c>
    </row>
    <row r="28" spans="2:4">
      <c r="B28" s="44" t="s">
        <v>27</v>
      </c>
      <c r="D28" s="49">
        <f>SUM(D5:D27)</f>
        <v>80</v>
      </c>
    </row>
    <row r="30" spans="2:4">
      <c r="B30" s="47" t="s">
        <v>28</v>
      </c>
    </row>
  </sheetData>
  <sortState xmlns:xlrd2="http://schemas.microsoft.com/office/spreadsheetml/2017/richdata2" ref="B5:B25">
    <sortCondition ref="B5:B25"/>
  </sortState>
  <hyperlinks>
    <hyperlink ref="B30" display="Tabla Resumen" xr:uid="{00000000-0004-0000-0000-000000000000}"/>
    <hyperlink ref="B5" display="Coloquio Doctoral" xr:uid="{00000000-0004-0000-0000-000001000000}"/>
    <hyperlink ref="B6" display="Contexto Político" xr:uid="{00000000-0004-0000-0000-000002000000}"/>
    <hyperlink ref="B7" display="Economía y Organización" xr:uid="{00000000-0004-0000-0000-000003000000}"/>
    <hyperlink ref="B8" display="Epistemología y Metodología de la Investigación" xr:uid="{00000000-0004-0000-0000-000004000000}"/>
    <hyperlink ref="B9" display="Estrategia y Prospectiva Organizacional" xr:uid="{00000000-0004-0000-0000-000005000000}"/>
    <hyperlink ref="B10" display="Finanzas Corporativas" xr:uid="{00000000-0004-0000-0000-000006000000}"/>
    <hyperlink ref="B11" display="Fundamentos de Gestión y Teoría de la Organización" xr:uid="{00000000-0004-0000-0000-000007000000}"/>
    <hyperlink ref="B12" display="Gerencia y Gestión Humana" xr:uid="{00000000-0004-0000-0000-000008000000}"/>
    <hyperlink ref="B13" display="Mercadeo Estratégico" xr:uid="{00000000-0004-0000-0000-000009000000}"/>
    <hyperlink ref="B14" display="Metodología Avanzada de Investigación Aplicada" xr:uid="{00000000-0004-0000-0000-00000A000000}"/>
    <hyperlink ref="B15" display="Métodos Cuantitativos y Cualitativos" xr:uid="{00000000-0004-0000-0000-00000B000000}"/>
    <hyperlink ref="B16" display="Modelos de Gestión y Management" xr:uid="{00000000-0004-0000-0000-00000C000000}"/>
    <hyperlink ref="B17" display="Oportunidades para el Emprendimiento Sostenible" xr:uid="{00000000-0004-0000-0000-00000D000000}"/>
    <hyperlink ref="B18" display="Pensamiento Estratégico y Gerencia Global" xr:uid="{00000000-0004-0000-0000-00000E000000}"/>
    <hyperlink ref="B19" display="Tecnología y Sistemas Aplicados a la Gestión Organizacional" xr:uid="{00000000-0004-0000-0000-00000F000000}"/>
    <hyperlink ref="B20" display="Tendencias en Gestión e Innovación" xr:uid="{00000000-0004-0000-0000-000010000000}"/>
    <hyperlink ref="B21" display="Teoría Avanzada de Gestión" xr:uid="{00000000-0004-0000-0000-000011000000}"/>
    <hyperlink ref="B22" display="Tesis Doctoral" xr:uid="{00000000-0004-0000-0000-000012000000}"/>
    <hyperlink ref="B23" display="Tutoría 1" xr:uid="{00000000-0004-0000-0000-000013000000}"/>
    <hyperlink ref="B24" display="Tutoría 2" xr:uid="{00000000-0004-0000-0000-000014000000}"/>
    <hyperlink ref="B25" display="Tutoría 3" xr:uid="{00000000-0004-0000-0000-000015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Tabla!$H$2:$H$22</xm:f>
          </x14:formula1>
          <xm:sqref>B5:B25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2"/>
  <sheetViews>
    <sheetView topLeftCell="T1" workbookViewId="0">
      <pane ySplit="1" topLeftCell="A13" activePane="bottomLeft" state="frozen"/>
      <selection pane="bottomLeft" activeCell="W13" sqref="W1:W13"/>
      <selection activeCell="T1" sqref="T1"/>
    </sheetView>
  </sheetViews>
  <sheetFormatPr defaultColWidth="11.42578125" defaultRowHeight="15"/>
  <cols>
    <col min="1" max="1" width="8" customWidth="1"/>
    <col min="2" max="2" width="24.28515625" customWidth="1"/>
    <col min="3" max="3" width="26.7109375" customWidth="1"/>
    <col min="4" max="4" width="24.42578125" customWidth="1"/>
    <col min="5" max="5" width="12.7109375" customWidth="1"/>
    <col min="6" max="6" width="12" customWidth="1"/>
    <col min="7" max="7" width="35" customWidth="1"/>
    <col min="8" max="8" width="30" customWidth="1"/>
    <col min="9" max="9" width="21.7109375" customWidth="1"/>
    <col min="10" max="10" width="39.140625" customWidth="1"/>
    <col min="11" max="11" width="32.85546875" customWidth="1"/>
    <col min="12" max="12" width="19.140625" customWidth="1"/>
    <col min="13" max="13" width="45" customWidth="1"/>
    <col min="14" max="14" width="47.5703125" customWidth="1"/>
    <col min="15" max="15" width="45" customWidth="1"/>
    <col min="16" max="16" width="19.28515625" customWidth="1"/>
    <col min="17" max="17" width="35" customWidth="1"/>
    <col min="18" max="18" width="30" customWidth="1"/>
    <col min="19" max="19" width="40.7109375" customWidth="1"/>
    <col min="20" max="20" width="36" customWidth="1"/>
    <col min="21" max="22" width="55" customWidth="1"/>
    <col min="28" max="28" width="30.28515625" customWidth="1"/>
  </cols>
  <sheetData>
    <row r="1" spans="1:28">
      <c r="A1" t="s">
        <v>29</v>
      </c>
      <c r="B1" t="s">
        <v>30</v>
      </c>
      <c r="C1" t="s">
        <v>31</v>
      </c>
      <c r="D1" t="s">
        <v>32</v>
      </c>
      <c r="E1" t="s">
        <v>33</v>
      </c>
      <c r="F1" t="s">
        <v>34</v>
      </c>
      <c r="G1" t="s">
        <v>35</v>
      </c>
      <c r="H1" t="s">
        <v>36</v>
      </c>
      <c r="I1" t="s">
        <v>37</v>
      </c>
      <c r="J1" t="s">
        <v>38</v>
      </c>
      <c r="K1" t="s">
        <v>39</v>
      </c>
      <c r="L1" t="s">
        <v>40</v>
      </c>
      <c r="M1" t="s">
        <v>41</v>
      </c>
      <c r="N1" t="s">
        <v>42</v>
      </c>
      <c r="O1" t="s">
        <v>43</v>
      </c>
      <c r="P1" t="s">
        <v>44</v>
      </c>
      <c r="Q1" t="s">
        <v>45</v>
      </c>
      <c r="R1" t="s">
        <v>46</v>
      </c>
      <c r="S1" t="s">
        <v>47</v>
      </c>
      <c r="T1" t="s">
        <v>48</v>
      </c>
      <c r="U1" t="s">
        <v>49</v>
      </c>
      <c r="V1" t="s">
        <v>50</v>
      </c>
      <c r="W1" t="s">
        <v>51</v>
      </c>
      <c r="X1" t="s">
        <v>52</v>
      </c>
      <c r="Y1" t="s">
        <v>53</v>
      </c>
      <c r="Z1" t="s">
        <v>54</v>
      </c>
      <c r="AA1" t="s">
        <v>55</v>
      </c>
      <c r="AB1" t="s">
        <v>56</v>
      </c>
    </row>
    <row r="2" spans="1:28" ht="89.25">
      <c r="A2" s="14">
        <v>2026</v>
      </c>
      <c r="B2" s="14" t="s">
        <v>57</v>
      </c>
      <c r="C2" s="14" t="s">
        <v>58</v>
      </c>
      <c r="D2" s="14" t="s">
        <v>59</v>
      </c>
      <c r="E2" s="14" t="s">
        <v>60</v>
      </c>
      <c r="F2" s="14" t="s">
        <v>61</v>
      </c>
      <c r="G2" s="14" t="s">
        <v>62</v>
      </c>
      <c r="H2" s="14" t="s">
        <v>21</v>
      </c>
      <c r="I2" s="14">
        <v>24</v>
      </c>
      <c r="J2" s="14">
        <v>288</v>
      </c>
      <c r="K2" s="14">
        <v>864</v>
      </c>
      <c r="L2" s="14">
        <v>1152</v>
      </c>
      <c r="M2" s="14" t="s">
        <v>63</v>
      </c>
      <c r="N2" s="14" t="s">
        <v>64</v>
      </c>
      <c r="O2" s="14" t="s">
        <v>65</v>
      </c>
      <c r="P2" s="14" t="s">
        <v>66</v>
      </c>
      <c r="Q2" s="14" t="s">
        <v>67</v>
      </c>
      <c r="R2" s="14" t="s">
        <v>68</v>
      </c>
      <c r="S2" s="14" t="s">
        <v>69</v>
      </c>
      <c r="T2" s="15">
        <v>0.5</v>
      </c>
      <c r="U2" s="14" t="s">
        <v>70</v>
      </c>
      <c r="V2" s="14" t="s">
        <v>71</v>
      </c>
      <c r="W2" s="14">
        <v>1</v>
      </c>
      <c r="X2" s="37">
        <v>46083</v>
      </c>
      <c r="Y2" s="14" t="s">
        <v>72</v>
      </c>
      <c r="Z2" s="14" t="s">
        <v>73</v>
      </c>
      <c r="AA2" s="14" t="s">
        <v>74</v>
      </c>
      <c r="AB2" s="14" t="s">
        <v>75</v>
      </c>
    </row>
    <row r="3" spans="1:28" ht="102">
      <c r="A3" s="14">
        <v>2026</v>
      </c>
      <c r="B3" s="14" t="s">
        <v>57</v>
      </c>
      <c r="C3" s="14" t="s">
        <v>76</v>
      </c>
      <c r="D3" s="14" t="s">
        <v>59</v>
      </c>
      <c r="E3" s="14" t="s">
        <v>60</v>
      </c>
      <c r="F3" s="14" t="s">
        <v>61</v>
      </c>
      <c r="G3" s="14" t="s">
        <v>62</v>
      </c>
      <c r="H3" s="14" t="s">
        <v>22</v>
      </c>
      <c r="I3" s="14">
        <v>2</v>
      </c>
      <c r="J3" s="14">
        <v>24</v>
      </c>
      <c r="K3" s="14">
        <v>72</v>
      </c>
      <c r="L3" s="14">
        <v>96</v>
      </c>
      <c r="M3" s="14" t="s">
        <v>77</v>
      </c>
      <c r="N3" s="14" t="s">
        <v>78</v>
      </c>
      <c r="O3" s="14" t="s">
        <v>79</v>
      </c>
      <c r="P3" s="14" t="s">
        <v>80</v>
      </c>
      <c r="Q3" s="14" t="s">
        <v>81</v>
      </c>
      <c r="R3" s="14" t="s">
        <v>68</v>
      </c>
      <c r="S3" s="14" t="s">
        <v>69</v>
      </c>
      <c r="T3" s="15">
        <v>0.3</v>
      </c>
      <c r="U3" s="14" t="s">
        <v>70</v>
      </c>
      <c r="V3" s="14" t="s">
        <v>71</v>
      </c>
      <c r="W3" s="14">
        <v>1</v>
      </c>
      <c r="X3" s="37">
        <v>46083</v>
      </c>
      <c r="Y3" s="14" t="s">
        <v>72</v>
      </c>
      <c r="Z3" s="14" t="s">
        <v>73</v>
      </c>
      <c r="AA3" s="14" t="s">
        <v>74</v>
      </c>
      <c r="AB3" s="14" t="s">
        <v>75</v>
      </c>
    </row>
    <row r="4" spans="1:28" ht="102">
      <c r="A4" s="14">
        <v>2026</v>
      </c>
      <c r="B4" s="14" t="s">
        <v>57</v>
      </c>
      <c r="C4" s="14" t="s">
        <v>82</v>
      </c>
      <c r="D4" s="14" t="s">
        <v>59</v>
      </c>
      <c r="E4" s="14" t="s">
        <v>60</v>
      </c>
      <c r="F4" s="14" t="s">
        <v>61</v>
      </c>
      <c r="G4" s="14" t="s">
        <v>62</v>
      </c>
      <c r="H4" s="14" t="s">
        <v>23</v>
      </c>
      <c r="I4" s="14">
        <v>2</v>
      </c>
      <c r="J4" s="14">
        <v>24</v>
      </c>
      <c r="K4" s="14">
        <v>72</v>
      </c>
      <c r="L4" s="14">
        <v>96</v>
      </c>
      <c r="M4" s="14" t="s">
        <v>83</v>
      </c>
      <c r="N4" s="14" t="s">
        <v>84</v>
      </c>
      <c r="O4" s="14" t="s">
        <v>85</v>
      </c>
      <c r="P4" s="14" t="s">
        <v>80</v>
      </c>
      <c r="Q4" s="14" t="s">
        <v>86</v>
      </c>
      <c r="R4" s="14" t="s">
        <v>68</v>
      </c>
      <c r="S4" s="14" t="s">
        <v>69</v>
      </c>
      <c r="T4" s="15">
        <v>0.3</v>
      </c>
      <c r="U4" s="14" t="s">
        <v>70</v>
      </c>
      <c r="V4" s="14" t="s">
        <v>71</v>
      </c>
      <c r="W4" s="14">
        <v>1</v>
      </c>
      <c r="X4" s="37">
        <v>46083</v>
      </c>
      <c r="Y4" s="14" t="s">
        <v>72</v>
      </c>
      <c r="Z4" s="14" t="s">
        <v>73</v>
      </c>
      <c r="AA4" s="14" t="s">
        <v>74</v>
      </c>
      <c r="AB4" s="14" t="s">
        <v>75</v>
      </c>
    </row>
    <row r="5" spans="1:28" ht="127.5">
      <c r="A5" s="14">
        <v>2026</v>
      </c>
      <c r="B5" s="14" t="s">
        <v>57</v>
      </c>
      <c r="C5" s="14" t="s">
        <v>87</v>
      </c>
      <c r="D5" s="14" t="s">
        <v>59</v>
      </c>
      <c r="E5" s="14" t="s">
        <v>60</v>
      </c>
      <c r="F5" s="14" t="s">
        <v>61</v>
      </c>
      <c r="G5" s="14" t="s">
        <v>62</v>
      </c>
      <c r="H5" s="14" t="s">
        <v>24</v>
      </c>
      <c r="I5" s="14">
        <v>2</v>
      </c>
      <c r="J5" s="14">
        <v>24</v>
      </c>
      <c r="K5" s="14">
        <v>72</v>
      </c>
      <c r="L5" s="14">
        <v>96</v>
      </c>
      <c r="M5" s="14" t="s">
        <v>88</v>
      </c>
      <c r="N5" s="14" t="s">
        <v>89</v>
      </c>
      <c r="O5" s="14" t="s">
        <v>90</v>
      </c>
      <c r="P5" s="14" t="s">
        <v>80</v>
      </c>
      <c r="Q5" s="14" t="s">
        <v>91</v>
      </c>
      <c r="R5" s="14" t="s">
        <v>68</v>
      </c>
      <c r="S5" s="14" t="s">
        <v>69</v>
      </c>
      <c r="T5" s="15">
        <v>0.3</v>
      </c>
      <c r="U5" s="14" t="s">
        <v>70</v>
      </c>
      <c r="V5" s="14" t="s">
        <v>71</v>
      </c>
      <c r="W5" s="14">
        <v>1</v>
      </c>
      <c r="X5" s="37">
        <v>46083</v>
      </c>
      <c r="Y5" s="14" t="s">
        <v>72</v>
      </c>
      <c r="Z5" s="14" t="s">
        <v>73</v>
      </c>
      <c r="AA5" s="14" t="s">
        <v>74</v>
      </c>
      <c r="AB5" s="14" t="s">
        <v>75</v>
      </c>
    </row>
    <row r="6" spans="1:28" ht="102">
      <c r="A6" s="14">
        <v>2026</v>
      </c>
      <c r="B6" s="14" t="s">
        <v>57</v>
      </c>
      <c r="C6" s="14" t="s">
        <v>92</v>
      </c>
      <c r="D6" s="14" t="s">
        <v>59</v>
      </c>
      <c r="E6" s="14" t="s">
        <v>60</v>
      </c>
      <c r="F6" s="14" t="s">
        <v>61</v>
      </c>
      <c r="G6" s="14" t="s">
        <v>62</v>
      </c>
      <c r="H6" s="14" t="s">
        <v>4</v>
      </c>
      <c r="I6" s="14">
        <v>1</v>
      </c>
      <c r="J6" s="14">
        <v>12</v>
      </c>
      <c r="K6" s="14">
        <v>36</v>
      </c>
      <c r="L6" s="14">
        <v>48</v>
      </c>
      <c r="M6" s="14" t="s">
        <v>93</v>
      </c>
      <c r="N6" s="14" t="s">
        <v>94</v>
      </c>
      <c r="O6" s="14" t="s">
        <v>95</v>
      </c>
      <c r="P6" s="14" t="s">
        <v>96</v>
      </c>
      <c r="Q6" s="14" t="s">
        <v>91</v>
      </c>
      <c r="R6" s="14" t="s">
        <v>68</v>
      </c>
      <c r="S6" s="14" t="s">
        <v>69</v>
      </c>
      <c r="T6" s="15">
        <v>0.3</v>
      </c>
      <c r="U6" s="14" t="s">
        <v>70</v>
      </c>
      <c r="V6" s="14" t="s">
        <v>71</v>
      </c>
      <c r="W6" s="14">
        <v>1</v>
      </c>
      <c r="X6" s="37">
        <v>46083</v>
      </c>
      <c r="Y6" s="14" t="s">
        <v>72</v>
      </c>
      <c r="Z6" s="14" t="s">
        <v>73</v>
      </c>
      <c r="AA6" s="14" t="s">
        <v>74</v>
      </c>
      <c r="AB6" s="14" t="s">
        <v>75</v>
      </c>
    </row>
    <row r="7" spans="1:28" ht="127.5">
      <c r="A7" s="14">
        <v>2026</v>
      </c>
      <c r="B7" s="14" t="s">
        <v>57</v>
      </c>
      <c r="C7" s="14" t="s">
        <v>97</v>
      </c>
      <c r="D7" s="14" t="s">
        <v>98</v>
      </c>
      <c r="E7" s="14" t="s">
        <v>60</v>
      </c>
      <c r="F7" s="14" t="s">
        <v>61</v>
      </c>
      <c r="G7" s="14" t="s">
        <v>62</v>
      </c>
      <c r="H7" s="14" t="s">
        <v>16</v>
      </c>
      <c r="I7" s="14">
        <v>2</v>
      </c>
      <c r="J7" s="14">
        <v>24</v>
      </c>
      <c r="K7" s="14">
        <v>72</v>
      </c>
      <c r="L7" s="14">
        <v>96</v>
      </c>
      <c r="M7" s="14" t="s">
        <v>99</v>
      </c>
      <c r="N7" s="14" t="s">
        <v>100</v>
      </c>
      <c r="O7" s="14" t="s">
        <v>101</v>
      </c>
      <c r="P7" s="14" t="s">
        <v>80</v>
      </c>
      <c r="Q7" s="14" t="s">
        <v>102</v>
      </c>
      <c r="R7" s="14" t="s">
        <v>68</v>
      </c>
      <c r="S7" s="14" t="s">
        <v>69</v>
      </c>
      <c r="T7" s="15">
        <v>0.5</v>
      </c>
      <c r="U7" s="14" t="s">
        <v>103</v>
      </c>
      <c r="V7" s="14" t="s">
        <v>104</v>
      </c>
      <c r="W7" s="14">
        <v>1</v>
      </c>
      <c r="X7" s="37">
        <v>46083</v>
      </c>
      <c r="Y7" s="14" t="s">
        <v>72</v>
      </c>
      <c r="Z7" s="14" t="s">
        <v>73</v>
      </c>
      <c r="AA7" s="14" t="s">
        <v>74</v>
      </c>
      <c r="AB7" s="14" t="s">
        <v>75</v>
      </c>
    </row>
    <row r="8" spans="1:28" ht="127.5">
      <c r="A8" s="14">
        <v>2026</v>
      </c>
      <c r="B8" s="14" t="s">
        <v>57</v>
      </c>
      <c r="C8" s="14" t="s">
        <v>105</v>
      </c>
      <c r="D8" s="14" t="s">
        <v>98</v>
      </c>
      <c r="E8" s="14" t="s">
        <v>60</v>
      </c>
      <c r="F8" s="14" t="s">
        <v>61</v>
      </c>
      <c r="G8" s="14" t="s">
        <v>62</v>
      </c>
      <c r="H8" s="14" t="s">
        <v>17</v>
      </c>
      <c r="I8" s="14">
        <v>3</v>
      </c>
      <c r="J8" s="14">
        <v>36</v>
      </c>
      <c r="K8" s="14">
        <v>108</v>
      </c>
      <c r="L8" s="14">
        <v>144</v>
      </c>
      <c r="M8" s="14" t="s">
        <v>106</v>
      </c>
      <c r="N8" s="14" t="s">
        <v>107</v>
      </c>
      <c r="O8" s="14" t="s">
        <v>108</v>
      </c>
      <c r="P8" s="14" t="s">
        <v>109</v>
      </c>
      <c r="Q8" s="14" t="s">
        <v>110</v>
      </c>
      <c r="R8" s="14" t="s">
        <v>68</v>
      </c>
      <c r="S8" s="14" t="s">
        <v>69</v>
      </c>
      <c r="T8" s="15">
        <v>0.4</v>
      </c>
      <c r="U8" s="14" t="s">
        <v>111</v>
      </c>
      <c r="V8" s="14" t="s">
        <v>112</v>
      </c>
      <c r="W8" s="14">
        <v>1</v>
      </c>
      <c r="X8" s="37">
        <v>46083</v>
      </c>
      <c r="Y8" s="14" t="s">
        <v>72</v>
      </c>
      <c r="Z8" s="14" t="s">
        <v>73</v>
      </c>
      <c r="AA8" s="14" t="s">
        <v>74</v>
      </c>
      <c r="AB8" s="14" t="s">
        <v>75</v>
      </c>
    </row>
    <row r="9" spans="1:28" ht="102">
      <c r="A9" s="14">
        <v>2026</v>
      </c>
      <c r="B9" s="14" t="s">
        <v>57</v>
      </c>
      <c r="C9" s="14" t="s">
        <v>113</v>
      </c>
      <c r="D9" s="14" t="s">
        <v>114</v>
      </c>
      <c r="E9" s="14" t="s">
        <v>60</v>
      </c>
      <c r="F9" s="14" t="s">
        <v>61</v>
      </c>
      <c r="G9" s="14" t="s">
        <v>62</v>
      </c>
      <c r="H9" s="14" t="s">
        <v>6</v>
      </c>
      <c r="I9" s="14">
        <v>2</v>
      </c>
      <c r="J9" s="14">
        <v>24</v>
      </c>
      <c r="K9" s="14">
        <v>72</v>
      </c>
      <c r="L9" s="14">
        <v>96</v>
      </c>
      <c r="M9" s="14" t="s">
        <v>115</v>
      </c>
      <c r="N9" s="14" t="s">
        <v>116</v>
      </c>
      <c r="O9" s="14" t="s">
        <v>117</v>
      </c>
      <c r="P9" s="14" t="s">
        <v>80</v>
      </c>
      <c r="Q9" s="14" t="s">
        <v>118</v>
      </c>
      <c r="R9" s="14" t="s">
        <v>68</v>
      </c>
      <c r="S9" s="14" t="s">
        <v>69</v>
      </c>
      <c r="T9" s="15">
        <v>0.5</v>
      </c>
      <c r="U9" s="14" t="s">
        <v>119</v>
      </c>
      <c r="V9" s="14" t="s">
        <v>120</v>
      </c>
      <c r="W9" s="14">
        <v>1</v>
      </c>
      <c r="X9" s="37">
        <v>46083</v>
      </c>
      <c r="Y9" s="14" t="s">
        <v>72</v>
      </c>
      <c r="Z9" s="14" t="s">
        <v>73</v>
      </c>
      <c r="AA9" s="14" t="s">
        <v>74</v>
      </c>
      <c r="AB9" s="14" t="s">
        <v>75</v>
      </c>
    </row>
    <row r="10" spans="1:28" ht="114.75">
      <c r="A10" s="14">
        <v>2026</v>
      </c>
      <c r="B10" s="14" t="s">
        <v>57</v>
      </c>
      <c r="C10" s="14" t="s">
        <v>121</v>
      </c>
      <c r="D10" s="14" t="s">
        <v>114</v>
      </c>
      <c r="E10" s="14" t="s">
        <v>60</v>
      </c>
      <c r="F10" s="14" t="s">
        <v>61</v>
      </c>
      <c r="G10" s="14" t="s">
        <v>62</v>
      </c>
      <c r="H10" s="14" t="s">
        <v>8</v>
      </c>
      <c r="I10" s="14">
        <v>3</v>
      </c>
      <c r="J10" s="14">
        <v>36</v>
      </c>
      <c r="K10" s="14">
        <v>108</v>
      </c>
      <c r="L10" s="14">
        <v>144</v>
      </c>
      <c r="M10" s="14" t="s">
        <v>122</v>
      </c>
      <c r="N10" s="14" t="s">
        <v>123</v>
      </c>
      <c r="O10" s="14" t="s">
        <v>124</v>
      </c>
      <c r="P10" s="14" t="s">
        <v>109</v>
      </c>
      <c r="Q10" s="14" t="s">
        <v>125</v>
      </c>
      <c r="R10" s="14" t="s">
        <v>68</v>
      </c>
      <c r="S10" s="14" t="s">
        <v>69</v>
      </c>
      <c r="T10" s="15">
        <v>0.3</v>
      </c>
      <c r="U10" s="14" t="s">
        <v>126</v>
      </c>
      <c r="V10" s="14" t="s">
        <v>127</v>
      </c>
      <c r="W10" s="14">
        <v>1</v>
      </c>
      <c r="X10" s="37">
        <v>46083</v>
      </c>
      <c r="Y10" s="14" t="s">
        <v>72</v>
      </c>
      <c r="Z10" s="14" t="s">
        <v>73</v>
      </c>
      <c r="AA10" s="14" t="s">
        <v>74</v>
      </c>
      <c r="AB10" s="14" t="s">
        <v>75</v>
      </c>
    </row>
    <row r="11" spans="1:28" ht="102">
      <c r="A11" s="14">
        <v>2026</v>
      </c>
      <c r="B11" s="14" t="s">
        <v>57</v>
      </c>
      <c r="C11" s="14" t="s">
        <v>128</v>
      </c>
      <c r="D11" s="14" t="s">
        <v>114</v>
      </c>
      <c r="E11" s="14" t="s">
        <v>60</v>
      </c>
      <c r="F11" s="14" t="s">
        <v>61</v>
      </c>
      <c r="G11" s="14" t="s">
        <v>62</v>
      </c>
      <c r="H11" s="14" t="s">
        <v>9</v>
      </c>
      <c r="I11" s="14">
        <v>2</v>
      </c>
      <c r="J11" s="14">
        <v>24</v>
      </c>
      <c r="K11" s="14">
        <v>72</v>
      </c>
      <c r="L11" s="14">
        <v>96</v>
      </c>
      <c r="M11" s="14" t="s">
        <v>129</v>
      </c>
      <c r="N11" s="14" t="s">
        <v>130</v>
      </c>
      <c r="O11" s="14" t="s">
        <v>131</v>
      </c>
      <c r="P11" s="14" t="s">
        <v>80</v>
      </c>
      <c r="Q11" s="14" t="s">
        <v>132</v>
      </c>
      <c r="R11" s="14" t="s">
        <v>68</v>
      </c>
      <c r="S11" s="14" t="s">
        <v>69</v>
      </c>
      <c r="T11" s="15">
        <v>0.4</v>
      </c>
      <c r="U11" s="14" t="s">
        <v>133</v>
      </c>
      <c r="V11" s="14" t="s">
        <v>134</v>
      </c>
      <c r="W11" s="14">
        <v>1</v>
      </c>
      <c r="X11" s="37">
        <v>46083</v>
      </c>
      <c r="Y11" s="14" t="s">
        <v>72</v>
      </c>
      <c r="Z11" s="14" t="s">
        <v>73</v>
      </c>
      <c r="AA11" s="14" t="s">
        <v>74</v>
      </c>
      <c r="AB11" s="14" t="s">
        <v>75</v>
      </c>
    </row>
    <row r="12" spans="1:28" ht="114.75">
      <c r="A12" s="14">
        <v>2026</v>
      </c>
      <c r="B12" s="14" t="s">
        <v>57</v>
      </c>
      <c r="C12" s="14" t="s">
        <v>135</v>
      </c>
      <c r="D12" s="14" t="s">
        <v>114</v>
      </c>
      <c r="E12" s="14" t="s">
        <v>60</v>
      </c>
      <c r="F12" s="14" t="s">
        <v>61</v>
      </c>
      <c r="G12" s="14" t="s">
        <v>62</v>
      </c>
      <c r="H12" s="14" t="s">
        <v>12</v>
      </c>
      <c r="I12" s="14">
        <v>2</v>
      </c>
      <c r="J12" s="14">
        <v>24</v>
      </c>
      <c r="K12" s="14">
        <v>72</v>
      </c>
      <c r="L12" s="14">
        <v>96</v>
      </c>
      <c r="M12" s="14" t="s">
        <v>136</v>
      </c>
      <c r="N12" s="14" t="s">
        <v>137</v>
      </c>
      <c r="O12" s="14" t="s">
        <v>138</v>
      </c>
      <c r="P12" s="14" t="s">
        <v>80</v>
      </c>
      <c r="Q12" s="14" t="s">
        <v>139</v>
      </c>
      <c r="R12" s="14" t="s">
        <v>68</v>
      </c>
      <c r="S12" s="14" t="s">
        <v>69</v>
      </c>
      <c r="T12" s="15">
        <v>0.5</v>
      </c>
      <c r="U12" s="14" t="s">
        <v>140</v>
      </c>
      <c r="V12" s="14" t="s">
        <v>141</v>
      </c>
      <c r="W12" s="14">
        <v>1</v>
      </c>
      <c r="X12" s="37">
        <v>46083</v>
      </c>
      <c r="Y12" s="14" t="s">
        <v>72</v>
      </c>
      <c r="Z12" s="14" t="s">
        <v>73</v>
      </c>
      <c r="AA12" s="14" t="s">
        <v>74</v>
      </c>
      <c r="AB12" s="14" t="s">
        <v>75</v>
      </c>
    </row>
    <row r="13" spans="1:28" ht="89.25">
      <c r="A13" s="14">
        <v>2026</v>
      </c>
      <c r="B13" s="14" t="s">
        <v>57</v>
      </c>
      <c r="C13" s="14" t="s">
        <v>142</v>
      </c>
      <c r="D13" s="14" t="s">
        <v>114</v>
      </c>
      <c r="E13" s="14" t="s">
        <v>60</v>
      </c>
      <c r="F13" s="14" t="s">
        <v>61</v>
      </c>
      <c r="G13" s="14" t="s">
        <v>62</v>
      </c>
      <c r="H13" s="14" t="s">
        <v>13</v>
      </c>
      <c r="I13" s="14">
        <v>3</v>
      </c>
      <c r="J13" s="14">
        <v>48</v>
      </c>
      <c r="K13" s="14">
        <v>144</v>
      </c>
      <c r="L13" s="14">
        <v>192</v>
      </c>
      <c r="M13" s="14" t="s">
        <v>143</v>
      </c>
      <c r="N13" s="14" t="s">
        <v>144</v>
      </c>
      <c r="O13" s="14" t="s">
        <v>145</v>
      </c>
      <c r="P13" s="14" t="e">
        <v>#N/A</v>
      </c>
      <c r="Q13" s="14" t="s">
        <v>146</v>
      </c>
      <c r="R13" s="14" t="s">
        <v>147</v>
      </c>
      <c r="S13" s="14" t="s">
        <v>69</v>
      </c>
      <c r="T13" s="15">
        <v>0.3</v>
      </c>
      <c r="U13" s="14" t="s">
        <v>70</v>
      </c>
      <c r="V13" s="14" t="s">
        <v>71</v>
      </c>
      <c r="W13" s="14">
        <v>1</v>
      </c>
      <c r="X13" s="37">
        <v>46083</v>
      </c>
      <c r="Y13" s="14" t="s">
        <v>72</v>
      </c>
      <c r="Z13" s="14" t="s">
        <v>73</v>
      </c>
      <c r="AA13" s="14" t="s">
        <v>74</v>
      </c>
      <c r="AB13" s="14" t="s">
        <v>75</v>
      </c>
    </row>
    <row r="14" spans="1:28" ht="89.25">
      <c r="A14" s="14">
        <v>2026</v>
      </c>
      <c r="B14" s="14" t="s">
        <v>57</v>
      </c>
      <c r="C14" s="14" t="s">
        <v>148</v>
      </c>
      <c r="D14" s="14" t="s">
        <v>114</v>
      </c>
      <c r="E14" s="14" t="s">
        <v>60</v>
      </c>
      <c r="F14" s="14" t="s">
        <v>61</v>
      </c>
      <c r="G14" s="14" t="s">
        <v>62</v>
      </c>
      <c r="H14" s="14" t="s">
        <v>14</v>
      </c>
      <c r="I14" s="14">
        <v>3</v>
      </c>
      <c r="J14" s="14">
        <v>36</v>
      </c>
      <c r="K14" s="14">
        <v>108</v>
      </c>
      <c r="L14" s="14">
        <v>144</v>
      </c>
      <c r="M14" s="14" t="s">
        <v>149</v>
      </c>
      <c r="N14" s="14" t="s">
        <v>150</v>
      </c>
      <c r="O14" s="14" t="s">
        <v>151</v>
      </c>
      <c r="P14" s="14" t="s">
        <v>109</v>
      </c>
      <c r="Q14" s="14" t="s">
        <v>152</v>
      </c>
      <c r="R14" s="14" t="s">
        <v>153</v>
      </c>
      <c r="S14" s="14" t="s">
        <v>69</v>
      </c>
      <c r="T14" s="15">
        <v>0.5</v>
      </c>
      <c r="U14" s="14" t="s">
        <v>70</v>
      </c>
      <c r="V14" s="14" t="s">
        <v>71</v>
      </c>
      <c r="W14" s="14">
        <v>1</v>
      </c>
      <c r="X14" s="37">
        <v>46083</v>
      </c>
      <c r="Y14" s="14" t="s">
        <v>72</v>
      </c>
      <c r="Z14" s="14" t="s">
        <v>73</v>
      </c>
      <c r="AA14" s="14" t="s">
        <v>74</v>
      </c>
      <c r="AB14" s="14" t="s">
        <v>75</v>
      </c>
    </row>
    <row r="15" spans="1:28" ht="127.5">
      <c r="A15" s="14">
        <v>2026</v>
      </c>
      <c r="B15" s="14" t="s">
        <v>57</v>
      </c>
      <c r="C15" s="14" t="s">
        <v>154</v>
      </c>
      <c r="D15" s="14" t="s">
        <v>114</v>
      </c>
      <c r="E15" s="14" t="s">
        <v>60</v>
      </c>
      <c r="F15" s="14" t="s">
        <v>61</v>
      </c>
      <c r="G15" s="14" t="s">
        <v>62</v>
      </c>
      <c r="H15" s="14" t="s">
        <v>15</v>
      </c>
      <c r="I15" s="14">
        <v>3</v>
      </c>
      <c r="J15" s="14">
        <v>36</v>
      </c>
      <c r="K15" s="14">
        <v>108</v>
      </c>
      <c r="L15" s="14">
        <v>144</v>
      </c>
      <c r="M15" s="14" t="s">
        <v>155</v>
      </c>
      <c r="N15" s="14" t="s">
        <v>156</v>
      </c>
      <c r="O15" s="14" t="s">
        <v>157</v>
      </c>
      <c r="P15" s="14" t="s">
        <v>109</v>
      </c>
      <c r="Q15" s="14" t="s">
        <v>158</v>
      </c>
      <c r="R15" s="14" t="s">
        <v>68</v>
      </c>
      <c r="S15" s="14" t="s">
        <v>69</v>
      </c>
      <c r="T15" s="15">
        <v>0.3</v>
      </c>
      <c r="U15" s="14" t="s">
        <v>159</v>
      </c>
      <c r="V15" s="14" t="s">
        <v>160</v>
      </c>
      <c r="W15" s="14">
        <v>1</v>
      </c>
      <c r="X15" s="37">
        <v>46083</v>
      </c>
      <c r="Y15" s="14" t="s">
        <v>72</v>
      </c>
      <c r="Z15" s="14" t="s">
        <v>73</v>
      </c>
      <c r="AA15" s="14" t="s">
        <v>74</v>
      </c>
      <c r="AB15" s="14" t="s">
        <v>75</v>
      </c>
    </row>
    <row r="16" spans="1:28" ht="127.5">
      <c r="A16" s="14">
        <v>2026</v>
      </c>
      <c r="B16" s="14" t="s">
        <v>57</v>
      </c>
      <c r="C16" s="14" t="s">
        <v>161</v>
      </c>
      <c r="D16" s="14" t="s">
        <v>114</v>
      </c>
      <c r="E16" s="14" t="s">
        <v>60</v>
      </c>
      <c r="F16" s="14" t="s">
        <v>61</v>
      </c>
      <c r="G16" s="14" t="s">
        <v>62</v>
      </c>
      <c r="H16" s="14" t="s">
        <v>20</v>
      </c>
      <c r="I16" s="14">
        <v>3</v>
      </c>
      <c r="J16" s="14">
        <v>36</v>
      </c>
      <c r="K16" s="14">
        <v>108</v>
      </c>
      <c r="L16" s="14">
        <v>144</v>
      </c>
      <c r="M16" s="14" t="s">
        <v>162</v>
      </c>
      <c r="N16" s="14" t="s">
        <v>163</v>
      </c>
      <c r="O16" s="14" t="s">
        <v>164</v>
      </c>
      <c r="P16" s="14" t="s">
        <v>109</v>
      </c>
      <c r="Q16" s="14" t="s">
        <v>110</v>
      </c>
      <c r="R16" s="14" t="s">
        <v>68</v>
      </c>
      <c r="S16" s="14" t="s">
        <v>69</v>
      </c>
      <c r="T16" s="15">
        <v>0.3</v>
      </c>
      <c r="U16" s="14" t="s">
        <v>159</v>
      </c>
      <c r="V16" s="14" t="s">
        <v>160</v>
      </c>
      <c r="W16" s="14">
        <v>1</v>
      </c>
      <c r="X16" s="37">
        <v>46083</v>
      </c>
      <c r="Y16" s="14" t="s">
        <v>72</v>
      </c>
      <c r="Z16" s="14" t="s">
        <v>73</v>
      </c>
      <c r="AA16" s="14" t="s">
        <v>74</v>
      </c>
      <c r="AB16" s="14" t="s">
        <v>75</v>
      </c>
    </row>
    <row r="17" spans="1:28" ht="89.25">
      <c r="A17" s="14">
        <v>2026</v>
      </c>
      <c r="B17" s="14" t="s">
        <v>57</v>
      </c>
      <c r="C17" s="14" t="s">
        <v>165</v>
      </c>
      <c r="D17" s="14" t="s">
        <v>114</v>
      </c>
      <c r="E17" s="14" t="s">
        <v>60</v>
      </c>
      <c r="F17" s="14" t="s">
        <v>61</v>
      </c>
      <c r="G17" s="14" t="s">
        <v>62</v>
      </c>
      <c r="H17" s="14" t="s">
        <v>7</v>
      </c>
      <c r="I17" s="14">
        <v>3</v>
      </c>
      <c r="J17" s="14">
        <v>36</v>
      </c>
      <c r="K17" s="14">
        <v>108</v>
      </c>
      <c r="L17" s="14">
        <v>144</v>
      </c>
      <c r="M17" s="14" t="s">
        <v>166</v>
      </c>
      <c r="N17" s="14" t="s">
        <v>167</v>
      </c>
      <c r="O17" s="14" t="s">
        <v>168</v>
      </c>
      <c r="P17" s="14" t="s">
        <v>109</v>
      </c>
      <c r="Q17" s="14" t="s">
        <v>169</v>
      </c>
      <c r="R17" s="14" t="s">
        <v>68</v>
      </c>
      <c r="S17" s="14" t="s">
        <v>69</v>
      </c>
      <c r="T17" s="15">
        <v>0.3</v>
      </c>
      <c r="U17" s="14" t="s">
        <v>70</v>
      </c>
      <c r="V17" s="14" t="s">
        <v>71</v>
      </c>
      <c r="W17" s="14">
        <v>1</v>
      </c>
      <c r="X17" s="37">
        <v>46083</v>
      </c>
      <c r="Y17" s="14" t="s">
        <v>72</v>
      </c>
      <c r="Z17" s="14" t="s">
        <v>73</v>
      </c>
      <c r="AA17" s="14" t="s">
        <v>74</v>
      </c>
      <c r="AB17" s="14" t="s">
        <v>75</v>
      </c>
    </row>
    <row r="18" spans="1:28" ht="114.75">
      <c r="A18" s="14">
        <v>2026</v>
      </c>
      <c r="B18" s="14" t="s">
        <v>57</v>
      </c>
      <c r="C18" s="14" t="s">
        <v>170</v>
      </c>
      <c r="D18" s="14" t="s">
        <v>114</v>
      </c>
      <c r="E18" s="14" t="s">
        <v>60</v>
      </c>
      <c r="F18" s="14" t="s">
        <v>61</v>
      </c>
      <c r="G18" s="14" t="s">
        <v>62</v>
      </c>
      <c r="H18" s="14" t="s">
        <v>10</v>
      </c>
      <c r="I18" s="14">
        <v>3</v>
      </c>
      <c r="J18" s="14">
        <v>36</v>
      </c>
      <c r="K18" s="14">
        <v>108</v>
      </c>
      <c r="L18" s="14">
        <v>144</v>
      </c>
      <c r="M18" s="14" t="s">
        <v>171</v>
      </c>
      <c r="N18" s="14" t="s">
        <v>172</v>
      </c>
      <c r="O18" s="14" t="s">
        <v>173</v>
      </c>
      <c r="P18" s="14" t="s">
        <v>109</v>
      </c>
      <c r="Q18" s="14" t="s">
        <v>174</v>
      </c>
      <c r="R18" s="14" t="s">
        <v>68</v>
      </c>
      <c r="S18" s="14" t="s">
        <v>69</v>
      </c>
      <c r="T18" s="15">
        <v>0.3</v>
      </c>
      <c r="U18" s="14" t="s">
        <v>175</v>
      </c>
      <c r="V18" s="14" t="s">
        <v>176</v>
      </c>
      <c r="W18" s="14">
        <v>1</v>
      </c>
      <c r="X18" s="37">
        <v>46083</v>
      </c>
      <c r="Y18" s="14" t="s">
        <v>72</v>
      </c>
      <c r="Z18" s="14" t="s">
        <v>73</v>
      </c>
      <c r="AA18" s="14" t="s">
        <v>74</v>
      </c>
      <c r="AB18" s="14" t="s">
        <v>75</v>
      </c>
    </row>
    <row r="19" spans="1:28" ht="89.25">
      <c r="A19" s="14">
        <v>2026</v>
      </c>
      <c r="B19" s="14" t="s">
        <v>57</v>
      </c>
      <c r="C19" s="14" t="s">
        <v>177</v>
      </c>
      <c r="D19" s="14" t="s">
        <v>114</v>
      </c>
      <c r="E19" s="14" t="s">
        <v>60</v>
      </c>
      <c r="F19" s="14" t="s">
        <v>61</v>
      </c>
      <c r="G19" s="14" t="s">
        <v>62</v>
      </c>
      <c r="H19" s="14" t="s">
        <v>11</v>
      </c>
      <c r="I19" s="14">
        <v>2</v>
      </c>
      <c r="J19" s="14">
        <v>24</v>
      </c>
      <c r="K19" s="14">
        <v>72</v>
      </c>
      <c r="L19" s="14">
        <v>96</v>
      </c>
      <c r="M19" s="14" t="s">
        <v>178</v>
      </c>
      <c r="N19" s="14" t="s">
        <v>179</v>
      </c>
      <c r="O19" s="14" t="s">
        <v>180</v>
      </c>
      <c r="P19" s="14" t="s">
        <v>80</v>
      </c>
      <c r="Q19" s="14" t="s">
        <v>181</v>
      </c>
      <c r="R19" s="14" t="s">
        <v>68</v>
      </c>
      <c r="S19" s="14" t="s">
        <v>69</v>
      </c>
      <c r="T19" s="15">
        <v>0.3</v>
      </c>
      <c r="U19" s="14" t="s">
        <v>182</v>
      </c>
      <c r="V19" s="14" t="s">
        <v>183</v>
      </c>
      <c r="W19" s="14">
        <v>1</v>
      </c>
      <c r="X19" s="37">
        <v>46083</v>
      </c>
      <c r="Y19" s="14" t="s">
        <v>72</v>
      </c>
      <c r="Z19" s="14" t="s">
        <v>73</v>
      </c>
      <c r="AA19" s="14" t="s">
        <v>74</v>
      </c>
      <c r="AB19" s="14" t="s">
        <v>75</v>
      </c>
    </row>
    <row r="20" spans="1:28" ht="114.75">
      <c r="A20" s="14">
        <v>2026</v>
      </c>
      <c r="B20" s="14" t="s">
        <v>57</v>
      </c>
      <c r="C20" s="14" t="s">
        <v>184</v>
      </c>
      <c r="D20" s="14" t="s">
        <v>114</v>
      </c>
      <c r="E20" s="14" t="s">
        <v>60</v>
      </c>
      <c r="F20" s="14" t="s">
        <v>61</v>
      </c>
      <c r="G20" s="14" t="s">
        <v>62</v>
      </c>
      <c r="H20" s="14" t="s">
        <v>5</v>
      </c>
      <c r="I20" s="14">
        <v>3</v>
      </c>
      <c r="J20" s="14">
        <v>36</v>
      </c>
      <c r="K20" s="14">
        <v>108</v>
      </c>
      <c r="L20" s="14">
        <v>144</v>
      </c>
      <c r="M20" s="14" t="s">
        <v>185</v>
      </c>
      <c r="N20" s="14" t="s">
        <v>186</v>
      </c>
      <c r="O20" s="14" t="s">
        <v>187</v>
      </c>
      <c r="P20" s="14" t="s">
        <v>109</v>
      </c>
      <c r="Q20" s="14" t="s">
        <v>188</v>
      </c>
      <c r="R20" s="14" t="s">
        <v>68</v>
      </c>
      <c r="S20" s="14" t="s">
        <v>69</v>
      </c>
      <c r="T20" s="15">
        <v>0.5</v>
      </c>
      <c r="U20" s="14" t="s">
        <v>189</v>
      </c>
      <c r="V20" s="14" t="s">
        <v>190</v>
      </c>
      <c r="W20" s="14">
        <v>1</v>
      </c>
      <c r="X20" s="37">
        <v>46083</v>
      </c>
      <c r="Y20" s="14" t="s">
        <v>72</v>
      </c>
      <c r="Z20" s="14" t="s">
        <v>73</v>
      </c>
      <c r="AA20" s="14" t="s">
        <v>74</v>
      </c>
      <c r="AB20" s="14" t="s">
        <v>75</v>
      </c>
    </row>
    <row r="21" spans="1:28" ht="102">
      <c r="A21" s="14">
        <v>2026</v>
      </c>
      <c r="B21" s="14" t="s">
        <v>57</v>
      </c>
      <c r="C21" s="14" t="s">
        <v>191</v>
      </c>
      <c r="D21" s="14" t="s">
        <v>114</v>
      </c>
      <c r="E21" s="14" t="s">
        <v>60</v>
      </c>
      <c r="F21" s="14" t="s">
        <v>61</v>
      </c>
      <c r="G21" s="14" t="s">
        <v>62</v>
      </c>
      <c r="H21" s="14" t="s">
        <v>18</v>
      </c>
      <c r="I21" s="14">
        <v>3</v>
      </c>
      <c r="J21" s="14">
        <v>36</v>
      </c>
      <c r="K21" s="14">
        <v>108</v>
      </c>
      <c r="L21" s="14">
        <v>144</v>
      </c>
      <c r="M21" s="14" t="s">
        <v>192</v>
      </c>
      <c r="N21" s="14" t="s">
        <v>193</v>
      </c>
      <c r="O21" s="14" t="s">
        <v>194</v>
      </c>
      <c r="P21" s="14" t="s">
        <v>109</v>
      </c>
      <c r="Q21" s="14" t="s">
        <v>195</v>
      </c>
      <c r="R21" s="14" t="s">
        <v>68</v>
      </c>
      <c r="S21" s="14" t="s">
        <v>69</v>
      </c>
      <c r="T21" s="15">
        <v>0.3</v>
      </c>
      <c r="U21" s="14" t="s">
        <v>196</v>
      </c>
      <c r="V21" s="14" t="s">
        <v>197</v>
      </c>
      <c r="W21" s="14">
        <v>1</v>
      </c>
      <c r="X21" s="37">
        <v>46083</v>
      </c>
      <c r="Y21" s="14" t="s">
        <v>72</v>
      </c>
      <c r="Z21" s="14" t="s">
        <v>73</v>
      </c>
      <c r="AA21" s="14" t="s">
        <v>74</v>
      </c>
      <c r="AB21" s="14" t="s">
        <v>75</v>
      </c>
    </row>
    <row r="22" spans="1:28" ht="140.25">
      <c r="A22" s="14">
        <v>2026</v>
      </c>
      <c r="B22" s="14" t="s">
        <v>57</v>
      </c>
      <c r="C22" s="14" t="s">
        <v>198</v>
      </c>
      <c r="D22" s="14" t="s">
        <v>114</v>
      </c>
      <c r="E22" s="14" t="s">
        <v>60</v>
      </c>
      <c r="F22" s="14" t="s">
        <v>61</v>
      </c>
      <c r="G22" s="14" t="s">
        <v>62</v>
      </c>
      <c r="H22" s="14" t="s">
        <v>19</v>
      </c>
      <c r="I22" s="14">
        <v>3</v>
      </c>
      <c r="J22" s="14">
        <v>36</v>
      </c>
      <c r="K22" s="14">
        <v>108</v>
      </c>
      <c r="L22" s="14">
        <v>144</v>
      </c>
      <c r="M22" s="14" t="s">
        <v>199</v>
      </c>
      <c r="N22" s="14" t="s">
        <v>200</v>
      </c>
      <c r="O22" s="14" t="s">
        <v>201</v>
      </c>
      <c r="P22" s="14" t="s">
        <v>109</v>
      </c>
      <c r="Q22" s="14" t="s">
        <v>158</v>
      </c>
      <c r="R22" s="14" t="s">
        <v>68</v>
      </c>
      <c r="S22" s="14" t="s">
        <v>69</v>
      </c>
      <c r="T22" s="15">
        <v>0.5</v>
      </c>
      <c r="U22" s="14" t="s">
        <v>202</v>
      </c>
      <c r="V22" s="14" t="s">
        <v>203</v>
      </c>
      <c r="W22" s="14">
        <v>1</v>
      </c>
      <c r="X22" s="37">
        <v>46083</v>
      </c>
      <c r="Y22" s="14" t="s">
        <v>72</v>
      </c>
      <c r="Z22" s="14" t="s">
        <v>73</v>
      </c>
      <c r="AA22" s="14" t="s">
        <v>74</v>
      </c>
      <c r="AB22" s="14" t="s">
        <v>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1836A-188B-4A1B-822D-0278D431BF9B}">
  <sheetPr>
    <pageSetUpPr fitToPage="1"/>
  </sheetPr>
  <dimension ref="B1:K61"/>
  <sheetViews>
    <sheetView topLeftCell="A26" workbookViewId="0">
      <selection activeCell="F44" sqref="F44:I57"/>
    </sheetView>
  </sheetViews>
  <sheetFormatPr defaultColWidth="10.85546875" defaultRowHeight="15"/>
  <cols>
    <col min="1" max="1" width="3.140625" style="16" customWidth="1"/>
    <col min="2" max="2" width="14.28515625" style="16" customWidth="1"/>
    <col min="3" max="3" width="11.28515625" style="16" bestFit="1" customWidth="1"/>
    <col min="4" max="4" width="12.28515625" style="16" customWidth="1"/>
    <col min="5" max="5" width="16.28515625" style="16" customWidth="1"/>
    <col min="6" max="6" width="18.42578125" style="16" customWidth="1"/>
    <col min="7" max="7" width="10.85546875" style="16" customWidth="1"/>
    <col min="8" max="8" width="9.85546875" style="16" customWidth="1"/>
    <col min="9" max="9" width="16.7109375" style="16" customWidth="1"/>
    <col min="10" max="10" width="10.85546875" style="16"/>
    <col min="11" max="11" width="16.42578125" style="16" customWidth="1"/>
    <col min="12" max="16384" width="10.85546875" style="16"/>
  </cols>
  <sheetData>
    <row r="1" spans="2:11" ht="15.75" thickBot="1">
      <c r="C1" s="17"/>
      <c r="D1" s="17"/>
      <c r="E1" s="17"/>
      <c r="F1" s="17"/>
      <c r="G1" s="17"/>
      <c r="H1" s="17"/>
    </row>
    <row r="2" spans="2:11" ht="22.5" customHeight="1" thickTop="1">
      <c r="B2" s="10"/>
      <c r="C2" s="8" t="s">
        <v>204</v>
      </c>
      <c r="D2" s="8"/>
      <c r="E2" s="8"/>
      <c r="F2" s="8"/>
      <c r="G2" s="8"/>
      <c r="H2" s="8"/>
      <c r="I2" s="18" t="s">
        <v>205</v>
      </c>
      <c r="K2" s="46" t="s">
        <v>206</v>
      </c>
    </row>
    <row r="3" spans="2:11" ht="20.25" customHeight="1">
      <c r="B3" s="9"/>
      <c r="C3" s="7"/>
      <c r="D3" s="7"/>
      <c r="E3" s="7"/>
      <c r="F3" s="7"/>
      <c r="G3" s="7"/>
      <c r="H3" s="7"/>
      <c r="I3" s="19" t="s">
        <v>207</v>
      </c>
    </row>
    <row r="4" spans="2:11" ht="21" customHeight="1" thickBot="1">
      <c r="B4" s="6" t="s">
        <v>208</v>
      </c>
      <c r="C4" s="5"/>
      <c r="D4" s="5"/>
      <c r="E4" s="5"/>
      <c r="F4" s="5"/>
      <c r="G4" s="5"/>
      <c r="H4" s="5"/>
      <c r="I4" s="20" t="s">
        <v>209</v>
      </c>
    </row>
    <row r="5" spans="2:11" ht="16.5" thickTop="1" thickBot="1">
      <c r="B5" s="4"/>
      <c r="C5" s="4"/>
      <c r="D5" s="4"/>
      <c r="E5" s="4"/>
      <c r="F5" s="4"/>
      <c r="G5" s="4"/>
      <c r="H5" s="4"/>
      <c r="I5" s="4"/>
    </row>
    <row r="6" spans="2:11">
      <c r="B6" s="3" t="s">
        <v>210</v>
      </c>
      <c r="C6" s="2"/>
      <c r="D6" s="2"/>
      <c r="E6" s="2"/>
      <c r="F6" s="2"/>
      <c r="G6" s="2"/>
      <c r="H6" s="2"/>
      <c r="I6" s="1"/>
    </row>
    <row r="7" spans="2:11" ht="60">
      <c r="B7" s="22" t="s">
        <v>29</v>
      </c>
      <c r="C7" s="23" cm="1">
        <f t="array" ref="C7">_xlfn.XLOOKUP($H$9,Tabla1[[Nombre Unidad de Estudios]:[Nombre Unidad de Estudios]],Tabla1[Año],"",0)</f>
        <v>2026</v>
      </c>
      <c r="D7" s="24" t="s">
        <v>211</v>
      </c>
      <c r="E7" s="23" t="str" cm="1">
        <f t="array" ref="E7">_xlfn.XLOOKUP($H$9,Tabla1[[Nombre Unidad de Estudios]:[Nombre Unidad de Estudios]],Tabla1[Código Plan de Estudios],"",0)</f>
        <v>DTPGESBOG002</v>
      </c>
      <c r="F7" s="24" t="s">
        <v>212</v>
      </c>
      <c r="G7" s="23" t="str" cm="1">
        <f t="array" ref="G7">_xlfn.XLOOKUP($H$9,Tabla1[[Nombre Unidad de Estudios]:[Nombre Unidad de Estudios]],Tabla1[Código Unidad de Estudios],"",0)</f>
        <v>ADP01750</v>
      </c>
      <c r="H7" s="24" t="s">
        <v>213</v>
      </c>
      <c r="I7" s="35" t="str" cm="1">
        <f t="array" ref="I7">_xlfn.XLOOKUP($H$9,Tabla1[[Nombre Unidad de Estudios]:[Nombre Unidad de Estudios]],Tabla1[Tipo Unidad de Estudios],"",0)</f>
        <v>Requisito de Grado</v>
      </c>
    </row>
    <row r="8" spans="2:11" ht="30">
      <c r="B8" s="22" t="s">
        <v>33</v>
      </c>
      <c r="C8" s="25" t="s">
        <v>60</v>
      </c>
      <c r="D8" s="35" t="s">
        <v>214</v>
      </c>
      <c r="E8" s="25" t="s">
        <v>215</v>
      </c>
      <c r="F8" s="24"/>
      <c r="G8" s="24" t="s">
        <v>216</v>
      </c>
      <c r="H8" s="12"/>
      <c r="I8" s="11"/>
    </row>
    <row r="9" spans="2:11" ht="45">
      <c r="B9" s="26" t="s">
        <v>217</v>
      </c>
      <c r="C9" s="23" t="str" cm="1">
        <f t="array" ref="C9">_xlfn.XLOOKUP($H$9,Tabla1[[Nombre Unidad de Estudios]:[Nombre Unidad de Estudios]],Tabla1[Nivel],"",0)</f>
        <v>Doctorado</v>
      </c>
      <c r="D9" s="25" t="s">
        <v>218</v>
      </c>
      <c r="E9" s="78" t="str" cm="1">
        <f t="array" ref="E9">_xlfn.XLOOKUP($H$9,Tabla1[[Nombre Unidad de Estudios]:[Nombre Unidad de Estudios]],Tabla1[Programa],"",0)</f>
        <v>Doctorado En Gestión</v>
      </c>
      <c r="F9" s="78"/>
      <c r="G9" s="24" t="s">
        <v>219</v>
      </c>
      <c r="H9" s="78" t="s">
        <v>21</v>
      </c>
      <c r="I9" s="79"/>
    </row>
    <row r="10" spans="2:11" ht="30.75" thickBot="1">
      <c r="B10" s="27" t="s">
        <v>37</v>
      </c>
      <c r="C10" s="28" cm="1">
        <f t="array" ref="C10">_xlfn.XLOOKUP($H$9,Tabla1[[Nombre Unidad de Estudios]:[Nombre Unidad de Estudios]],Tabla1[Créditos Académicos],"",0)</f>
        <v>24</v>
      </c>
      <c r="D10" s="29" t="s">
        <v>220</v>
      </c>
      <c r="E10" s="28" cm="1">
        <f t="array" ref="E10">_xlfn.XLOOKUP($H$9,Tabla1[[Nombre Unidad de Estudios]:[Nombre Unidad de Estudios]],Tabla1[Horas de Acompañamiento Directo '[HAD']],"",0)</f>
        <v>288</v>
      </c>
      <c r="F10" s="29" t="s">
        <v>221</v>
      </c>
      <c r="G10" s="28" cm="1">
        <f t="array" ref="G10">_xlfn.XLOOKUP($H$9,Tabla1[[Nombre Unidad de Estudios]:[Nombre Unidad de Estudios]],Tabla1[Horas de Trabajo Autónomo '[HTA']],"",0)</f>
        <v>864</v>
      </c>
      <c r="H10" s="29" t="s">
        <v>222</v>
      </c>
      <c r="I10" s="30">
        <f>E10+G10</f>
        <v>1152</v>
      </c>
    </row>
    <row r="11" spans="2:11">
      <c r="B11" s="80" t="s">
        <v>223</v>
      </c>
      <c r="C11" s="81"/>
      <c r="D11" s="81"/>
      <c r="E11" s="81"/>
      <c r="F11" s="81"/>
      <c r="G11" s="81"/>
      <c r="H11" s="81"/>
      <c r="I11" s="82"/>
    </row>
    <row r="12" spans="2:11" ht="76.5" customHeight="1">
      <c r="B12" s="83" t="s">
        <v>224</v>
      </c>
      <c r="C12" s="84"/>
      <c r="D12" s="85" t="str" cm="1">
        <f t="array" ref="D12">_xlfn.XLOOKUP($H$9,Tabla1[[Nombre Unidad de Estudios]:[Nombre Unidad de Estudios]],Tabla1[Descripción de la Unidad de Estudios],"",0)</f>
        <v>El desarrollo de una tesis doctoral busca generar una contribución única y original en un campo específico del conocimiento, para lo cual es necesario que el doctorando aplique el método científico en el desarrollo de su proyecto de investigación.</v>
      </c>
      <c r="E12" s="86"/>
      <c r="F12" s="86"/>
      <c r="G12" s="86"/>
      <c r="H12" s="86"/>
      <c r="I12" s="87"/>
    </row>
    <row r="13" spans="2:11" ht="66" customHeight="1" thickBot="1">
      <c r="B13" s="88" t="s">
        <v>225</v>
      </c>
      <c r="C13" s="89"/>
      <c r="D13" s="90" t="str" cm="1">
        <f t="array" ref="D13">_xlfn.XLOOKUP($H$9,Tabla1[[Nombre Unidad de Estudios]:[Nombre Unidad de Estudios]],Tabla1[Resultado de Aprendizaje de la Unidad de Estudios],"",0)</f>
        <v>Desarrolla procesos de generación de conocimiento en áreas específicas de su experiencia, teniendo como base los conceptos fundamentales y la teoría de punta en un campo del conocimiento.</v>
      </c>
      <c r="E13" s="91"/>
      <c r="F13" s="91"/>
      <c r="G13" s="91"/>
      <c r="H13" s="91"/>
      <c r="I13" s="92"/>
    </row>
    <row r="14" spans="2:11">
      <c r="B14" s="80" t="s">
        <v>226</v>
      </c>
      <c r="C14" s="81"/>
      <c r="D14" s="81"/>
      <c r="E14" s="81"/>
      <c r="F14" s="81"/>
      <c r="G14" s="81"/>
      <c r="H14" s="81"/>
      <c r="I14" s="82"/>
    </row>
    <row r="15" spans="2:11">
      <c r="B15" s="93" t="s">
        <v>227</v>
      </c>
      <c r="C15" s="78"/>
      <c r="D15" s="78"/>
      <c r="E15" s="78"/>
      <c r="F15" s="78"/>
      <c r="G15" s="78"/>
      <c r="H15" s="78"/>
      <c r="I15" s="79"/>
    </row>
    <row r="16" spans="2:11">
      <c r="B16" s="93"/>
      <c r="C16" s="78"/>
      <c r="D16" s="78"/>
      <c r="E16" s="78"/>
      <c r="F16" s="78"/>
      <c r="G16" s="78"/>
      <c r="H16" s="78"/>
      <c r="I16" s="79"/>
    </row>
    <row r="17" spans="2:9" ht="15.75" thickBot="1">
      <c r="B17" s="94"/>
      <c r="C17" s="95"/>
      <c r="D17" s="95"/>
      <c r="E17" s="95"/>
      <c r="F17" s="95"/>
      <c r="G17" s="95"/>
      <c r="H17" s="95"/>
      <c r="I17" s="96"/>
    </row>
    <row r="18" spans="2:9" ht="15.75" thickBot="1">
      <c r="B18" s="97" t="s">
        <v>228</v>
      </c>
      <c r="C18" s="98"/>
      <c r="D18" s="98"/>
      <c r="E18" s="98"/>
      <c r="F18" s="98"/>
      <c r="G18" s="98"/>
      <c r="H18" s="98"/>
      <c r="I18" s="99"/>
    </row>
    <row r="19" spans="2:9">
      <c r="B19" s="21" t="s">
        <v>44</v>
      </c>
      <c r="C19" s="42" t="str" cm="1">
        <f t="array" ref="C19">_xlfn.XLOOKUP($H$9,Tabla1[[Nombre Unidad de Estudios]:[Nombre Unidad de Estudios]],Tabla1[Módulo],"",0)</f>
        <v>2 semestres</v>
      </c>
      <c r="D19" s="21" t="s">
        <v>229</v>
      </c>
      <c r="E19" s="100" t="s">
        <v>230</v>
      </c>
      <c r="F19" s="101"/>
      <c r="G19" s="31" t="s">
        <v>231</v>
      </c>
      <c r="H19" s="102" t="s">
        <v>232</v>
      </c>
      <c r="I19" s="103"/>
    </row>
    <row r="20" spans="2:9">
      <c r="B20" s="13" t="str" cm="1">
        <f t="array" ref="B20">_xlfn.XLOOKUP($H$9,Tabla1[[Nombre Unidad de Estudios]:[Nombre Unidad de Estudios]],Tabla1[Contenidos Unidad de Estudios],"",0)</f>
        <v>Diseño de la investigación.
Revisión de literatura.
Elaboración de instrumento de investigación.
Recopilación de información.
Análisis de información.
Escritura de tesis.
Sustentación de tesis doctoral.</v>
      </c>
      <c r="C20" s="55"/>
      <c r="D20" s="60"/>
      <c r="E20" s="61"/>
      <c r="F20" s="62"/>
      <c r="G20" s="69"/>
      <c r="H20" s="70"/>
      <c r="I20" s="71"/>
    </row>
    <row r="21" spans="2:9">
      <c r="B21" s="56"/>
      <c r="C21" s="57"/>
      <c r="D21" s="63"/>
      <c r="E21" s="64"/>
      <c r="F21" s="65"/>
      <c r="G21" s="72"/>
      <c r="H21" s="73"/>
      <c r="I21" s="74"/>
    </row>
    <row r="22" spans="2:9">
      <c r="B22" s="56"/>
      <c r="C22" s="57"/>
      <c r="D22" s="63"/>
      <c r="E22" s="64"/>
      <c r="F22" s="65"/>
      <c r="G22" s="72"/>
      <c r="H22" s="73"/>
      <c r="I22" s="74"/>
    </row>
    <row r="23" spans="2:9">
      <c r="B23" s="56"/>
      <c r="C23" s="57"/>
      <c r="D23" s="63"/>
      <c r="E23" s="64"/>
      <c r="F23" s="65"/>
      <c r="G23" s="72"/>
      <c r="H23" s="73"/>
      <c r="I23" s="74"/>
    </row>
    <row r="24" spans="2:9">
      <c r="B24" s="56"/>
      <c r="C24" s="57"/>
      <c r="D24" s="63"/>
      <c r="E24" s="64"/>
      <c r="F24" s="65"/>
      <c r="G24" s="72"/>
      <c r="H24" s="73"/>
      <c r="I24" s="74"/>
    </row>
    <row r="25" spans="2:9">
      <c r="B25" s="56"/>
      <c r="C25" s="57"/>
      <c r="D25" s="63"/>
      <c r="E25" s="64"/>
      <c r="F25" s="65"/>
      <c r="G25" s="72"/>
      <c r="H25" s="73"/>
      <c r="I25" s="74"/>
    </row>
    <row r="26" spans="2:9">
      <c r="B26" s="56"/>
      <c r="C26" s="57"/>
      <c r="D26" s="63"/>
      <c r="E26" s="64"/>
      <c r="F26" s="65"/>
      <c r="G26" s="72"/>
      <c r="H26" s="73"/>
      <c r="I26" s="74"/>
    </row>
    <row r="27" spans="2:9">
      <c r="B27" s="56"/>
      <c r="C27" s="57"/>
      <c r="D27" s="63"/>
      <c r="E27" s="64"/>
      <c r="F27" s="65"/>
      <c r="G27" s="72"/>
      <c r="H27" s="73"/>
      <c r="I27" s="74"/>
    </row>
    <row r="28" spans="2:9">
      <c r="B28" s="56"/>
      <c r="C28" s="57"/>
      <c r="D28" s="63"/>
      <c r="E28" s="64"/>
      <c r="F28" s="65"/>
      <c r="G28" s="72"/>
      <c r="H28" s="73"/>
      <c r="I28" s="74"/>
    </row>
    <row r="29" spans="2:9">
      <c r="B29" s="56"/>
      <c r="C29" s="57"/>
      <c r="D29" s="63"/>
      <c r="E29" s="64"/>
      <c r="F29" s="65"/>
      <c r="G29" s="72"/>
      <c r="H29" s="73"/>
      <c r="I29" s="74"/>
    </row>
    <row r="30" spans="2:9">
      <c r="B30" s="56"/>
      <c r="C30" s="57"/>
      <c r="D30" s="63"/>
      <c r="E30" s="64"/>
      <c r="F30" s="65"/>
      <c r="G30" s="72"/>
      <c r="H30" s="73"/>
      <c r="I30" s="74"/>
    </row>
    <row r="31" spans="2:9">
      <c r="B31" s="56"/>
      <c r="C31" s="57"/>
      <c r="D31" s="63"/>
      <c r="E31" s="64"/>
      <c r="F31" s="65"/>
      <c r="G31" s="72"/>
      <c r="H31" s="73"/>
      <c r="I31" s="74"/>
    </row>
    <row r="32" spans="2:9">
      <c r="B32" s="56"/>
      <c r="C32" s="57"/>
      <c r="D32" s="63"/>
      <c r="E32" s="64"/>
      <c r="F32" s="65"/>
      <c r="G32" s="72"/>
      <c r="H32" s="73"/>
      <c r="I32" s="74"/>
    </row>
    <row r="33" spans="2:9" ht="15.75" thickBot="1">
      <c r="B33" s="58"/>
      <c r="C33" s="59"/>
      <c r="D33" s="66"/>
      <c r="E33" s="67"/>
      <c r="F33" s="68"/>
      <c r="G33" s="75"/>
      <c r="H33" s="76"/>
      <c r="I33" s="77"/>
    </row>
    <row r="34" spans="2:9" ht="15.75" thickBot="1">
      <c r="B34" s="114" t="s">
        <v>233</v>
      </c>
      <c r="C34" s="115"/>
      <c r="D34" s="115"/>
      <c r="E34" s="115"/>
      <c r="F34" s="115"/>
      <c r="G34" s="115"/>
      <c r="H34" s="115"/>
      <c r="I34" s="116"/>
    </row>
    <row r="35" spans="2:9" ht="14.45" customHeight="1">
      <c r="B35" s="126" t="s">
        <v>234</v>
      </c>
      <c r="C35" s="127"/>
      <c r="D35" s="127"/>
      <c r="E35" s="127"/>
      <c r="F35" s="127"/>
      <c r="G35" s="127"/>
      <c r="H35" s="127"/>
      <c r="I35" s="128"/>
    </row>
    <row r="36" spans="2:9">
      <c r="B36" s="129"/>
      <c r="C36" s="130"/>
      <c r="D36" s="130"/>
      <c r="E36" s="130"/>
      <c r="F36" s="130"/>
      <c r="G36" s="130"/>
      <c r="H36" s="130"/>
      <c r="I36" s="131"/>
    </row>
    <row r="37" spans="2:9">
      <c r="B37" s="132" t="str" cm="1">
        <f t="array" ref="B37">_xlfn.XLOOKUP($H$9,Tabla1[[Nombre Unidad de Estudios]:[Nombre Unidad de Estudios]],Tabla1[Esquema de Calificación],"",0)</f>
        <v>100% Presentación y sustentación de la tesis doctoral.</v>
      </c>
      <c r="C37" s="133"/>
      <c r="D37" s="133"/>
      <c r="E37" s="133"/>
      <c r="F37" s="133"/>
      <c r="G37" s="133"/>
      <c r="H37" s="133"/>
      <c r="I37" s="134"/>
    </row>
    <row r="38" spans="2:9">
      <c r="B38" s="132"/>
      <c r="C38" s="133"/>
      <c r="D38" s="133"/>
      <c r="E38" s="133"/>
      <c r="F38" s="133"/>
      <c r="G38" s="133"/>
      <c r="H38" s="133"/>
      <c r="I38" s="134"/>
    </row>
    <row r="39" spans="2:9" ht="15.75" thickBot="1">
      <c r="B39" s="135"/>
      <c r="C39" s="136"/>
      <c r="D39" s="136"/>
      <c r="E39" s="136"/>
      <c r="F39" s="136"/>
      <c r="G39" s="136"/>
      <c r="H39" s="136"/>
      <c r="I39" s="137"/>
    </row>
    <row r="40" spans="2:9" ht="34.5" customHeight="1" thickBot="1">
      <c r="B40" s="117" t="s">
        <v>235</v>
      </c>
      <c r="C40" s="118"/>
      <c r="D40" s="118"/>
      <c r="E40" s="119"/>
      <c r="F40" s="120" t="str" cm="1">
        <f t="array" ref="F40">_xlfn.XLOOKUP($H$9,Tabla1[[Nombre Unidad de Estudios]:[Nombre Unidad de Estudios]],Tabla1[Recursos Tecnológicos],"",0)</f>
        <v>Base de datos; Material bibliográfico; Plataforma virtual</v>
      </c>
      <c r="G40" s="121"/>
      <c r="H40" s="121"/>
      <c r="I40" s="122"/>
    </row>
    <row r="41" spans="2:9" ht="15.75" thickBot="1">
      <c r="B41" s="123" t="s">
        <v>236</v>
      </c>
      <c r="C41" s="124"/>
      <c r="D41" s="124"/>
      <c r="E41" s="124"/>
      <c r="F41" s="125" t="str" cm="1">
        <f t="array" ref="F41">_xlfn.XLOOKUP($H$9,Tabla1[[Nombre Unidad de Estudios]:[Nombre Unidad de Estudios]],Tabla1[Componente de Lengua Extranjera '[Idioma']],"",0)</f>
        <v>Inglés</v>
      </c>
      <c r="G41" s="125"/>
      <c r="H41" s="32" t="s">
        <v>237</v>
      </c>
      <c r="I41" s="36" cm="1">
        <f t="array" ref="I41">_xlfn.XLOOKUP($H$9,Tabla1[[Nombre Unidad de Estudios]:[Nombre Unidad de Estudios]],Tabla1[Componente de Lengua Extranjera '[%']],"",0)</f>
        <v>0.5</v>
      </c>
    </row>
    <row r="42" spans="2:9">
      <c r="B42" s="80" t="s">
        <v>238</v>
      </c>
      <c r="C42" s="81"/>
      <c r="D42" s="81"/>
      <c r="E42" s="81"/>
      <c r="F42" s="81"/>
      <c r="G42" s="81"/>
      <c r="H42" s="81"/>
      <c r="I42" s="82"/>
    </row>
    <row r="43" spans="2:9" ht="14.45" customHeight="1">
      <c r="B43" s="138" t="s">
        <v>49</v>
      </c>
      <c r="C43" s="139"/>
      <c r="D43" s="139"/>
      <c r="E43" s="140"/>
      <c r="F43" s="138" t="s">
        <v>239</v>
      </c>
      <c r="G43" s="139"/>
      <c r="H43" s="139"/>
      <c r="I43" s="140"/>
    </row>
    <row r="44" spans="2:9">
      <c r="B44" s="108" t="str" cm="1">
        <f t="array" ref="B44">_xlfn.XLOOKUP($H$9,Tabla1[[Nombre Unidad de Estudios]:[Nombre Unidad de Estudios]],Tabla1[Bibliografía Obligatoria],"",0)</f>
        <v>Bell, C. y French, W. (1995). Desarrollo Organizacional. Prentice-Hall Hispanoamericana.
Bernal Torres, C. A. (2000). Metodología de la Investigación para Administración y Economía. Pearson.
Bejarano A., J. A. (1996). Sobre la Investigación y la Consultoría Económica: Fragmentos de un Proyecto. Innovar, (8).</v>
      </c>
      <c r="C44" s="109"/>
      <c r="D44" s="109"/>
      <c r="E44" s="110"/>
      <c r="F44" s="108" t="str" cm="1">
        <f t="array" ref="F44">_xlfn.XLOOKUP($H$9,Tabla1[[Nombre Unidad de Estudios]:[Nombre Unidad de Estudios]],Tabla1[Bibliografia Complementaria],"",0)</f>
        <v>Jordan, P. J. y Troth, A. C. (2020). Common method bias in applied settings. Australian Journal of Management, 45(1), 3-14. https://doi.org/10.1177/0312896219871976
Kuhn, T. S. (2005). La estructura de las revoluciones científicas. Fondo de Cultura Económica.
Lakatos, I. (1993). La metodología de los Programas de investigación científica. Alianza.</v>
      </c>
      <c r="G44" s="109"/>
      <c r="H44" s="109"/>
      <c r="I44" s="110"/>
    </row>
    <row r="45" spans="2:9">
      <c r="B45" s="108"/>
      <c r="C45" s="109"/>
      <c r="D45" s="109"/>
      <c r="E45" s="110"/>
      <c r="F45" s="108"/>
      <c r="G45" s="109"/>
      <c r="H45" s="109"/>
      <c r="I45" s="110"/>
    </row>
    <row r="46" spans="2:9">
      <c r="B46" s="108"/>
      <c r="C46" s="109"/>
      <c r="D46" s="109"/>
      <c r="E46" s="110"/>
      <c r="F46" s="108"/>
      <c r="G46" s="109"/>
      <c r="H46" s="109"/>
      <c r="I46" s="110"/>
    </row>
    <row r="47" spans="2:9">
      <c r="B47" s="108"/>
      <c r="C47" s="109"/>
      <c r="D47" s="109"/>
      <c r="E47" s="110"/>
      <c r="F47" s="108"/>
      <c r="G47" s="109"/>
      <c r="H47" s="109"/>
      <c r="I47" s="110"/>
    </row>
    <row r="48" spans="2:9">
      <c r="B48" s="108"/>
      <c r="C48" s="109"/>
      <c r="D48" s="109"/>
      <c r="E48" s="110"/>
      <c r="F48" s="108"/>
      <c r="G48" s="109"/>
      <c r="H48" s="109"/>
      <c r="I48" s="110"/>
    </row>
    <row r="49" spans="2:9">
      <c r="B49" s="108"/>
      <c r="C49" s="109"/>
      <c r="D49" s="109"/>
      <c r="E49" s="110"/>
      <c r="F49" s="108"/>
      <c r="G49" s="109"/>
      <c r="H49" s="109"/>
      <c r="I49" s="110"/>
    </row>
    <row r="50" spans="2:9">
      <c r="B50" s="108"/>
      <c r="C50" s="109"/>
      <c r="D50" s="109"/>
      <c r="E50" s="110"/>
      <c r="F50" s="108"/>
      <c r="G50" s="109"/>
      <c r="H50" s="109"/>
      <c r="I50" s="110"/>
    </row>
    <row r="51" spans="2:9">
      <c r="B51" s="108"/>
      <c r="C51" s="109"/>
      <c r="D51" s="109"/>
      <c r="E51" s="110"/>
      <c r="F51" s="108"/>
      <c r="G51" s="109"/>
      <c r="H51" s="109"/>
      <c r="I51" s="110"/>
    </row>
    <row r="52" spans="2:9">
      <c r="B52" s="108"/>
      <c r="C52" s="109"/>
      <c r="D52" s="109"/>
      <c r="E52" s="110"/>
      <c r="F52" s="108"/>
      <c r="G52" s="109"/>
      <c r="H52" s="109"/>
      <c r="I52" s="110"/>
    </row>
    <row r="53" spans="2:9" ht="15.75" thickBot="1">
      <c r="B53" s="111"/>
      <c r="C53" s="112"/>
      <c r="D53" s="112"/>
      <c r="E53" s="113"/>
      <c r="F53" s="111"/>
      <c r="G53" s="112"/>
      <c r="H53" s="112"/>
      <c r="I53" s="113"/>
    </row>
    <row r="54" spans="2:9">
      <c r="B54" s="80" t="s">
        <v>240</v>
      </c>
      <c r="C54" s="81"/>
      <c r="D54" s="81"/>
      <c r="E54" s="81"/>
      <c r="F54" s="81"/>
      <c r="G54" s="81"/>
      <c r="H54" s="81"/>
      <c r="I54" s="82"/>
    </row>
    <row r="55" spans="2:9">
      <c r="B55" s="33" t="s">
        <v>51</v>
      </c>
      <c r="C55" s="34" t="s">
        <v>52</v>
      </c>
      <c r="D55" s="34" t="s">
        <v>53</v>
      </c>
      <c r="E55" s="34" t="s">
        <v>54</v>
      </c>
      <c r="F55" s="34" t="s">
        <v>55</v>
      </c>
      <c r="G55" s="104" t="s">
        <v>56</v>
      </c>
      <c r="H55" s="104"/>
      <c r="I55" s="105"/>
    </row>
    <row r="56" spans="2:9">
      <c r="B56" s="38" cm="1">
        <f t="array" ref="B56">_xlfn.XLOOKUP($H$9,Tabla1[[Nombre Unidad de Estudios]:[Nombre Unidad de Estudios]],Tabla1['# versión],"",0)</f>
        <v>1</v>
      </c>
      <c r="C56" s="41" cm="1">
        <f t="array" ref="C56">_xlfn.XLOOKUP($H$9,Tabla1[[Nombre Unidad de Estudios]:[Nombre Unidad de Estudios]],Tabla1[Fecha],"",0)</f>
        <v>46083</v>
      </c>
      <c r="D56" s="35" t="str" cm="1">
        <f t="array" ref="D56">_xlfn.XLOOKUP($H$9,Tabla1[[Nombre Unidad de Estudios]:[Nombre Unidad de Estudios]],Tabla1[Elaboró],"",0)</f>
        <v>Omar Patiño</v>
      </c>
      <c r="E56" s="35" t="str" cm="1">
        <f t="array" ref="E56">_xlfn.XLOOKUP($H$9,Tabla1[[Nombre Unidad de Estudios]:[Nombre Unidad de Estudios]],Tabla1[Revisó],"",0)</f>
        <v>Juan Carlos Rentería</v>
      </c>
      <c r="F56" s="35" t="str" cm="1">
        <f t="array" ref="F56">_xlfn.XLOOKUP($H$9,Tabla1[[Nombre Unidad de Estudios]:[Nombre Unidad de Estudios]],Tabla1[Aprobó],"",0)</f>
        <v>Comité Curricular</v>
      </c>
      <c r="G56" s="106" t="str" cm="1">
        <f t="array" ref="G56">_xlfn.XLOOKUP($H$9,Tabla1[[Nombre Unidad de Estudios]:[Nombre Unidad de Estudios]],Tabla1[Descripción del cambio],"",0)</f>
        <v>Creación syllabus en nuevo formato</v>
      </c>
      <c r="H56" s="106"/>
      <c r="I56" s="107"/>
    </row>
    <row r="57" spans="2:9">
      <c r="B57" s="38"/>
      <c r="C57" s="35"/>
      <c r="D57" s="35"/>
      <c r="E57" s="35"/>
      <c r="F57" s="35"/>
      <c r="G57" s="106"/>
      <c r="H57" s="106"/>
      <c r="I57" s="107"/>
    </row>
    <row r="58" spans="2:9">
      <c r="B58" s="38"/>
      <c r="C58" s="35"/>
      <c r="D58" s="35"/>
      <c r="E58" s="35"/>
      <c r="F58" s="35"/>
      <c r="G58" s="106"/>
      <c r="H58" s="106"/>
      <c r="I58" s="107"/>
    </row>
    <row r="59" spans="2:9">
      <c r="B59" s="38"/>
      <c r="C59" s="35"/>
      <c r="D59" s="35"/>
      <c r="E59" s="35"/>
      <c r="F59" s="35"/>
      <c r="G59" s="106"/>
      <c r="H59" s="106"/>
      <c r="I59" s="107"/>
    </row>
    <row r="60" spans="2:9">
      <c r="B60" s="38"/>
      <c r="C60" s="35"/>
      <c r="D60" s="35"/>
      <c r="E60" s="35"/>
      <c r="F60" s="35"/>
      <c r="G60" s="106"/>
      <c r="H60" s="106"/>
      <c r="I60" s="107"/>
    </row>
    <row r="61" spans="2:9" ht="15.75" thickBot="1">
      <c r="B61" s="39"/>
      <c r="C61" s="40"/>
      <c r="D61" s="40"/>
      <c r="E61" s="40"/>
      <c r="F61" s="40"/>
      <c r="G61" s="141"/>
      <c r="H61" s="141"/>
      <c r="I61" s="142"/>
    </row>
  </sheetData>
  <mergeCells count="41">
    <mergeCell ref="G57:I57"/>
    <mergeCell ref="G58:I58"/>
    <mergeCell ref="G59:I59"/>
    <mergeCell ref="G60:I60"/>
    <mergeCell ref="G61:I61"/>
    <mergeCell ref="B54:I54"/>
    <mergeCell ref="G55:I55"/>
    <mergeCell ref="G56:I56"/>
    <mergeCell ref="F44:I53"/>
    <mergeCell ref="B34:I34"/>
    <mergeCell ref="B40:E40"/>
    <mergeCell ref="F40:I40"/>
    <mergeCell ref="B41:E41"/>
    <mergeCell ref="F41:G41"/>
    <mergeCell ref="B35:I36"/>
    <mergeCell ref="B37:I39"/>
    <mergeCell ref="B43:E43"/>
    <mergeCell ref="B44:E53"/>
    <mergeCell ref="F43:I43"/>
    <mergeCell ref="B42:I42"/>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K2" display="Menu principal" xr:uid="{00000000-0004-0000-0200-000000000000}"/>
  </hyperlinks>
  <pageMargins left="0.25" right="0.25" top="0.75" bottom="0.75" header="0.3" footer="0.3"/>
  <pageSetup paperSize="9" scale="72"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Tabla!$H$2:$H$22</xm:f>
          </x14:formula1>
          <xm:sqref>H9:I9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486D4-4DBC-4AF7-8223-95D765D673C1}">
  <sheetPr>
    <pageSetUpPr fitToPage="1"/>
  </sheetPr>
  <dimension ref="B1:K61"/>
  <sheetViews>
    <sheetView topLeftCell="A12" workbookViewId="0">
      <selection activeCell="B20" sqref="B20:C33"/>
    </sheetView>
  </sheetViews>
  <sheetFormatPr defaultColWidth="10.85546875" defaultRowHeight="15"/>
  <cols>
    <col min="1" max="1" width="3.140625" style="16" customWidth="1"/>
    <col min="2" max="2" width="14.28515625" style="16" customWidth="1"/>
    <col min="3" max="3" width="11.28515625" style="16" bestFit="1" customWidth="1"/>
    <col min="4" max="4" width="12.28515625" style="16" customWidth="1"/>
    <col min="5" max="5" width="16.28515625" style="16" customWidth="1"/>
    <col min="6" max="6" width="18.42578125" style="16" customWidth="1"/>
    <col min="7" max="7" width="10.85546875" style="16" customWidth="1"/>
    <col min="8" max="8" width="9.85546875" style="16" customWidth="1"/>
    <col min="9" max="9" width="16.7109375" style="16" customWidth="1"/>
    <col min="10" max="10" width="10.85546875" style="16"/>
    <col min="11" max="11" width="16.42578125" style="16" customWidth="1"/>
    <col min="12" max="16384" width="10.85546875" style="16"/>
  </cols>
  <sheetData>
    <row r="1" spans="2:11" ht="15.75" thickBot="1">
      <c r="C1" s="17"/>
      <c r="D1" s="17"/>
      <c r="E1" s="17"/>
      <c r="F1" s="17"/>
      <c r="G1" s="17"/>
      <c r="H1" s="17"/>
    </row>
    <row r="2" spans="2:11" ht="22.5" customHeight="1" thickTop="1">
      <c r="B2" s="10"/>
      <c r="C2" s="8" t="s">
        <v>204</v>
      </c>
      <c r="D2" s="8"/>
      <c r="E2" s="8"/>
      <c r="F2" s="8"/>
      <c r="G2" s="8"/>
      <c r="H2" s="8"/>
      <c r="I2" s="18" t="s">
        <v>205</v>
      </c>
      <c r="K2" s="46" t="s">
        <v>206</v>
      </c>
    </row>
    <row r="3" spans="2:11" ht="20.25" customHeight="1">
      <c r="B3" s="9"/>
      <c r="C3" s="7"/>
      <c r="D3" s="7"/>
      <c r="E3" s="7"/>
      <c r="F3" s="7"/>
      <c r="G3" s="7"/>
      <c r="H3" s="7"/>
      <c r="I3" s="19" t="s">
        <v>207</v>
      </c>
    </row>
    <row r="4" spans="2:11" ht="21" customHeight="1" thickBot="1">
      <c r="B4" s="6" t="s">
        <v>208</v>
      </c>
      <c r="C4" s="5"/>
      <c r="D4" s="5"/>
      <c r="E4" s="5"/>
      <c r="F4" s="5"/>
      <c r="G4" s="5"/>
      <c r="H4" s="5"/>
      <c r="I4" s="20" t="s">
        <v>209</v>
      </c>
    </row>
    <row r="5" spans="2:11" ht="16.5" thickTop="1" thickBot="1">
      <c r="B5" s="4"/>
      <c r="C5" s="4"/>
      <c r="D5" s="4"/>
      <c r="E5" s="4"/>
      <c r="F5" s="4"/>
      <c r="G5" s="4"/>
      <c r="H5" s="4"/>
      <c r="I5" s="4"/>
    </row>
    <row r="6" spans="2:11">
      <c r="B6" s="3" t="s">
        <v>210</v>
      </c>
      <c r="C6" s="2"/>
      <c r="D6" s="2"/>
      <c r="E6" s="2"/>
      <c r="F6" s="2"/>
      <c r="G6" s="2"/>
      <c r="H6" s="2"/>
      <c r="I6" s="1"/>
    </row>
    <row r="7" spans="2:11" ht="60">
      <c r="B7" s="22" t="s">
        <v>29</v>
      </c>
      <c r="C7" s="23" cm="1">
        <f t="array" ref="C7">_xlfn.XLOOKUP($H$9,Tabla1[[Nombre Unidad de Estudios]:[Nombre Unidad de Estudios]],Tabla1[Año],"",0)</f>
        <v>2026</v>
      </c>
      <c r="D7" s="24" t="s">
        <v>211</v>
      </c>
      <c r="E7" s="23" t="str" cm="1">
        <f t="array" ref="E7">_xlfn.XLOOKUP($H$9,Tabla1[[Nombre Unidad de Estudios]:[Nombre Unidad de Estudios]],Tabla1[Código Plan de Estudios],"",0)</f>
        <v>DTPGESBOG002</v>
      </c>
      <c r="F7" s="24" t="s">
        <v>212</v>
      </c>
      <c r="G7" s="23" t="str" cm="1">
        <f t="array" ref="G7">_xlfn.XLOOKUP($H$9,Tabla1[[Nombre Unidad de Estudios]:[Nombre Unidad de Estudios]],Tabla1[Código Unidad de Estudios],"",0)</f>
        <v>FDPO0002</v>
      </c>
      <c r="H7" s="24" t="s">
        <v>213</v>
      </c>
      <c r="I7" s="23" t="str" cm="1">
        <f t="array" ref="I7">_xlfn.XLOOKUP($H$9,Tabla1[[Nombre Unidad de Estudios]:[Nombre Unidad de Estudios]],Tabla1[Tipo Unidad de Estudios],"",0)</f>
        <v>Transversal</v>
      </c>
    </row>
    <row r="8" spans="2:11" ht="30">
      <c r="B8" s="22" t="s">
        <v>33</v>
      </c>
      <c r="C8" s="25" t="s">
        <v>60</v>
      </c>
      <c r="D8" s="35" t="s">
        <v>214</v>
      </c>
      <c r="E8" s="25" t="s">
        <v>215</v>
      </c>
      <c r="F8" s="24"/>
      <c r="G8" s="24" t="s">
        <v>216</v>
      </c>
      <c r="H8" s="12"/>
      <c r="I8" s="11"/>
    </row>
    <row r="9" spans="2:11" ht="45">
      <c r="B9" s="26" t="s">
        <v>217</v>
      </c>
      <c r="C9" s="23" t="str" cm="1">
        <f t="array" ref="C9">_xlfn.XLOOKUP($H$9,Tabla1[[Nombre Unidad de Estudios]:[Nombre Unidad de Estudios]],Tabla1[Nivel],"",0)</f>
        <v>Doctorado</v>
      </c>
      <c r="D9" s="25" t="s">
        <v>218</v>
      </c>
      <c r="E9" s="78" t="str" cm="1">
        <f t="array" ref="E9">_xlfn.XLOOKUP($H$9,Tabla1[[Nombre Unidad de Estudios]:[Nombre Unidad de Estudios]],Tabla1[Programa],"",0)</f>
        <v>Doctorado En Gestión</v>
      </c>
      <c r="F9" s="78"/>
      <c r="G9" s="24" t="s">
        <v>219</v>
      </c>
      <c r="H9" s="78" t="s">
        <v>16</v>
      </c>
      <c r="I9" s="79"/>
    </row>
    <row r="10" spans="2:11" ht="30.75" thickBot="1">
      <c r="B10" s="27" t="s">
        <v>37</v>
      </c>
      <c r="C10" s="28" cm="1">
        <f t="array" ref="C10">_xlfn.XLOOKUP($H$9,Tabla1[[Nombre Unidad de Estudios]:[Nombre Unidad de Estudios]],Tabla1[Créditos Académicos],"",0)</f>
        <v>2</v>
      </c>
      <c r="D10" s="29" t="s">
        <v>220</v>
      </c>
      <c r="E10" s="28" cm="1">
        <f t="array" ref="E10">_xlfn.XLOOKUP($H$9,Tabla1[[Nombre Unidad de Estudios]:[Nombre Unidad de Estudios]],Tabla1[Horas de Acompañamiento Directo '[HAD']],"",0)</f>
        <v>24</v>
      </c>
      <c r="F10" s="29" t="s">
        <v>221</v>
      </c>
      <c r="G10" s="28" cm="1">
        <f t="array" ref="G10">_xlfn.XLOOKUP($H$9,Tabla1[[Nombre Unidad de Estudios]:[Nombre Unidad de Estudios]],Tabla1[Horas de Trabajo Autónomo '[HTA']],"",0)</f>
        <v>72</v>
      </c>
      <c r="H10" s="29" t="s">
        <v>222</v>
      </c>
      <c r="I10" s="30">
        <f>E10+G10</f>
        <v>96</v>
      </c>
    </row>
    <row r="11" spans="2:11">
      <c r="B11" s="80" t="s">
        <v>223</v>
      </c>
      <c r="C11" s="81"/>
      <c r="D11" s="81"/>
      <c r="E11" s="81"/>
      <c r="F11" s="81"/>
      <c r="G11" s="81"/>
      <c r="H11" s="81"/>
      <c r="I11" s="82"/>
    </row>
    <row r="12" spans="2:11" ht="76.5" customHeight="1">
      <c r="B12" s="83" t="s">
        <v>224</v>
      </c>
      <c r="C12" s="84"/>
      <c r="D12" s="85" t="str" cm="1">
        <f t="array" ref="D12">_xlfn.XLOOKUP($H$9,Tabla1[[Nombre Unidad de Estudios]:[Nombre Unidad de Estudios]],Tabla1[Descripción de la Unidad de Estudios],"",0)</f>
        <v>El emprendimiento, entendido como la acción que lleva a la creación de empresas, se ha consolidado como estrategia de desarrollo social y económico. Esta unidad busca desarrollar técnicas y estrategias de innovación ante problemáticas de sostenibilidad.</v>
      </c>
      <c r="E12" s="86"/>
      <c r="F12" s="86"/>
      <c r="G12" s="86"/>
      <c r="H12" s="86"/>
      <c r="I12" s="87"/>
    </row>
    <row r="13" spans="2:11" ht="66" customHeight="1" thickBot="1">
      <c r="B13" s="88" t="s">
        <v>225</v>
      </c>
      <c r="C13" s="89"/>
      <c r="D13" s="90" t="str" cm="1">
        <f t="array" ref="D13">_xlfn.XLOOKUP($H$9,Tabla1[[Nombre Unidad de Estudios]:[Nombre Unidad de Estudios]],Tabla1[Resultado de Aprendizaje de la Unidad de Estudios],"",0)</f>
        <v>Desarrolla técnicas y estrategias de innovación ante problemáticas de generación y sostenibilidad de los recursos a partir del uso de metodologías de preservación y emprendimiento social para transformar organizaciones y territorios.</v>
      </c>
      <c r="E13" s="91"/>
      <c r="F13" s="91"/>
      <c r="G13" s="91"/>
      <c r="H13" s="91"/>
      <c r="I13" s="92"/>
    </row>
    <row r="14" spans="2:11">
      <c r="B14" s="80" t="s">
        <v>226</v>
      </c>
      <c r="C14" s="81"/>
      <c r="D14" s="81"/>
      <c r="E14" s="81"/>
      <c r="F14" s="81"/>
      <c r="G14" s="81"/>
      <c r="H14" s="81"/>
      <c r="I14" s="82"/>
    </row>
    <row r="15" spans="2:11">
      <c r="B15" s="93" t="s">
        <v>227</v>
      </c>
      <c r="C15" s="78"/>
      <c r="D15" s="78"/>
      <c r="E15" s="78"/>
      <c r="F15" s="78"/>
      <c r="G15" s="78"/>
      <c r="H15" s="78"/>
      <c r="I15" s="79"/>
    </row>
    <row r="16" spans="2:11">
      <c r="B16" s="93"/>
      <c r="C16" s="78"/>
      <c r="D16" s="78"/>
      <c r="E16" s="78"/>
      <c r="F16" s="78"/>
      <c r="G16" s="78"/>
      <c r="H16" s="78"/>
      <c r="I16" s="79"/>
    </row>
    <row r="17" spans="2:9" ht="15.75" thickBot="1">
      <c r="B17" s="94"/>
      <c r="C17" s="95"/>
      <c r="D17" s="95"/>
      <c r="E17" s="95"/>
      <c r="F17" s="95"/>
      <c r="G17" s="95"/>
      <c r="H17" s="95"/>
      <c r="I17" s="96"/>
    </row>
    <row r="18" spans="2:9" ht="15.75" thickBot="1">
      <c r="B18" s="97" t="s">
        <v>228</v>
      </c>
      <c r="C18" s="98"/>
      <c r="D18" s="98"/>
      <c r="E18" s="98"/>
      <c r="F18" s="98"/>
      <c r="G18" s="98"/>
      <c r="H18" s="98"/>
      <c r="I18" s="99"/>
    </row>
    <row r="19" spans="2:9">
      <c r="B19" s="21" t="s">
        <v>44</v>
      </c>
      <c r="C19" s="43" t="str" cm="1">
        <f t="array" ref="C19">_xlfn.XLOOKUP($H$9,Tabla1[[Nombre Unidad de Estudios]:[Nombre Unidad de Estudios]],Tabla1[Módulo],"",0)</f>
        <v>4 semanas</v>
      </c>
      <c r="D19" s="21" t="s">
        <v>229</v>
      </c>
      <c r="E19" s="143" t="s">
        <v>230</v>
      </c>
      <c r="F19" s="144"/>
      <c r="G19" s="31" t="s">
        <v>231</v>
      </c>
      <c r="H19" s="145" t="s">
        <v>232</v>
      </c>
      <c r="I19" s="146"/>
    </row>
    <row r="20" spans="2:9">
      <c r="B20" s="13" t="str" cm="1">
        <f t="array" ref="B20">_xlfn.XLOOKUP($H$9,Tabla1[[Nombre Unidad de Estudios]:[Nombre Unidad de Estudios]],Tabla1[Contenidos Unidad de Estudios],"",0)</f>
        <v>Aproximaciones teóricas generales al estudio del emprendimiento.
Teorías relevantes.
Estudios conceptuales sobre la incidencia del entorno en el surgimiento de nuevas empresas.
Investigaciones empíricas sobre el entorno y la actividad emprendedora.
La investigación en emprendimiento y perspectiva.</v>
      </c>
      <c r="C20" s="55"/>
      <c r="D20" s="60"/>
      <c r="E20" s="61"/>
      <c r="F20" s="62"/>
      <c r="G20" s="69"/>
      <c r="H20" s="70"/>
      <c r="I20" s="71"/>
    </row>
    <row r="21" spans="2:9">
      <c r="B21" s="56"/>
      <c r="C21" s="57"/>
      <c r="D21" s="63"/>
      <c r="E21" s="64"/>
      <c r="F21" s="65"/>
      <c r="G21" s="72"/>
      <c r="H21" s="73"/>
      <c r="I21" s="74"/>
    </row>
    <row r="22" spans="2:9">
      <c r="B22" s="56"/>
      <c r="C22" s="57"/>
      <c r="D22" s="63"/>
      <c r="E22" s="64"/>
      <c r="F22" s="65"/>
      <c r="G22" s="72"/>
      <c r="H22" s="73"/>
      <c r="I22" s="74"/>
    </row>
    <row r="23" spans="2:9">
      <c r="B23" s="56"/>
      <c r="C23" s="57"/>
      <c r="D23" s="63"/>
      <c r="E23" s="64"/>
      <c r="F23" s="65"/>
      <c r="G23" s="72"/>
      <c r="H23" s="73"/>
      <c r="I23" s="74"/>
    </row>
    <row r="24" spans="2:9">
      <c r="B24" s="56"/>
      <c r="C24" s="57"/>
      <c r="D24" s="63"/>
      <c r="E24" s="64"/>
      <c r="F24" s="65"/>
      <c r="G24" s="72"/>
      <c r="H24" s="73"/>
      <c r="I24" s="74"/>
    </row>
    <row r="25" spans="2:9">
      <c r="B25" s="56"/>
      <c r="C25" s="57"/>
      <c r="D25" s="63"/>
      <c r="E25" s="64"/>
      <c r="F25" s="65"/>
      <c r="G25" s="72"/>
      <c r="H25" s="73"/>
      <c r="I25" s="74"/>
    </row>
    <row r="26" spans="2:9">
      <c r="B26" s="56"/>
      <c r="C26" s="57"/>
      <c r="D26" s="63"/>
      <c r="E26" s="64"/>
      <c r="F26" s="65"/>
      <c r="G26" s="72"/>
      <c r="H26" s="73"/>
      <c r="I26" s="74"/>
    </row>
    <row r="27" spans="2:9">
      <c r="B27" s="56"/>
      <c r="C27" s="57"/>
      <c r="D27" s="63"/>
      <c r="E27" s="64"/>
      <c r="F27" s="65"/>
      <c r="G27" s="72"/>
      <c r="H27" s="73"/>
      <c r="I27" s="74"/>
    </row>
    <row r="28" spans="2:9">
      <c r="B28" s="56"/>
      <c r="C28" s="57"/>
      <c r="D28" s="63"/>
      <c r="E28" s="64"/>
      <c r="F28" s="65"/>
      <c r="G28" s="72"/>
      <c r="H28" s="73"/>
      <c r="I28" s="74"/>
    </row>
    <row r="29" spans="2:9">
      <c r="B29" s="56"/>
      <c r="C29" s="57"/>
      <c r="D29" s="63"/>
      <c r="E29" s="64"/>
      <c r="F29" s="65"/>
      <c r="G29" s="72"/>
      <c r="H29" s="73"/>
      <c r="I29" s="74"/>
    </row>
    <row r="30" spans="2:9">
      <c r="B30" s="56"/>
      <c r="C30" s="57"/>
      <c r="D30" s="63"/>
      <c r="E30" s="64"/>
      <c r="F30" s="65"/>
      <c r="G30" s="72"/>
      <c r="H30" s="73"/>
      <c r="I30" s="74"/>
    </row>
    <row r="31" spans="2:9">
      <c r="B31" s="56"/>
      <c r="C31" s="57"/>
      <c r="D31" s="63"/>
      <c r="E31" s="64"/>
      <c r="F31" s="65"/>
      <c r="G31" s="72"/>
      <c r="H31" s="73"/>
      <c r="I31" s="74"/>
    </row>
    <row r="32" spans="2:9">
      <c r="B32" s="56"/>
      <c r="C32" s="57"/>
      <c r="D32" s="63"/>
      <c r="E32" s="64"/>
      <c r="F32" s="65"/>
      <c r="G32" s="72"/>
      <c r="H32" s="73"/>
      <c r="I32" s="74"/>
    </row>
    <row r="33" spans="2:9" ht="15.75" thickBot="1">
      <c r="B33" s="58"/>
      <c r="C33" s="59"/>
      <c r="D33" s="66"/>
      <c r="E33" s="67"/>
      <c r="F33" s="68"/>
      <c r="G33" s="75"/>
      <c r="H33" s="76"/>
      <c r="I33" s="77"/>
    </row>
    <row r="34" spans="2:9" ht="15.75" thickBot="1">
      <c r="B34" s="114" t="s">
        <v>233</v>
      </c>
      <c r="C34" s="115"/>
      <c r="D34" s="115"/>
      <c r="E34" s="115"/>
      <c r="F34" s="115"/>
      <c r="G34" s="115"/>
      <c r="H34" s="115"/>
      <c r="I34" s="116"/>
    </row>
    <row r="35" spans="2:9" ht="14.45" customHeight="1">
      <c r="B35" s="126" t="s">
        <v>234</v>
      </c>
      <c r="C35" s="127"/>
      <c r="D35" s="127"/>
      <c r="E35" s="127"/>
      <c r="F35" s="127"/>
      <c r="G35" s="127"/>
      <c r="H35" s="127"/>
      <c r="I35" s="128"/>
    </row>
    <row r="36" spans="2:9">
      <c r="B36" s="129"/>
      <c r="C36" s="130"/>
      <c r="D36" s="130"/>
      <c r="E36" s="130"/>
      <c r="F36" s="130"/>
      <c r="G36" s="130"/>
      <c r="H36" s="130"/>
      <c r="I36" s="131"/>
    </row>
    <row r="37" spans="2:9">
      <c r="B37" s="132" t="str" cm="1">
        <f t="array" ref="B37">_xlfn.XLOOKUP($H$9,Tabla1[[Nombre Unidad de Estudios]:[Nombre Unidad de Estudios]],Tabla1[Esquema de Calificación],"",0)</f>
        <v>35% Trabajo monográfico.
35% Presentación y discusión de resúmenes analíticos.
30% Actividades de debate y reflexión - participación como comentarista.</v>
      </c>
      <c r="C37" s="133"/>
      <c r="D37" s="133"/>
      <c r="E37" s="133"/>
      <c r="F37" s="133"/>
      <c r="G37" s="133"/>
      <c r="H37" s="133"/>
      <c r="I37" s="134"/>
    </row>
    <row r="38" spans="2:9">
      <c r="B38" s="132"/>
      <c r="C38" s="133"/>
      <c r="D38" s="133"/>
      <c r="E38" s="133"/>
      <c r="F38" s="133"/>
      <c r="G38" s="133"/>
      <c r="H38" s="133"/>
      <c r="I38" s="134"/>
    </row>
    <row r="39" spans="2:9" ht="15.75" thickBot="1">
      <c r="B39" s="135"/>
      <c r="C39" s="136"/>
      <c r="D39" s="136"/>
      <c r="E39" s="136"/>
      <c r="F39" s="136"/>
      <c r="G39" s="136"/>
      <c r="H39" s="136"/>
      <c r="I39" s="137"/>
    </row>
    <row r="40" spans="2:9" ht="34.5" customHeight="1" thickBot="1">
      <c r="B40" s="117" t="s">
        <v>235</v>
      </c>
      <c r="C40" s="118"/>
      <c r="D40" s="118"/>
      <c r="E40" s="119"/>
      <c r="F40" s="120" t="str" cm="1">
        <f t="array" ref="F40">_xlfn.XLOOKUP($H$9,Tabla1[[Nombre Unidad de Estudios]:[Nombre Unidad de Estudios]],Tabla1[Recursos Tecnológicos],"",0)</f>
        <v>Base de datos; Material bibliográfico; Plataforma virtual</v>
      </c>
      <c r="G40" s="121"/>
      <c r="H40" s="121"/>
      <c r="I40" s="122"/>
    </row>
    <row r="41" spans="2:9" ht="15.75" thickBot="1">
      <c r="B41" s="123" t="s">
        <v>236</v>
      </c>
      <c r="C41" s="124"/>
      <c r="D41" s="124"/>
      <c r="E41" s="124"/>
      <c r="F41" s="125" t="str" cm="1">
        <f t="array" ref="F41">_xlfn.XLOOKUP($H$9,Tabla1[[Nombre Unidad de Estudios]:[Nombre Unidad de Estudios]],Tabla1[Componente de Lengua Extranjera '[Idioma']],"",0)</f>
        <v>Inglés</v>
      </c>
      <c r="G41" s="125"/>
      <c r="H41" s="32" t="s">
        <v>237</v>
      </c>
      <c r="I41" s="36" cm="1">
        <f t="array" ref="I41">_xlfn.XLOOKUP($H$9,Tabla1[[Nombre Unidad de Estudios]:[Nombre Unidad de Estudios]],Tabla1[Componente de Lengua Extranjera '[%']],"",0)</f>
        <v>0.5</v>
      </c>
    </row>
    <row r="42" spans="2:9">
      <c r="B42" s="80" t="s">
        <v>238</v>
      </c>
      <c r="C42" s="81"/>
      <c r="D42" s="81"/>
      <c r="E42" s="81"/>
      <c r="F42" s="81"/>
      <c r="G42" s="81"/>
      <c r="H42" s="81"/>
      <c r="I42" s="82"/>
    </row>
    <row r="43" spans="2:9" ht="14.45" customHeight="1">
      <c r="B43" s="138" t="s">
        <v>49</v>
      </c>
      <c r="C43" s="139"/>
      <c r="D43" s="139"/>
      <c r="E43" s="140"/>
      <c r="F43" s="138" t="s">
        <v>239</v>
      </c>
      <c r="G43" s="139"/>
      <c r="H43" s="139"/>
      <c r="I43" s="140"/>
    </row>
    <row r="44" spans="2:9">
      <c r="B44" s="108" t="str" cm="1">
        <f t="array" ref="B44">_xlfn.XLOOKUP($H$9,Tabla1[[Nombre Unidad de Estudios]:[Nombre Unidad de Estudios]],Tabla1[Bibliografía Obligatoria],"",0)</f>
        <v>Bosma, N. y Kelley, D. (2020). GEM Global Report 2019/2020. Global Entrepreneurship Monitor. https://www.gemconsortium.org/reports/latest-global-report
Varela, R., Pereira, F., Goméz, L. y Parra, L. (2020). Dinámica de la Actividad Empresarial en Colombia, Informe GEM Colombia (2019/2020). ICESI. http://gemcolombia.org/publicaciones/
Valencia-Arias, A., Flórez, L. G., Restrepo, L. A. M., López, A. M. U. L. U. y Restrepo, I. M. (2017). [Estudio sobre emprendimiento].</v>
      </c>
      <c r="C44" s="109"/>
      <c r="D44" s="109"/>
      <c r="E44" s="110"/>
      <c r="F44" s="108" t="str" cm="1">
        <f t="array" ref="F44">_xlfn.XLOOKUP($H$9,Tabla1[[Nombre Unidad de Estudios]:[Nombre Unidad de Estudios]],Tabla1[Bibliografia Complementaria],"",0)</f>
        <v>Gartner, W. B., Welter, F., Baker, T. y Audretsch, D. B. (2016). Everyday Entrepreneurship. Entrepreneurship, Theory and Practice, 41(3). https://www.researchgate.net/profile/William_Gartner3/publication/309145495</v>
      </c>
      <c r="G44" s="109"/>
      <c r="H44" s="109"/>
      <c r="I44" s="110"/>
    </row>
    <row r="45" spans="2:9">
      <c r="B45" s="108"/>
      <c r="C45" s="109"/>
      <c r="D45" s="109"/>
      <c r="E45" s="110"/>
      <c r="F45" s="108"/>
      <c r="G45" s="109"/>
      <c r="H45" s="109"/>
      <c r="I45" s="110"/>
    </row>
    <row r="46" spans="2:9">
      <c r="B46" s="108"/>
      <c r="C46" s="109"/>
      <c r="D46" s="109"/>
      <c r="E46" s="110"/>
      <c r="F46" s="108"/>
      <c r="G46" s="109"/>
      <c r="H46" s="109"/>
      <c r="I46" s="110"/>
    </row>
    <row r="47" spans="2:9">
      <c r="B47" s="108"/>
      <c r="C47" s="109"/>
      <c r="D47" s="109"/>
      <c r="E47" s="110"/>
      <c r="F47" s="108"/>
      <c r="G47" s="109"/>
      <c r="H47" s="109"/>
      <c r="I47" s="110"/>
    </row>
    <row r="48" spans="2:9">
      <c r="B48" s="108"/>
      <c r="C48" s="109"/>
      <c r="D48" s="109"/>
      <c r="E48" s="110"/>
      <c r="F48" s="108"/>
      <c r="G48" s="109"/>
      <c r="H48" s="109"/>
      <c r="I48" s="110"/>
    </row>
    <row r="49" spans="2:9">
      <c r="B49" s="108"/>
      <c r="C49" s="109"/>
      <c r="D49" s="109"/>
      <c r="E49" s="110"/>
      <c r="F49" s="108"/>
      <c r="G49" s="109"/>
      <c r="H49" s="109"/>
      <c r="I49" s="110"/>
    </row>
    <row r="50" spans="2:9">
      <c r="B50" s="108"/>
      <c r="C50" s="109"/>
      <c r="D50" s="109"/>
      <c r="E50" s="110"/>
      <c r="F50" s="108"/>
      <c r="G50" s="109"/>
      <c r="H50" s="109"/>
      <c r="I50" s="110"/>
    </row>
    <row r="51" spans="2:9">
      <c r="B51" s="108"/>
      <c r="C51" s="109"/>
      <c r="D51" s="109"/>
      <c r="E51" s="110"/>
      <c r="F51" s="108"/>
      <c r="G51" s="109"/>
      <c r="H51" s="109"/>
      <c r="I51" s="110"/>
    </row>
    <row r="52" spans="2:9">
      <c r="B52" s="108"/>
      <c r="C52" s="109"/>
      <c r="D52" s="109"/>
      <c r="E52" s="110"/>
      <c r="F52" s="108"/>
      <c r="G52" s="109"/>
      <c r="H52" s="109"/>
      <c r="I52" s="110"/>
    </row>
    <row r="53" spans="2:9" ht="15.75" thickBot="1">
      <c r="B53" s="111"/>
      <c r="C53" s="112"/>
      <c r="D53" s="112"/>
      <c r="E53" s="113"/>
      <c r="F53" s="111"/>
      <c r="G53" s="112"/>
      <c r="H53" s="112"/>
      <c r="I53" s="113"/>
    </row>
    <row r="54" spans="2:9">
      <c r="B54" s="80" t="s">
        <v>240</v>
      </c>
      <c r="C54" s="81"/>
      <c r="D54" s="81"/>
      <c r="E54" s="81"/>
      <c r="F54" s="81"/>
      <c r="G54" s="81"/>
      <c r="H54" s="81"/>
      <c r="I54" s="82"/>
    </row>
    <row r="55" spans="2:9">
      <c r="B55" s="33" t="s">
        <v>51</v>
      </c>
      <c r="C55" s="34" t="s">
        <v>52</v>
      </c>
      <c r="D55" s="34" t="s">
        <v>53</v>
      </c>
      <c r="E55" s="34" t="s">
        <v>54</v>
      </c>
      <c r="F55" s="34" t="s">
        <v>55</v>
      </c>
      <c r="G55" s="104" t="s">
        <v>56</v>
      </c>
      <c r="H55" s="104"/>
      <c r="I55" s="105"/>
    </row>
    <row r="56" spans="2:9" ht="30">
      <c r="B56" s="38" cm="1">
        <f t="array" ref="B56">_xlfn.XLOOKUP($H$9,Tabla1[[Nombre Unidad de Estudios]:[Nombre Unidad de Estudios]],Tabla1['# versión],"",0)</f>
        <v>1</v>
      </c>
      <c r="C56" s="41" cm="1">
        <f t="array" ref="C56">_xlfn.XLOOKUP($H$9,Tabla1[[Nombre Unidad de Estudios]:[Nombre Unidad de Estudios]],Tabla1[Fecha],"",0)</f>
        <v>46083</v>
      </c>
      <c r="D56" s="35" t="str" cm="1">
        <f t="array" ref="D56">_xlfn.XLOOKUP($H$9,Tabla1[[Nombre Unidad de Estudios]:[Nombre Unidad de Estudios]],Tabla1[Elaboró],"",0)</f>
        <v>Omar Patiño</v>
      </c>
      <c r="E56" s="35" t="str" cm="1">
        <f t="array" ref="E56">_xlfn.XLOOKUP($H$9,Tabla1[[Nombre Unidad de Estudios]:[Nombre Unidad de Estudios]],Tabla1[Revisó],"",0)</f>
        <v>Juan Carlos Rentería</v>
      </c>
      <c r="F56" s="35" t="str" cm="1">
        <f t="array" ref="F56">_xlfn.XLOOKUP($H$9,Tabla1[[Nombre Unidad de Estudios]:[Nombre Unidad de Estudios]],Tabla1[Aprobó],"",0)</f>
        <v>Comité Curricular</v>
      </c>
      <c r="G56" s="106" t="str" cm="1">
        <f t="array" ref="G56">_xlfn.XLOOKUP($H$9,Tabla1[[Nombre Unidad de Estudios]:[Nombre Unidad de Estudios]],Tabla1[Descripción del cambio],"",0)</f>
        <v>Creación syllabus en nuevo formato</v>
      </c>
      <c r="H56" s="106"/>
      <c r="I56" s="107"/>
    </row>
    <row r="57" spans="2:9">
      <c r="B57" s="38"/>
      <c r="C57" s="35"/>
      <c r="D57" s="35"/>
      <c r="E57" s="35"/>
      <c r="F57" s="35"/>
      <c r="G57" s="106"/>
      <c r="H57" s="106"/>
      <c r="I57" s="107"/>
    </row>
    <row r="58" spans="2:9">
      <c r="B58" s="38"/>
      <c r="C58" s="35"/>
      <c r="D58" s="35"/>
      <c r="E58" s="35"/>
      <c r="F58" s="35"/>
      <c r="G58" s="106"/>
      <c r="H58" s="106"/>
      <c r="I58" s="107"/>
    </row>
    <row r="59" spans="2:9">
      <c r="B59" s="38"/>
      <c r="C59" s="35"/>
      <c r="D59" s="35"/>
      <c r="E59" s="35"/>
      <c r="F59" s="35"/>
      <c r="G59" s="106"/>
      <c r="H59" s="106"/>
      <c r="I59" s="107"/>
    </row>
    <row r="60" spans="2:9">
      <c r="B60" s="38"/>
      <c r="C60" s="35"/>
      <c r="D60" s="35"/>
      <c r="E60" s="35"/>
      <c r="F60" s="35"/>
      <c r="G60" s="106"/>
      <c r="H60" s="106"/>
      <c r="I60" s="107"/>
    </row>
    <row r="61" spans="2:9" ht="15.75" thickBot="1">
      <c r="B61" s="39"/>
      <c r="C61" s="40"/>
      <c r="D61" s="40"/>
      <c r="E61" s="40"/>
      <c r="F61" s="40"/>
      <c r="G61" s="141"/>
      <c r="H61" s="141"/>
      <c r="I61" s="142"/>
    </row>
  </sheetData>
  <mergeCells count="41">
    <mergeCell ref="G61:I61"/>
    <mergeCell ref="G55:I55"/>
    <mergeCell ref="G56:I56"/>
    <mergeCell ref="G57:I57"/>
    <mergeCell ref="G58:I58"/>
    <mergeCell ref="G59:I59"/>
    <mergeCell ref="G60:I60"/>
    <mergeCell ref="B54:I54"/>
    <mergeCell ref="B34:I34"/>
    <mergeCell ref="B35:I36"/>
    <mergeCell ref="B37:I39"/>
    <mergeCell ref="B40:E40"/>
    <mergeCell ref="F40:I40"/>
    <mergeCell ref="B41:E41"/>
    <mergeCell ref="F41:G41"/>
    <mergeCell ref="B42:I42"/>
    <mergeCell ref="B43:E43"/>
    <mergeCell ref="F43:I43"/>
    <mergeCell ref="B44:E53"/>
    <mergeCell ref="F44:I53"/>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K2" display="Menu principal" xr:uid="{00000000-0004-0000-0300-000000000000}"/>
  </hyperlinks>
  <pageMargins left="0.25" right="0.25" top="0.75" bottom="0.75" header="0.3" footer="0.3"/>
  <pageSetup paperSize="9" scale="72"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Tabla!$H$2:$H$22</xm:f>
          </x14:formula1>
          <xm:sqref>H9:I9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0A562-9F67-4080-A6BD-133507571BC2}">
  <sheetPr>
    <pageSetUpPr fitToPage="1"/>
  </sheetPr>
  <dimension ref="B1:K65"/>
  <sheetViews>
    <sheetView tabSelected="1" workbookViewId="0">
      <selection activeCell="F44" sqref="F44"/>
    </sheetView>
  </sheetViews>
  <sheetFormatPr defaultColWidth="10.85546875" defaultRowHeight="15"/>
  <cols>
    <col min="1" max="1" width="3.140625" style="16" customWidth="1"/>
    <col min="2" max="2" width="14.28515625" style="16" customWidth="1"/>
    <col min="3" max="3" width="11.28515625" style="16" bestFit="1" customWidth="1"/>
    <col min="4" max="4" width="12.28515625" style="16" customWidth="1"/>
    <col min="5" max="5" width="16.28515625" style="16" customWidth="1"/>
    <col min="6" max="6" width="18.42578125" style="16" customWidth="1"/>
    <col min="7" max="7" width="10.85546875" style="16" customWidth="1"/>
    <col min="8" max="8" width="9.85546875" style="16" customWidth="1"/>
    <col min="9" max="9" width="16.7109375" style="16" customWidth="1"/>
    <col min="10" max="10" width="10.85546875" style="16"/>
    <col min="11" max="11" width="16.42578125" style="16" customWidth="1"/>
    <col min="12" max="16384" width="10.85546875" style="16"/>
  </cols>
  <sheetData>
    <row r="1" spans="2:11" ht="15.75" thickBot="1">
      <c r="C1" s="17"/>
      <c r="D1" s="17"/>
      <c r="E1" s="17"/>
      <c r="F1" s="17"/>
      <c r="G1" s="17"/>
      <c r="H1" s="17"/>
    </row>
    <row r="2" spans="2:11" ht="22.5" customHeight="1" thickTop="1">
      <c r="B2" s="10"/>
      <c r="C2" s="8" t="s">
        <v>204</v>
      </c>
      <c r="D2" s="8"/>
      <c r="E2" s="8"/>
      <c r="F2" s="8"/>
      <c r="G2" s="8"/>
      <c r="H2" s="8"/>
      <c r="I2" s="18" t="s">
        <v>205</v>
      </c>
      <c r="K2" s="46" t="s">
        <v>206</v>
      </c>
    </row>
    <row r="3" spans="2:11" ht="20.25" customHeight="1">
      <c r="B3" s="9"/>
      <c r="C3" s="7"/>
      <c r="D3" s="7"/>
      <c r="E3" s="7"/>
      <c r="F3" s="7"/>
      <c r="G3" s="7"/>
      <c r="H3" s="7"/>
      <c r="I3" s="19" t="s">
        <v>207</v>
      </c>
    </row>
    <row r="4" spans="2:11" ht="21" customHeight="1" thickBot="1">
      <c r="B4" s="6" t="s">
        <v>208</v>
      </c>
      <c r="C4" s="5"/>
      <c r="D4" s="5"/>
      <c r="E4" s="5"/>
      <c r="F4" s="5"/>
      <c r="G4" s="5"/>
      <c r="H4" s="5"/>
      <c r="I4" s="20" t="s">
        <v>209</v>
      </c>
    </row>
    <row r="5" spans="2:11" ht="16.5" thickTop="1" thickBot="1">
      <c r="B5" s="4"/>
      <c r="C5" s="4"/>
      <c r="D5" s="4"/>
      <c r="E5" s="4"/>
      <c r="F5" s="4"/>
      <c r="G5" s="4"/>
      <c r="H5" s="4"/>
      <c r="I5" s="4"/>
    </row>
    <row r="6" spans="2:11">
      <c r="B6" s="3" t="s">
        <v>210</v>
      </c>
      <c r="C6" s="2"/>
      <c r="D6" s="2"/>
      <c r="E6" s="2"/>
      <c r="F6" s="2"/>
      <c r="G6" s="2"/>
      <c r="H6" s="2"/>
      <c r="I6" s="1"/>
    </row>
    <row r="7" spans="2:11" ht="60">
      <c r="B7" s="22" t="s">
        <v>29</v>
      </c>
      <c r="C7" s="23" cm="1">
        <f t="array" ref="C7">_xlfn.XLOOKUP($H$9,Tabla1[[Nombre Unidad de Estudios]:[Nombre Unidad de Estudios]],Tabla1[Año],"",0)</f>
        <v>2026</v>
      </c>
      <c r="D7" s="24" t="s">
        <v>211</v>
      </c>
      <c r="E7" s="23" t="str" cm="1">
        <f t="array" ref="E7">_xlfn.XLOOKUP($H$9,Tabla1[[Nombre Unidad de Estudios]:[Nombre Unidad de Estudios]],Tabla1[Código Plan de Estudios],"",0)</f>
        <v>DTPGESBOG002</v>
      </c>
      <c r="F7" s="24" t="s">
        <v>212</v>
      </c>
      <c r="G7" s="23" t="str" cm="1">
        <f t="array" ref="G7">_xlfn.XLOOKUP($H$9,Tabla1[[Nombre Unidad de Estudios]:[Nombre Unidad de Estudios]],Tabla1[Código Unidad de Estudios],"",0)</f>
        <v>ADP01769</v>
      </c>
      <c r="H7" s="24" t="s">
        <v>213</v>
      </c>
      <c r="I7" s="23" t="str" cm="1">
        <f t="array" ref="I7">_xlfn.XLOOKUP($H$9,Tabla1[[Nombre Unidad de Estudios]:[Nombre Unidad de Estudios]],Tabla1[Tipo Unidad de Estudios],"",0)</f>
        <v>Requisito de Grado</v>
      </c>
    </row>
    <row r="8" spans="2:11" ht="30">
      <c r="B8" s="22" t="s">
        <v>33</v>
      </c>
      <c r="C8" s="25" t="s">
        <v>60</v>
      </c>
      <c r="D8" s="35" t="s">
        <v>214</v>
      </c>
      <c r="E8" s="25" t="s">
        <v>215</v>
      </c>
      <c r="F8" s="24"/>
      <c r="G8" s="24" t="s">
        <v>216</v>
      </c>
      <c r="H8" s="12"/>
      <c r="I8" s="11"/>
    </row>
    <row r="9" spans="2:11" ht="45">
      <c r="B9" s="26" t="s">
        <v>217</v>
      </c>
      <c r="C9" s="23" t="str" cm="1">
        <f t="array" ref="C9">_xlfn.XLOOKUP($H$9,Tabla1[[Nombre Unidad de Estudios]:[Nombre Unidad de Estudios]],Tabla1[Nivel],"",0)</f>
        <v>Doctorado</v>
      </c>
      <c r="D9" s="25" t="s">
        <v>218</v>
      </c>
      <c r="E9" s="78" t="str" cm="1">
        <f t="array" ref="E9">_xlfn.XLOOKUP($H$9,Tabla1[[Nombre Unidad de Estudios]:[Nombre Unidad de Estudios]],Tabla1[Programa],"",0)</f>
        <v>Doctorado En Gestión</v>
      </c>
      <c r="F9" s="78"/>
      <c r="G9" s="24" t="s">
        <v>219</v>
      </c>
      <c r="H9" s="78" t="s">
        <v>22</v>
      </c>
      <c r="I9" s="79"/>
    </row>
    <row r="10" spans="2:11" ht="30.75" thickBot="1">
      <c r="B10" s="27" t="s">
        <v>37</v>
      </c>
      <c r="C10" s="28" cm="1">
        <f t="array" ref="C10">_xlfn.XLOOKUP($H$9,Tabla1[[Nombre Unidad de Estudios]:[Nombre Unidad de Estudios]],Tabla1[Créditos Académicos],"",0)</f>
        <v>2</v>
      </c>
      <c r="D10" s="29" t="s">
        <v>220</v>
      </c>
      <c r="E10" s="28" cm="1">
        <f t="array" ref="E10">_xlfn.XLOOKUP($H$9,Tabla1[[Nombre Unidad de Estudios]:[Nombre Unidad de Estudios]],Tabla1[Horas de Acompañamiento Directo '[HAD']],"",0)</f>
        <v>24</v>
      </c>
      <c r="F10" s="29" t="s">
        <v>221</v>
      </c>
      <c r="G10" s="28" cm="1">
        <f t="array" ref="G10">_xlfn.XLOOKUP($H$9,Tabla1[[Nombre Unidad de Estudios]:[Nombre Unidad de Estudios]],Tabla1[Horas de Trabajo Autónomo '[HTA']],"",0)</f>
        <v>72</v>
      </c>
      <c r="H10" s="29" t="s">
        <v>222</v>
      </c>
      <c r="I10" s="30">
        <f>E10+G10</f>
        <v>96</v>
      </c>
    </row>
    <row r="11" spans="2:11">
      <c r="B11" s="80" t="s">
        <v>223</v>
      </c>
      <c r="C11" s="81"/>
      <c r="D11" s="81"/>
      <c r="E11" s="81"/>
      <c r="F11" s="81"/>
      <c r="G11" s="81"/>
      <c r="H11" s="81"/>
      <c r="I11" s="82"/>
    </row>
    <row r="12" spans="2:11" ht="76.5" customHeight="1">
      <c r="B12" s="83" t="s">
        <v>224</v>
      </c>
      <c r="C12" s="84"/>
      <c r="D12" s="85" t="str" cm="1">
        <f t="array" ref="D12">_xlfn.XLOOKUP($H$9,Tabla1[[Nombre Unidad de Estudios]:[Nombre Unidad de Estudios]],Tabla1[Descripción de la Unidad de Estudios],"",0)</f>
        <v>La unidad de estudios Tutoría I tiene como propósito orientar a los doctorandos respecto a la normatividad de lineamientos para la construcción de tesis doctoral en la Universidad EAN.</v>
      </c>
      <c r="E12" s="86"/>
      <c r="F12" s="86"/>
      <c r="G12" s="86"/>
      <c r="H12" s="86"/>
      <c r="I12" s="87"/>
    </row>
    <row r="13" spans="2:11" ht="66" customHeight="1" thickBot="1">
      <c r="B13" s="88" t="s">
        <v>225</v>
      </c>
      <c r="C13" s="89"/>
      <c r="D13" s="90" t="str" cm="1">
        <f t="array" ref="D13">_xlfn.XLOOKUP($H$9,Tabla1[[Nombre Unidad de Estudios]:[Nombre Unidad de Estudios]],Tabla1[Resultado de Aprendizaje de la Unidad de Estudios],"",0)</f>
        <v>Diseña un proyecto de investigación aplicando el método científico y/o modelos pertinentes para resolver una problemática desde una perspectiva transdisciplinar, de las organizaciones en un entorno de desarrollo sostenible.</v>
      </c>
      <c r="E13" s="91"/>
      <c r="F13" s="91"/>
      <c r="G13" s="91"/>
      <c r="H13" s="91"/>
      <c r="I13" s="92"/>
    </row>
    <row r="14" spans="2:11">
      <c r="B14" s="80" t="s">
        <v>226</v>
      </c>
      <c r="C14" s="81"/>
      <c r="D14" s="81"/>
      <c r="E14" s="81"/>
      <c r="F14" s="81"/>
      <c r="G14" s="81"/>
      <c r="H14" s="81"/>
      <c r="I14" s="82"/>
    </row>
    <row r="15" spans="2:11">
      <c r="B15" s="93" t="s">
        <v>227</v>
      </c>
      <c r="C15" s="78"/>
      <c r="D15" s="78"/>
      <c r="E15" s="78"/>
      <c r="F15" s="78"/>
      <c r="G15" s="78"/>
      <c r="H15" s="78"/>
      <c r="I15" s="79"/>
    </row>
    <row r="16" spans="2:11">
      <c r="B16" s="93"/>
      <c r="C16" s="78"/>
      <c r="D16" s="78"/>
      <c r="E16" s="78"/>
      <c r="F16" s="78"/>
      <c r="G16" s="78"/>
      <c r="H16" s="78"/>
      <c r="I16" s="79"/>
    </row>
    <row r="17" spans="2:9" ht="15.75" thickBot="1">
      <c r="B17" s="94"/>
      <c r="C17" s="95"/>
      <c r="D17" s="95"/>
      <c r="E17" s="95"/>
      <c r="F17" s="95"/>
      <c r="G17" s="95"/>
      <c r="H17" s="95"/>
      <c r="I17" s="96"/>
    </row>
    <row r="18" spans="2:9" ht="15.75" thickBot="1">
      <c r="B18" s="97" t="s">
        <v>228</v>
      </c>
      <c r="C18" s="98"/>
      <c r="D18" s="98"/>
      <c r="E18" s="98"/>
      <c r="F18" s="98"/>
      <c r="G18" s="98"/>
      <c r="H18" s="98"/>
      <c r="I18" s="99"/>
    </row>
    <row r="19" spans="2:9">
      <c r="B19" s="21" t="s">
        <v>44</v>
      </c>
      <c r="C19" s="43" t="str" cm="1">
        <f t="array" ref="C19">_xlfn.XLOOKUP($H$9,Tabla1[[Nombre Unidad de Estudios]:[Nombre Unidad de Estudios]],Tabla1[Módulo],"",0)</f>
        <v>4 semanas</v>
      </c>
      <c r="D19" s="21" t="s">
        <v>229</v>
      </c>
      <c r="E19" s="143" t="s">
        <v>230</v>
      </c>
      <c r="F19" s="144"/>
      <c r="G19" s="31" t="s">
        <v>231</v>
      </c>
      <c r="H19" s="145" t="s">
        <v>232</v>
      </c>
      <c r="I19" s="146"/>
    </row>
    <row r="20" spans="2:9">
      <c r="B20" s="13" t="str" cm="1">
        <f t="array" ref="B20">_xlfn.XLOOKUP($H$9,Tabla1[[Nombre Unidad de Estudios]:[Nombre Unidad de Estudios]],Tabla1[Contenidos Unidad de Estudios],"",0)</f>
        <v>Lineamientos de funcionamiento de doctorados en la Universidad EAN.
Grupos y líneas de investigación en la Universidad EAN.
Manejo de bases de datos en la biblioteca virtual de la Universidad EAN.
Enfoques de investigación.
Planteamiento de problema de investigación.</v>
      </c>
      <c r="C20" s="55"/>
      <c r="D20" s="60"/>
      <c r="E20" s="61"/>
      <c r="F20" s="62"/>
      <c r="G20" s="69"/>
      <c r="H20" s="70"/>
      <c r="I20" s="71"/>
    </row>
    <row r="21" spans="2:9">
      <c r="B21" s="56"/>
      <c r="C21" s="57"/>
      <c r="D21" s="63"/>
      <c r="E21" s="64"/>
      <c r="F21" s="65"/>
      <c r="G21" s="72"/>
      <c r="H21" s="73"/>
      <c r="I21" s="74"/>
    </row>
    <row r="22" spans="2:9">
      <c r="B22" s="56"/>
      <c r="C22" s="57"/>
      <c r="D22" s="63"/>
      <c r="E22" s="64"/>
      <c r="F22" s="65"/>
      <c r="G22" s="72"/>
      <c r="H22" s="73"/>
      <c r="I22" s="74"/>
    </row>
    <row r="23" spans="2:9">
      <c r="B23" s="56"/>
      <c r="C23" s="57"/>
      <c r="D23" s="63"/>
      <c r="E23" s="64"/>
      <c r="F23" s="65"/>
      <c r="G23" s="72"/>
      <c r="H23" s="73"/>
      <c r="I23" s="74"/>
    </row>
    <row r="24" spans="2:9">
      <c r="B24" s="56"/>
      <c r="C24" s="57"/>
      <c r="D24" s="63"/>
      <c r="E24" s="64"/>
      <c r="F24" s="65"/>
      <c r="G24" s="72"/>
      <c r="H24" s="73"/>
      <c r="I24" s="74"/>
    </row>
    <row r="25" spans="2:9">
      <c r="B25" s="56"/>
      <c r="C25" s="57"/>
      <c r="D25" s="63"/>
      <c r="E25" s="64"/>
      <c r="F25" s="65"/>
      <c r="G25" s="72"/>
      <c r="H25" s="73"/>
      <c r="I25" s="74"/>
    </row>
    <row r="26" spans="2:9">
      <c r="B26" s="56"/>
      <c r="C26" s="57"/>
      <c r="D26" s="63"/>
      <c r="E26" s="64"/>
      <c r="F26" s="65"/>
      <c r="G26" s="72"/>
      <c r="H26" s="73"/>
      <c r="I26" s="74"/>
    </row>
    <row r="27" spans="2:9">
      <c r="B27" s="56"/>
      <c r="C27" s="57"/>
      <c r="D27" s="63"/>
      <c r="E27" s="64"/>
      <c r="F27" s="65"/>
      <c r="G27" s="72"/>
      <c r="H27" s="73"/>
      <c r="I27" s="74"/>
    </row>
    <row r="28" spans="2:9">
      <c r="B28" s="56"/>
      <c r="C28" s="57"/>
      <c r="D28" s="63"/>
      <c r="E28" s="64"/>
      <c r="F28" s="65"/>
      <c r="G28" s="72"/>
      <c r="H28" s="73"/>
      <c r="I28" s="74"/>
    </row>
    <row r="29" spans="2:9">
      <c r="B29" s="56"/>
      <c r="C29" s="57"/>
      <c r="D29" s="63"/>
      <c r="E29" s="64"/>
      <c r="F29" s="65"/>
      <c r="G29" s="72"/>
      <c r="H29" s="73"/>
      <c r="I29" s="74"/>
    </row>
    <row r="30" spans="2:9">
      <c r="B30" s="56"/>
      <c r="C30" s="57"/>
      <c r="D30" s="63"/>
      <c r="E30" s="64"/>
      <c r="F30" s="65"/>
      <c r="G30" s="72"/>
      <c r="H30" s="73"/>
      <c r="I30" s="74"/>
    </row>
    <row r="31" spans="2:9">
      <c r="B31" s="56"/>
      <c r="C31" s="57"/>
      <c r="D31" s="63"/>
      <c r="E31" s="64"/>
      <c r="F31" s="65"/>
      <c r="G31" s="72"/>
      <c r="H31" s="73"/>
      <c r="I31" s="74"/>
    </row>
    <row r="32" spans="2:9">
      <c r="B32" s="56"/>
      <c r="C32" s="57"/>
      <c r="D32" s="63"/>
      <c r="E32" s="64"/>
      <c r="F32" s="65"/>
      <c r="G32" s="72"/>
      <c r="H32" s="73"/>
      <c r="I32" s="74"/>
    </row>
    <row r="33" spans="2:9" ht="15.75" thickBot="1">
      <c r="B33" s="58"/>
      <c r="C33" s="59"/>
      <c r="D33" s="66"/>
      <c r="E33" s="67"/>
      <c r="F33" s="68"/>
      <c r="G33" s="75"/>
      <c r="H33" s="76"/>
      <c r="I33" s="77"/>
    </row>
    <row r="34" spans="2:9" ht="15.75" thickBot="1">
      <c r="B34" s="114" t="s">
        <v>233</v>
      </c>
      <c r="C34" s="115"/>
      <c r="D34" s="115"/>
      <c r="E34" s="115"/>
      <c r="F34" s="115"/>
      <c r="G34" s="115"/>
      <c r="H34" s="115"/>
      <c r="I34" s="116"/>
    </row>
    <row r="35" spans="2:9" ht="14.45" customHeight="1">
      <c r="B35" s="126" t="s">
        <v>234</v>
      </c>
      <c r="C35" s="127"/>
      <c r="D35" s="127"/>
      <c r="E35" s="127"/>
      <c r="F35" s="127"/>
      <c r="G35" s="127"/>
      <c r="H35" s="127"/>
      <c r="I35" s="128"/>
    </row>
    <row r="36" spans="2:9">
      <c r="B36" s="129"/>
      <c r="C36" s="130"/>
      <c r="D36" s="130"/>
      <c r="E36" s="130"/>
      <c r="F36" s="130"/>
      <c r="G36" s="130"/>
      <c r="H36" s="130"/>
      <c r="I36" s="131"/>
    </row>
    <row r="37" spans="2:9">
      <c r="B37" s="132" t="str" cm="1">
        <f t="array" ref="B37">_xlfn.XLOOKUP($H$9,Tabla1[[Nombre Unidad de Estudios]:[Nombre Unidad de Estudios]],Tabla1[Esquema de Calificación],"",0)</f>
        <v>30% Evaluación de exposición oral, debates, argumentación y talleres.
35% Primer avance de investigación.
35% Informe final de investigación que incluye los elementos de planteamiento del problema.</v>
      </c>
      <c r="C37" s="133"/>
      <c r="D37" s="133"/>
      <c r="E37" s="133"/>
      <c r="F37" s="133"/>
      <c r="G37" s="133"/>
      <c r="H37" s="133"/>
      <c r="I37" s="134"/>
    </row>
    <row r="38" spans="2:9">
      <c r="B38" s="132"/>
      <c r="C38" s="133"/>
      <c r="D38" s="133"/>
      <c r="E38" s="133"/>
      <c r="F38" s="133"/>
      <c r="G38" s="133"/>
      <c r="H38" s="133"/>
      <c r="I38" s="134"/>
    </row>
    <row r="39" spans="2:9" ht="15.75" thickBot="1">
      <c r="B39" s="135"/>
      <c r="C39" s="136"/>
      <c r="D39" s="136"/>
      <c r="E39" s="136"/>
      <c r="F39" s="136"/>
      <c r="G39" s="136"/>
      <c r="H39" s="136"/>
      <c r="I39" s="137"/>
    </row>
    <row r="40" spans="2:9" ht="34.5" customHeight="1" thickBot="1">
      <c r="B40" s="117" t="s">
        <v>235</v>
      </c>
      <c r="C40" s="118"/>
      <c r="D40" s="118"/>
      <c r="E40" s="119"/>
      <c r="F40" s="120" t="str" cm="1">
        <f t="array" ref="F40">_xlfn.XLOOKUP($H$9,Tabla1[[Nombre Unidad de Estudios]:[Nombre Unidad de Estudios]],Tabla1[Recursos Tecnológicos],"",0)</f>
        <v>Base de datos; Material bibliográfico; Plataforma virtual</v>
      </c>
      <c r="G40" s="121"/>
      <c r="H40" s="121"/>
      <c r="I40" s="122"/>
    </row>
    <row r="41" spans="2:9" ht="15.75" thickBot="1">
      <c r="B41" s="123" t="s">
        <v>236</v>
      </c>
      <c r="C41" s="124"/>
      <c r="D41" s="124"/>
      <c r="E41" s="124"/>
      <c r="F41" s="125" t="str" cm="1">
        <f t="array" ref="F41">_xlfn.XLOOKUP($H$9,Tabla1[[Nombre Unidad de Estudios]:[Nombre Unidad de Estudios]],Tabla1[Componente de Lengua Extranjera '[Idioma']],"",0)</f>
        <v>Inglés</v>
      </c>
      <c r="G41" s="125"/>
      <c r="H41" s="32" t="s">
        <v>237</v>
      </c>
      <c r="I41" s="36" cm="1">
        <f t="array" ref="I41">_xlfn.XLOOKUP($H$9,Tabla1[[Nombre Unidad de Estudios]:[Nombre Unidad de Estudios]],Tabla1[Componente de Lengua Extranjera '[%']],"",0)</f>
        <v>0.3</v>
      </c>
    </row>
    <row r="42" spans="2:9">
      <c r="B42" s="80" t="s">
        <v>238</v>
      </c>
      <c r="C42" s="81"/>
      <c r="D42" s="81"/>
      <c r="E42" s="81"/>
      <c r="F42" s="81"/>
      <c r="G42" s="81"/>
      <c r="H42" s="81"/>
      <c r="I42" s="82"/>
    </row>
    <row r="43" spans="2:9" ht="14.45" customHeight="1">
      <c r="B43" s="138" t="s">
        <v>49</v>
      </c>
      <c r="C43" s="139"/>
      <c r="D43" s="139"/>
      <c r="E43" s="140"/>
      <c r="F43" s="138" t="s">
        <v>239</v>
      </c>
      <c r="G43" s="139"/>
      <c r="H43" s="139"/>
      <c r="I43" s="140"/>
    </row>
    <row r="44" spans="2:9">
      <c r="B44" s="108" t="str" cm="1">
        <f t="array" ref="B44">_xlfn.XLOOKUP($H$9,Tabla1[[Nombre Unidad de Estudios]:[Nombre Unidad de Estudios]],Tabla1[Bibliografía Obligatoria],"",0)</f>
        <v>Bell, C. y French, W. (1995). Desarrollo Organizacional. Prentice-Hall Hispanoamericana.
Bernal Torres, C. A. (2000). Metodología de la Investigación para Administración y Economía. Pearson.
Bejarano A., J. A. (1996). Sobre la Investigación y la Consultoría Económica: Fragmentos de un Proyecto. Innovar, (8).</v>
      </c>
      <c r="C44" s="109"/>
      <c r="D44" s="109"/>
      <c r="E44" s="110"/>
      <c r="F44" s="108" t="str" cm="1">
        <f t="array" ref="F44">_xlfn.XLOOKUP($H$9,Tabla1[[Nombre Unidad de Estudios]:[Nombre Unidad de Estudios]],Tabla1[Bibliografia Complementaria],"",0)</f>
        <v>Jordan, P. J. y Troth, A. C. (2020). Common method bias in applied settings. Australian Journal of Management, 45(1), 3-14. https://doi.org/10.1177/0312896219871976
Kuhn, T. S. (2005). La estructura de las revoluciones científicas. Fondo de Cultura Económica.
Lakatos, I. (1993). La metodología de los Programas de investigación científica. Alianza.</v>
      </c>
      <c r="G44" s="109"/>
      <c r="H44" s="109"/>
      <c r="I44" s="110"/>
    </row>
    <row r="45" spans="2:9">
      <c r="B45" s="108"/>
      <c r="C45" s="109"/>
      <c r="D45" s="109"/>
      <c r="E45" s="110"/>
      <c r="F45" s="108"/>
      <c r="G45" s="109"/>
      <c r="H45" s="109"/>
      <c r="I45" s="110"/>
    </row>
    <row r="46" spans="2:9">
      <c r="B46" s="108"/>
      <c r="C46" s="109"/>
      <c r="D46" s="109"/>
      <c r="E46" s="110"/>
      <c r="F46" s="108"/>
      <c r="G46" s="109"/>
      <c r="H46" s="109"/>
      <c r="I46" s="110"/>
    </row>
    <row r="47" spans="2:9">
      <c r="B47" s="108"/>
      <c r="C47" s="109"/>
      <c r="D47" s="109"/>
      <c r="E47" s="110"/>
      <c r="F47" s="108"/>
      <c r="G47" s="109"/>
      <c r="H47" s="109"/>
      <c r="I47" s="110"/>
    </row>
    <row r="48" spans="2:9">
      <c r="B48" s="108"/>
      <c r="C48" s="109"/>
      <c r="D48" s="109"/>
      <c r="E48" s="110"/>
      <c r="F48" s="108"/>
      <c r="G48" s="109"/>
      <c r="H48" s="109"/>
      <c r="I48" s="110"/>
    </row>
    <row r="49" spans="2:9">
      <c r="B49" s="108"/>
      <c r="C49" s="109"/>
      <c r="D49" s="109"/>
      <c r="E49" s="110"/>
      <c r="F49" s="108"/>
      <c r="G49" s="109"/>
      <c r="H49" s="109"/>
      <c r="I49" s="110"/>
    </row>
    <row r="50" spans="2:9">
      <c r="B50" s="108"/>
      <c r="C50" s="109"/>
      <c r="D50" s="109"/>
      <c r="E50" s="110"/>
      <c r="F50" s="108"/>
      <c r="G50" s="109"/>
      <c r="H50" s="109"/>
      <c r="I50" s="110"/>
    </row>
    <row r="51" spans="2:9">
      <c r="B51" s="108"/>
      <c r="C51" s="109"/>
      <c r="D51" s="109"/>
      <c r="E51" s="110"/>
      <c r="F51" s="108"/>
      <c r="G51" s="109"/>
      <c r="H51" s="109"/>
      <c r="I51" s="110"/>
    </row>
    <row r="52" spans="2:9">
      <c r="B52" s="108"/>
      <c r="C52" s="109"/>
      <c r="D52" s="109"/>
      <c r="E52" s="110"/>
      <c r="F52" s="108"/>
      <c r="G52" s="109"/>
      <c r="H52" s="109"/>
      <c r="I52" s="110"/>
    </row>
    <row r="53" spans="2:9">
      <c r="B53" s="108"/>
      <c r="C53" s="109"/>
      <c r="D53" s="109"/>
      <c r="E53" s="110"/>
      <c r="F53" s="108"/>
      <c r="G53" s="109"/>
      <c r="H53" s="109"/>
      <c r="I53" s="110"/>
    </row>
    <row r="54" spans="2:9">
      <c r="B54" s="108"/>
      <c r="C54" s="109"/>
      <c r="D54" s="109"/>
      <c r="E54" s="110"/>
      <c r="F54" s="108"/>
      <c r="G54" s="109"/>
      <c r="H54" s="109"/>
      <c r="I54" s="110"/>
    </row>
    <row r="55" spans="2:9">
      <c r="B55" s="108"/>
      <c r="C55" s="109"/>
      <c r="D55" s="109"/>
      <c r="E55" s="110"/>
      <c r="F55" s="108"/>
      <c r="G55" s="109"/>
      <c r="H55" s="109"/>
      <c r="I55" s="110"/>
    </row>
    <row r="56" spans="2:9">
      <c r="B56" s="108"/>
      <c r="C56" s="109"/>
      <c r="D56" s="109"/>
      <c r="E56" s="110"/>
      <c r="F56" s="108"/>
      <c r="G56" s="109"/>
      <c r="H56" s="109"/>
      <c r="I56" s="110"/>
    </row>
    <row r="57" spans="2:9" ht="15.75" thickBot="1">
      <c r="B57" s="111"/>
      <c r="C57" s="112"/>
      <c r="D57" s="112"/>
      <c r="E57" s="113"/>
      <c r="F57" s="111"/>
      <c r="G57" s="112"/>
      <c r="H57" s="112"/>
      <c r="I57" s="113"/>
    </row>
    <row r="58" spans="2:9">
      <c r="B58" s="80" t="s">
        <v>240</v>
      </c>
      <c r="C58" s="81"/>
      <c r="D58" s="81"/>
      <c r="E58" s="81"/>
      <c r="F58" s="81"/>
      <c r="G58" s="81"/>
      <c r="H58" s="81"/>
      <c r="I58" s="82"/>
    </row>
    <row r="59" spans="2:9">
      <c r="B59" s="33" t="s">
        <v>51</v>
      </c>
      <c r="C59" s="34" t="s">
        <v>52</v>
      </c>
      <c r="D59" s="34" t="s">
        <v>53</v>
      </c>
      <c r="E59" s="34" t="s">
        <v>54</v>
      </c>
      <c r="F59" s="34" t="s">
        <v>55</v>
      </c>
      <c r="G59" s="104" t="s">
        <v>56</v>
      </c>
      <c r="H59" s="104"/>
      <c r="I59" s="105"/>
    </row>
    <row r="60" spans="2:9" ht="30">
      <c r="B60" s="38" cm="1">
        <f t="array" ref="B60">_xlfn.XLOOKUP($H$9,Tabla1[[Nombre Unidad de Estudios]:[Nombre Unidad de Estudios]],Tabla1['# versión],"",0)</f>
        <v>1</v>
      </c>
      <c r="C60" s="41" cm="1">
        <f t="array" ref="C60">_xlfn.XLOOKUP($H$9,Tabla1[[Nombre Unidad de Estudios]:[Nombre Unidad de Estudios]],Tabla1[Fecha],"",0)</f>
        <v>46083</v>
      </c>
      <c r="D60" s="35" t="str" cm="1">
        <f t="array" ref="D60">_xlfn.XLOOKUP($H$9,Tabla1[[Nombre Unidad de Estudios]:[Nombre Unidad de Estudios]],Tabla1[Elaboró],"",0)</f>
        <v>Omar Patiño</v>
      </c>
      <c r="E60" s="35" t="str" cm="1">
        <f t="array" ref="E60">_xlfn.XLOOKUP($H$9,Tabla1[[Nombre Unidad de Estudios]:[Nombre Unidad de Estudios]],Tabla1[Revisó],"",0)</f>
        <v>Juan Carlos Rentería</v>
      </c>
      <c r="F60" s="35" t="str" cm="1">
        <f t="array" ref="F60">_xlfn.XLOOKUP($H$9,Tabla1[[Nombre Unidad de Estudios]:[Nombre Unidad de Estudios]],Tabla1[Aprobó],"",0)</f>
        <v>Comité Curricular</v>
      </c>
      <c r="G60" s="106" t="str" cm="1">
        <f t="array" ref="G60">_xlfn.XLOOKUP($H$9,Tabla1[[Nombre Unidad de Estudios]:[Nombre Unidad de Estudios]],Tabla1[Descripción del cambio],"",0)</f>
        <v>Creación syllabus en nuevo formato</v>
      </c>
      <c r="H60" s="106"/>
      <c r="I60" s="107"/>
    </row>
    <row r="61" spans="2:9">
      <c r="B61" s="38"/>
      <c r="C61" s="35"/>
      <c r="D61" s="35"/>
      <c r="E61" s="35"/>
      <c r="F61" s="35"/>
      <c r="G61" s="106"/>
      <c r="H61" s="106"/>
      <c r="I61" s="107"/>
    </row>
    <row r="62" spans="2:9">
      <c r="B62" s="38"/>
      <c r="C62" s="35"/>
      <c r="D62" s="35"/>
      <c r="E62" s="35"/>
      <c r="F62" s="35"/>
      <c r="G62" s="106"/>
      <c r="H62" s="106"/>
      <c r="I62" s="107"/>
    </row>
    <row r="63" spans="2:9">
      <c r="B63" s="38"/>
      <c r="C63" s="35"/>
      <c r="D63" s="35"/>
      <c r="E63" s="35"/>
      <c r="F63" s="35"/>
      <c r="G63" s="106"/>
      <c r="H63" s="106"/>
      <c r="I63" s="107"/>
    </row>
    <row r="64" spans="2:9">
      <c r="B64" s="38"/>
      <c r="C64" s="35"/>
      <c r="D64" s="35"/>
      <c r="E64" s="35"/>
      <c r="F64" s="35"/>
      <c r="G64" s="106"/>
      <c r="H64" s="106"/>
      <c r="I64" s="107"/>
    </row>
    <row r="65" spans="2:9" ht="15.75" thickBot="1">
      <c r="B65" s="39"/>
      <c r="C65" s="40"/>
      <c r="D65" s="40"/>
      <c r="E65" s="40"/>
      <c r="F65" s="40"/>
      <c r="G65" s="141"/>
      <c r="H65" s="141"/>
      <c r="I65" s="142"/>
    </row>
  </sheetData>
  <mergeCells count="41">
    <mergeCell ref="G65:I65"/>
    <mergeCell ref="G59:I59"/>
    <mergeCell ref="G60:I60"/>
    <mergeCell ref="G61:I61"/>
    <mergeCell ref="G62:I62"/>
    <mergeCell ref="G63:I63"/>
    <mergeCell ref="G64:I64"/>
    <mergeCell ref="B58:I58"/>
    <mergeCell ref="B34:I34"/>
    <mergeCell ref="B35:I36"/>
    <mergeCell ref="B37:I39"/>
    <mergeCell ref="B40:E40"/>
    <mergeCell ref="F40:I40"/>
    <mergeCell ref="B41:E41"/>
    <mergeCell ref="F41:G41"/>
    <mergeCell ref="B42:I42"/>
    <mergeCell ref="B43:E43"/>
    <mergeCell ref="F43:I43"/>
    <mergeCell ref="B44:E57"/>
    <mergeCell ref="F44:I57"/>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K2" display="Menu principal" xr:uid="{00000000-0004-0000-0400-000000000000}"/>
  </hyperlinks>
  <pageMargins left="0.25" right="0.25" top="0.75" bottom="0.75" header="0.3" footer="0.3"/>
  <pageSetup paperSize="9" scale="72"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Tabla!$H$2:$H$22</xm:f>
          </x14:formula1>
          <xm:sqref>H9:I9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47D15-2AEE-453E-B2DA-96CABB2FEB17}">
  <sheetPr>
    <pageSetUpPr fitToPage="1"/>
  </sheetPr>
  <dimension ref="B1:K65"/>
  <sheetViews>
    <sheetView workbookViewId="0">
      <selection activeCell="F44" sqref="F44:I57"/>
    </sheetView>
  </sheetViews>
  <sheetFormatPr defaultColWidth="10.85546875" defaultRowHeight="15"/>
  <cols>
    <col min="1" max="1" width="3.140625" style="16" customWidth="1"/>
    <col min="2" max="2" width="14.28515625" style="16" customWidth="1"/>
    <col min="3" max="3" width="11.28515625" style="16" bestFit="1" customWidth="1"/>
    <col min="4" max="4" width="12.28515625" style="16" customWidth="1"/>
    <col min="5" max="5" width="16.28515625" style="16" customWidth="1"/>
    <col min="6" max="6" width="18.42578125" style="16" customWidth="1"/>
    <col min="7" max="7" width="10.85546875" style="16" customWidth="1"/>
    <col min="8" max="8" width="9.85546875" style="16" customWidth="1"/>
    <col min="9" max="9" width="16.7109375" style="16" customWidth="1"/>
    <col min="10" max="10" width="10.85546875" style="16"/>
    <col min="11" max="11" width="16.42578125" style="16" customWidth="1"/>
    <col min="12" max="16384" width="10.85546875" style="16"/>
  </cols>
  <sheetData>
    <row r="1" spans="2:11" ht="15.75" thickBot="1">
      <c r="C1" s="17"/>
      <c r="D1" s="17"/>
      <c r="E1" s="17"/>
      <c r="F1" s="17"/>
      <c r="G1" s="17"/>
      <c r="H1" s="17"/>
    </row>
    <row r="2" spans="2:11" ht="22.5" customHeight="1" thickTop="1">
      <c r="B2" s="10"/>
      <c r="C2" s="8" t="s">
        <v>204</v>
      </c>
      <c r="D2" s="8"/>
      <c r="E2" s="8"/>
      <c r="F2" s="8"/>
      <c r="G2" s="8"/>
      <c r="H2" s="8"/>
      <c r="I2" s="18" t="s">
        <v>205</v>
      </c>
      <c r="K2" s="46" t="s">
        <v>206</v>
      </c>
    </row>
    <row r="3" spans="2:11" ht="20.25" customHeight="1">
      <c r="B3" s="9"/>
      <c r="C3" s="7"/>
      <c r="D3" s="7"/>
      <c r="E3" s="7"/>
      <c r="F3" s="7"/>
      <c r="G3" s="7"/>
      <c r="H3" s="7"/>
      <c r="I3" s="19" t="s">
        <v>207</v>
      </c>
    </row>
    <row r="4" spans="2:11" ht="21" customHeight="1" thickBot="1">
      <c r="B4" s="6" t="s">
        <v>208</v>
      </c>
      <c r="C4" s="5"/>
      <c r="D4" s="5"/>
      <c r="E4" s="5"/>
      <c r="F4" s="5"/>
      <c r="G4" s="5"/>
      <c r="H4" s="5"/>
      <c r="I4" s="20" t="s">
        <v>209</v>
      </c>
    </row>
    <row r="5" spans="2:11" ht="16.5" thickTop="1" thickBot="1">
      <c r="B5" s="4"/>
      <c r="C5" s="4"/>
      <c r="D5" s="4"/>
      <c r="E5" s="4"/>
      <c r="F5" s="4"/>
      <c r="G5" s="4"/>
      <c r="H5" s="4"/>
      <c r="I5" s="4"/>
    </row>
    <row r="6" spans="2:11">
      <c r="B6" s="3" t="s">
        <v>210</v>
      </c>
      <c r="C6" s="2"/>
      <c r="D6" s="2"/>
      <c r="E6" s="2"/>
      <c r="F6" s="2"/>
      <c r="G6" s="2"/>
      <c r="H6" s="2"/>
      <c r="I6" s="1"/>
    </row>
    <row r="7" spans="2:11" ht="60">
      <c r="B7" s="22" t="s">
        <v>29</v>
      </c>
      <c r="C7" s="23" cm="1">
        <f t="array" ref="C7">_xlfn.XLOOKUP($H$9,Tabla1[[Nombre Unidad de Estudios]:[Nombre Unidad de Estudios]],Tabla1[Año],"",0)</f>
        <v>2026</v>
      </c>
      <c r="D7" s="24" t="s">
        <v>211</v>
      </c>
      <c r="E7" s="23" t="str" cm="1">
        <f t="array" ref="E7">_xlfn.XLOOKUP($H$9,Tabla1[[Nombre Unidad de Estudios]:[Nombre Unidad de Estudios]],Tabla1[Código Plan de Estudios],"",0)</f>
        <v>DTPGESBOG002</v>
      </c>
      <c r="F7" s="24" t="s">
        <v>212</v>
      </c>
      <c r="G7" s="23" t="str" cm="1">
        <f t="array" ref="G7">_xlfn.XLOOKUP($H$9,Tabla1[[Nombre Unidad de Estudios]:[Nombre Unidad de Estudios]],Tabla1[Código Unidad de Estudios],"",0)</f>
        <v>ADP01770</v>
      </c>
      <c r="H7" s="24" t="s">
        <v>213</v>
      </c>
      <c r="I7" s="23" t="str" cm="1">
        <f t="array" ref="I7">_xlfn.XLOOKUP($H$9,Tabla1[[Nombre Unidad de Estudios]:[Nombre Unidad de Estudios]],Tabla1[Tipo Unidad de Estudios],"",0)</f>
        <v>Requisito de Grado</v>
      </c>
    </row>
    <row r="8" spans="2:11" ht="30">
      <c r="B8" s="22" t="s">
        <v>33</v>
      </c>
      <c r="C8" s="25" t="s">
        <v>60</v>
      </c>
      <c r="D8" s="35" t="s">
        <v>214</v>
      </c>
      <c r="E8" s="25" t="s">
        <v>215</v>
      </c>
      <c r="F8" s="24"/>
      <c r="G8" s="24" t="s">
        <v>216</v>
      </c>
      <c r="H8" s="12"/>
      <c r="I8" s="11"/>
    </row>
    <row r="9" spans="2:11" ht="45">
      <c r="B9" s="26" t="s">
        <v>217</v>
      </c>
      <c r="C9" s="23" t="str" cm="1">
        <f t="array" ref="C9">_xlfn.XLOOKUP($H$9,Tabla1[[Nombre Unidad de Estudios]:[Nombre Unidad de Estudios]],Tabla1[Nivel],"",0)</f>
        <v>Doctorado</v>
      </c>
      <c r="D9" s="25" t="s">
        <v>218</v>
      </c>
      <c r="E9" s="78" t="str" cm="1">
        <f t="array" ref="E9">_xlfn.XLOOKUP($H$9,Tabla1[[Nombre Unidad de Estudios]:[Nombre Unidad de Estudios]],Tabla1[Programa],"",0)</f>
        <v>Doctorado En Gestión</v>
      </c>
      <c r="F9" s="78"/>
      <c r="G9" s="24" t="s">
        <v>219</v>
      </c>
      <c r="H9" s="78" t="s">
        <v>23</v>
      </c>
      <c r="I9" s="79"/>
    </row>
    <row r="10" spans="2:11" ht="30.75" thickBot="1">
      <c r="B10" s="27" t="s">
        <v>37</v>
      </c>
      <c r="C10" s="28" cm="1">
        <f t="array" ref="C10">_xlfn.XLOOKUP($H$9,Tabla1[[Nombre Unidad de Estudios]:[Nombre Unidad de Estudios]],Tabla1[Créditos Académicos],"",0)</f>
        <v>2</v>
      </c>
      <c r="D10" s="29" t="s">
        <v>220</v>
      </c>
      <c r="E10" s="28" cm="1">
        <f t="array" ref="E10">_xlfn.XLOOKUP($H$9,Tabla1[[Nombre Unidad de Estudios]:[Nombre Unidad de Estudios]],Tabla1[Horas de Acompañamiento Directo '[HAD']],"",0)</f>
        <v>24</v>
      </c>
      <c r="F10" s="29" t="s">
        <v>221</v>
      </c>
      <c r="G10" s="28" cm="1">
        <f t="array" ref="G10">_xlfn.XLOOKUP($H$9,Tabla1[[Nombre Unidad de Estudios]:[Nombre Unidad de Estudios]],Tabla1[Horas de Trabajo Autónomo '[HTA']],"",0)</f>
        <v>72</v>
      </c>
      <c r="H10" s="29" t="s">
        <v>222</v>
      </c>
      <c r="I10" s="30">
        <f>E10+G10</f>
        <v>96</v>
      </c>
    </row>
    <row r="11" spans="2:11">
      <c r="B11" s="80" t="s">
        <v>223</v>
      </c>
      <c r="C11" s="81"/>
      <c r="D11" s="81"/>
      <c r="E11" s="81"/>
      <c r="F11" s="81"/>
      <c r="G11" s="81"/>
      <c r="H11" s="81"/>
      <c r="I11" s="82"/>
    </row>
    <row r="12" spans="2:11" ht="76.5" customHeight="1">
      <c r="B12" s="83" t="s">
        <v>224</v>
      </c>
      <c r="C12" s="84"/>
      <c r="D12" s="85" t="str" cm="1">
        <f t="array" ref="D12">_xlfn.XLOOKUP($H$9,Tabla1[[Nombre Unidad de Estudios]:[Nombre Unidad de Estudios]],Tabla1[Descripción de la Unidad de Estudios],"",0)</f>
        <v>La unidad de estudios Tutoría II tiene como propósito orientar al estudiante en la construcción de la revisión de la literatura del anteproyecto de tesis doctoral.</v>
      </c>
      <c r="E12" s="86"/>
      <c r="F12" s="86"/>
      <c r="G12" s="86"/>
      <c r="H12" s="86"/>
      <c r="I12" s="87"/>
    </row>
    <row r="13" spans="2:11" ht="66" customHeight="1" thickBot="1">
      <c r="B13" s="88" t="s">
        <v>225</v>
      </c>
      <c r="C13" s="89"/>
      <c r="D13" s="90" t="str" cm="1">
        <f t="array" ref="D13">_xlfn.XLOOKUP($H$9,Tabla1[[Nombre Unidad de Estudios]:[Nombre Unidad de Estudios]],Tabla1[Resultado de Aprendizaje de la Unidad de Estudios],"",0)</f>
        <v>Crea hasta el marco teórico de un proyecto de investigación aplicando el método científico y/o modelos pertinentes para resolver una problemática desde una perspectiva transdisciplinar, de las organizaciones en un entorno de desarrollo sostenible.</v>
      </c>
      <c r="E13" s="91"/>
      <c r="F13" s="91"/>
      <c r="G13" s="91"/>
      <c r="H13" s="91"/>
      <c r="I13" s="92"/>
    </row>
    <row r="14" spans="2:11">
      <c r="B14" s="80" t="s">
        <v>226</v>
      </c>
      <c r="C14" s="81"/>
      <c r="D14" s="81"/>
      <c r="E14" s="81"/>
      <c r="F14" s="81"/>
      <c r="G14" s="81"/>
      <c r="H14" s="81"/>
      <c r="I14" s="82"/>
    </row>
    <row r="15" spans="2:11">
      <c r="B15" s="93" t="s">
        <v>227</v>
      </c>
      <c r="C15" s="78"/>
      <c r="D15" s="78"/>
      <c r="E15" s="78"/>
      <c r="F15" s="78"/>
      <c r="G15" s="78"/>
      <c r="H15" s="78"/>
      <c r="I15" s="79"/>
    </row>
    <row r="16" spans="2:11">
      <c r="B16" s="93"/>
      <c r="C16" s="78"/>
      <c r="D16" s="78"/>
      <c r="E16" s="78"/>
      <c r="F16" s="78"/>
      <c r="G16" s="78"/>
      <c r="H16" s="78"/>
      <c r="I16" s="79"/>
    </row>
    <row r="17" spans="2:9" ht="15.75" thickBot="1">
      <c r="B17" s="94"/>
      <c r="C17" s="95"/>
      <c r="D17" s="95"/>
      <c r="E17" s="95"/>
      <c r="F17" s="95"/>
      <c r="G17" s="95"/>
      <c r="H17" s="95"/>
      <c r="I17" s="96"/>
    </row>
    <row r="18" spans="2:9" ht="15.75" thickBot="1">
      <c r="B18" s="97" t="s">
        <v>228</v>
      </c>
      <c r="C18" s="98"/>
      <c r="D18" s="98"/>
      <c r="E18" s="98"/>
      <c r="F18" s="98"/>
      <c r="G18" s="98"/>
      <c r="H18" s="98"/>
      <c r="I18" s="99"/>
    </row>
    <row r="19" spans="2:9">
      <c r="B19" s="21" t="s">
        <v>44</v>
      </c>
      <c r="C19" s="43" t="str" cm="1">
        <f t="array" ref="C19">_xlfn.XLOOKUP($H$9,Tabla1[[Nombre Unidad de Estudios]:[Nombre Unidad de Estudios]],Tabla1[Módulo],"",0)</f>
        <v>4 semanas</v>
      </c>
      <c r="D19" s="21" t="s">
        <v>229</v>
      </c>
      <c r="E19" s="143" t="s">
        <v>230</v>
      </c>
      <c r="F19" s="144"/>
      <c r="G19" s="31" t="s">
        <v>231</v>
      </c>
      <c r="H19" s="145" t="s">
        <v>232</v>
      </c>
      <c r="I19" s="146"/>
    </row>
    <row r="20" spans="2:9">
      <c r="B20" s="13" t="str" cm="1">
        <f t="array" ref="B20">_xlfn.XLOOKUP($H$9,Tabla1[[Nombre Unidad de Estudios]:[Nombre Unidad de Estudios]],Tabla1[Contenidos Unidad de Estudios],"",0)</f>
        <v>Planteamiento de problema de investigación.
Articulación entre el planteamiento del problema, marco teórico, enfoque de investigación, alcances de investigación.
Utilidad de la teoría. Establecimiento de límites teóricos a la investigación.
Identificación de las fases para realizar la revisión sistemática de la literatura.</v>
      </c>
      <c r="C20" s="55"/>
      <c r="D20" s="60"/>
      <c r="E20" s="61"/>
      <c r="F20" s="62"/>
      <c r="G20" s="69"/>
      <c r="H20" s="70"/>
      <c r="I20" s="71"/>
    </row>
    <row r="21" spans="2:9">
      <c r="B21" s="56"/>
      <c r="C21" s="57"/>
      <c r="D21" s="63"/>
      <c r="E21" s="64"/>
      <c r="F21" s="65"/>
      <c r="G21" s="72"/>
      <c r="H21" s="73"/>
      <c r="I21" s="74"/>
    </row>
    <row r="22" spans="2:9">
      <c r="B22" s="56"/>
      <c r="C22" s="57"/>
      <c r="D22" s="63"/>
      <c r="E22" s="64"/>
      <c r="F22" s="65"/>
      <c r="G22" s="72"/>
      <c r="H22" s="73"/>
      <c r="I22" s="74"/>
    </row>
    <row r="23" spans="2:9">
      <c r="B23" s="56"/>
      <c r="C23" s="57"/>
      <c r="D23" s="63"/>
      <c r="E23" s="64"/>
      <c r="F23" s="65"/>
      <c r="G23" s="72"/>
      <c r="H23" s="73"/>
      <c r="I23" s="74"/>
    </row>
    <row r="24" spans="2:9">
      <c r="B24" s="56"/>
      <c r="C24" s="57"/>
      <c r="D24" s="63"/>
      <c r="E24" s="64"/>
      <c r="F24" s="65"/>
      <c r="G24" s="72"/>
      <c r="H24" s="73"/>
      <c r="I24" s="74"/>
    </row>
    <row r="25" spans="2:9">
      <c r="B25" s="56"/>
      <c r="C25" s="57"/>
      <c r="D25" s="63"/>
      <c r="E25" s="64"/>
      <c r="F25" s="65"/>
      <c r="G25" s="72"/>
      <c r="H25" s="73"/>
      <c r="I25" s="74"/>
    </row>
    <row r="26" spans="2:9">
      <c r="B26" s="56"/>
      <c r="C26" s="57"/>
      <c r="D26" s="63"/>
      <c r="E26" s="64"/>
      <c r="F26" s="65"/>
      <c r="G26" s="72"/>
      <c r="H26" s="73"/>
      <c r="I26" s="74"/>
    </row>
    <row r="27" spans="2:9">
      <c r="B27" s="56"/>
      <c r="C27" s="57"/>
      <c r="D27" s="63"/>
      <c r="E27" s="64"/>
      <c r="F27" s="65"/>
      <c r="G27" s="72"/>
      <c r="H27" s="73"/>
      <c r="I27" s="74"/>
    </row>
    <row r="28" spans="2:9">
      <c r="B28" s="56"/>
      <c r="C28" s="57"/>
      <c r="D28" s="63"/>
      <c r="E28" s="64"/>
      <c r="F28" s="65"/>
      <c r="G28" s="72"/>
      <c r="H28" s="73"/>
      <c r="I28" s="74"/>
    </row>
    <row r="29" spans="2:9">
      <c r="B29" s="56"/>
      <c r="C29" s="57"/>
      <c r="D29" s="63"/>
      <c r="E29" s="64"/>
      <c r="F29" s="65"/>
      <c r="G29" s="72"/>
      <c r="H29" s="73"/>
      <c r="I29" s="74"/>
    </row>
    <row r="30" spans="2:9">
      <c r="B30" s="56"/>
      <c r="C30" s="57"/>
      <c r="D30" s="63"/>
      <c r="E30" s="64"/>
      <c r="F30" s="65"/>
      <c r="G30" s="72"/>
      <c r="H30" s="73"/>
      <c r="I30" s="74"/>
    </row>
    <row r="31" spans="2:9">
      <c r="B31" s="56"/>
      <c r="C31" s="57"/>
      <c r="D31" s="63"/>
      <c r="E31" s="64"/>
      <c r="F31" s="65"/>
      <c r="G31" s="72"/>
      <c r="H31" s="73"/>
      <c r="I31" s="74"/>
    </row>
    <row r="32" spans="2:9">
      <c r="B32" s="56"/>
      <c r="C32" s="57"/>
      <c r="D32" s="63"/>
      <c r="E32" s="64"/>
      <c r="F32" s="65"/>
      <c r="G32" s="72"/>
      <c r="H32" s="73"/>
      <c r="I32" s="74"/>
    </row>
    <row r="33" spans="2:9" ht="15.75" thickBot="1">
      <c r="B33" s="58"/>
      <c r="C33" s="59"/>
      <c r="D33" s="66"/>
      <c r="E33" s="67"/>
      <c r="F33" s="68"/>
      <c r="G33" s="75"/>
      <c r="H33" s="76"/>
      <c r="I33" s="77"/>
    </row>
    <row r="34" spans="2:9" ht="15.75" thickBot="1">
      <c r="B34" s="114" t="s">
        <v>233</v>
      </c>
      <c r="C34" s="115"/>
      <c r="D34" s="115"/>
      <c r="E34" s="115"/>
      <c r="F34" s="115"/>
      <c r="G34" s="115"/>
      <c r="H34" s="115"/>
      <c r="I34" s="116"/>
    </row>
    <row r="35" spans="2:9" ht="14.45" customHeight="1">
      <c r="B35" s="126" t="s">
        <v>234</v>
      </c>
      <c r="C35" s="127"/>
      <c r="D35" s="127"/>
      <c r="E35" s="127"/>
      <c r="F35" s="127"/>
      <c r="G35" s="127"/>
      <c r="H35" s="127"/>
      <c r="I35" s="128"/>
    </row>
    <row r="36" spans="2:9">
      <c r="B36" s="129"/>
      <c r="C36" s="130"/>
      <c r="D36" s="130"/>
      <c r="E36" s="130"/>
      <c r="F36" s="130"/>
      <c r="G36" s="130"/>
      <c r="H36" s="130"/>
      <c r="I36" s="131"/>
    </row>
    <row r="37" spans="2:9">
      <c r="B37" s="132" t="str" cm="1">
        <f t="array" ref="B37">_xlfn.XLOOKUP($H$9,Tabla1[[Nombre Unidad de Estudios]:[Nombre Unidad de Estudios]],Tabla1[Esquema de Calificación],"",0)</f>
        <v>30% Evaluación de exposición oral, debates, argumentación, talleres.
35% Primer avance de investigación, aproximación a manejo de gestores bibliográficos.
35% Informe final de investigación con la construcción del marco teórico, análisis de datos cualitativos.</v>
      </c>
      <c r="C37" s="133"/>
      <c r="D37" s="133"/>
      <c r="E37" s="133"/>
      <c r="F37" s="133"/>
      <c r="G37" s="133"/>
      <c r="H37" s="133"/>
      <c r="I37" s="134"/>
    </row>
    <row r="38" spans="2:9">
      <c r="B38" s="132"/>
      <c r="C38" s="133"/>
      <c r="D38" s="133"/>
      <c r="E38" s="133"/>
      <c r="F38" s="133"/>
      <c r="G38" s="133"/>
      <c r="H38" s="133"/>
      <c r="I38" s="134"/>
    </row>
    <row r="39" spans="2:9" ht="15.75" thickBot="1">
      <c r="B39" s="135"/>
      <c r="C39" s="136"/>
      <c r="D39" s="136"/>
      <c r="E39" s="136"/>
      <c r="F39" s="136"/>
      <c r="G39" s="136"/>
      <c r="H39" s="136"/>
      <c r="I39" s="137"/>
    </row>
    <row r="40" spans="2:9" ht="34.5" customHeight="1" thickBot="1">
      <c r="B40" s="117" t="s">
        <v>235</v>
      </c>
      <c r="C40" s="118"/>
      <c r="D40" s="118"/>
      <c r="E40" s="119"/>
      <c r="F40" s="120" t="str" cm="1">
        <f t="array" ref="F40">_xlfn.XLOOKUP($H$9,Tabla1[[Nombre Unidad de Estudios]:[Nombre Unidad de Estudios]],Tabla1[Recursos Tecnológicos],"",0)</f>
        <v>Base de datos; Material bibliográfico; Plataforma virtual</v>
      </c>
      <c r="G40" s="121"/>
      <c r="H40" s="121"/>
      <c r="I40" s="122"/>
    </row>
    <row r="41" spans="2:9" ht="15.75" thickBot="1">
      <c r="B41" s="123" t="s">
        <v>236</v>
      </c>
      <c r="C41" s="124"/>
      <c r="D41" s="124"/>
      <c r="E41" s="124"/>
      <c r="F41" s="125" t="str" cm="1">
        <f t="array" ref="F41">_xlfn.XLOOKUP($H$9,Tabla1[[Nombre Unidad de Estudios]:[Nombre Unidad de Estudios]],Tabla1[Componente de Lengua Extranjera '[Idioma']],"",0)</f>
        <v>Inglés</v>
      </c>
      <c r="G41" s="125"/>
      <c r="H41" s="32" t="s">
        <v>237</v>
      </c>
      <c r="I41" s="36" cm="1">
        <f t="array" ref="I41">_xlfn.XLOOKUP($H$9,Tabla1[[Nombre Unidad de Estudios]:[Nombre Unidad de Estudios]],Tabla1[Componente de Lengua Extranjera '[%']],"",0)</f>
        <v>0.3</v>
      </c>
    </row>
    <row r="42" spans="2:9">
      <c r="B42" s="80" t="s">
        <v>238</v>
      </c>
      <c r="C42" s="81"/>
      <c r="D42" s="81"/>
      <c r="E42" s="81"/>
      <c r="F42" s="81"/>
      <c r="G42" s="81"/>
      <c r="H42" s="81"/>
      <c r="I42" s="82"/>
    </row>
    <row r="43" spans="2:9" ht="14.45" customHeight="1">
      <c r="B43" s="138" t="s">
        <v>49</v>
      </c>
      <c r="C43" s="139"/>
      <c r="D43" s="139"/>
      <c r="E43" s="140"/>
      <c r="F43" s="138" t="s">
        <v>239</v>
      </c>
      <c r="G43" s="139"/>
      <c r="H43" s="139"/>
      <c r="I43" s="140"/>
    </row>
    <row r="44" spans="2:9">
      <c r="B44" s="108" t="str" cm="1">
        <f t="array" ref="B44">_xlfn.XLOOKUP($H$9,Tabla1[[Nombre Unidad de Estudios]:[Nombre Unidad de Estudios]],Tabla1[Bibliografía Obligatoria],"",0)</f>
        <v>Bell, C. y French, W. (1995). Desarrollo Organizacional. Prentice-Hall Hispanoamericana.
Bernal Torres, C. A. (2000). Metodología de la Investigación para Administración y Economía. Pearson.
Bejarano A., J. A. (1996). Sobre la Investigación y la Consultoría Económica: Fragmentos de un Proyecto. Innovar, (8).</v>
      </c>
      <c r="C44" s="109"/>
      <c r="D44" s="109"/>
      <c r="E44" s="110"/>
      <c r="F44" s="108" t="str" cm="1">
        <f t="array" ref="F44">_xlfn.XLOOKUP($H$9,Tabla1[[Nombre Unidad de Estudios]:[Nombre Unidad de Estudios]],Tabla1[Bibliografia Complementaria],"",0)</f>
        <v>Jordan, P. J. y Troth, A. C. (2020). Common method bias in applied settings. Australian Journal of Management, 45(1), 3-14. https://doi.org/10.1177/0312896219871976
Kuhn, T. S. (2005). La estructura de las revoluciones científicas. Fondo de Cultura Económica.
Lakatos, I. (1993). La metodología de los Programas de investigación científica. Alianza.</v>
      </c>
      <c r="G44" s="109"/>
      <c r="H44" s="109"/>
      <c r="I44" s="110"/>
    </row>
    <row r="45" spans="2:9">
      <c r="B45" s="108"/>
      <c r="C45" s="109"/>
      <c r="D45" s="109"/>
      <c r="E45" s="110"/>
      <c r="F45" s="108"/>
      <c r="G45" s="109"/>
      <c r="H45" s="109"/>
      <c r="I45" s="110"/>
    </row>
    <row r="46" spans="2:9">
      <c r="B46" s="108"/>
      <c r="C46" s="109"/>
      <c r="D46" s="109"/>
      <c r="E46" s="110"/>
      <c r="F46" s="108"/>
      <c r="G46" s="109"/>
      <c r="H46" s="109"/>
      <c r="I46" s="110"/>
    </row>
    <row r="47" spans="2:9">
      <c r="B47" s="108"/>
      <c r="C47" s="109"/>
      <c r="D47" s="109"/>
      <c r="E47" s="110"/>
      <c r="F47" s="108"/>
      <c r="G47" s="109"/>
      <c r="H47" s="109"/>
      <c r="I47" s="110"/>
    </row>
    <row r="48" spans="2:9">
      <c r="B48" s="108"/>
      <c r="C48" s="109"/>
      <c r="D48" s="109"/>
      <c r="E48" s="110"/>
      <c r="F48" s="108"/>
      <c r="G48" s="109"/>
      <c r="H48" s="109"/>
      <c r="I48" s="110"/>
    </row>
    <row r="49" spans="2:9">
      <c r="B49" s="108"/>
      <c r="C49" s="109"/>
      <c r="D49" s="109"/>
      <c r="E49" s="110"/>
      <c r="F49" s="108"/>
      <c r="G49" s="109"/>
      <c r="H49" s="109"/>
      <c r="I49" s="110"/>
    </row>
    <row r="50" spans="2:9">
      <c r="B50" s="108"/>
      <c r="C50" s="109"/>
      <c r="D50" s="109"/>
      <c r="E50" s="110"/>
      <c r="F50" s="108"/>
      <c r="G50" s="109"/>
      <c r="H50" s="109"/>
      <c r="I50" s="110"/>
    </row>
    <row r="51" spans="2:9">
      <c r="B51" s="108"/>
      <c r="C51" s="109"/>
      <c r="D51" s="109"/>
      <c r="E51" s="110"/>
      <c r="F51" s="108"/>
      <c r="G51" s="109"/>
      <c r="H51" s="109"/>
      <c r="I51" s="110"/>
    </row>
    <row r="52" spans="2:9">
      <c r="B52" s="108"/>
      <c r="C52" s="109"/>
      <c r="D52" s="109"/>
      <c r="E52" s="110"/>
      <c r="F52" s="108"/>
      <c r="G52" s="109"/>
      <c r="H52" s="109"/>
      <c r="I52" s="110"/>
    </row>
    <row r="53" spans="2:9">
      <c r="B53" s="108"/>
      <c r="C53" s="109"/>
      <c r="D53" s="109"/>
      <c r="E53" s="110"/>
      <c r="F53" s="108"/>
      <c r="G53" s="109"/>
      <c r="H53" s="109"/>
      <c r="I53" s="110"/>
    </row>
    <row r="54" spans="2:9">
      <c r="B54" s="108"/>
      <c r="C54" s="109"/>
      <c r="D54" s="109"/>
      <c r="E54" s="110"/>
      <c r="F54" s="108"/>
      <c r="G54" s="109"/>
      <c r="H54" s="109"/>
      <c r="I54" s="110"/>
    </row>
    <row r="55" spans="2:9">
      <c r="B55" s="108"/>
      <c r="C55" s="109"/>
      <c r="D55" s="109"/>
      <c r="E55" s="110"/>
      <c r="F55" s="108"/>
      <c r="G55" s="109"/>
      <c r="H55" s="109"/>
      <c r="I55" s="110"/>
    </row>
    <row r="56" spans="2:9">
      <c r="B56" s="108"/>
      <c r="C56" s="109"/>
      <c r="D56" s="109"/>
      <c r="E56" s="110"/>
      <c r="F56" s="108"/>
      <c r="G56" s="109"/>
      <c r="H56" s="109"/>
      <c r="I56" s="110"/>
    </row>
    <row r="57" spans="2:9" ht="15.75" thickBot="1">
      <c r="B57" s="111"/>
      <c r="C57" s="112"/>
      <c r="D57" s="112"/>
      <c r="E57" s="113"/>
      <c r="F57" s="111"/>
      <c r="G57" s="112"/>
      <c r="H57" s="112"/>
      <c r="I57" s="113"/>
    </row>
    <row r="58" spans="2:9">
      <c r="B58" s="80" t="s">
        <v>240</v>
      </c>
      <c r="C58" s="81"/>
      <c r="D58" s="81"/>
      <c r="E58" s="81"/>
      <c r="F58" s="81"/>
      <c r="G58" s="81"/>
      <c r="H58" s="81"/>
      <c r="I58" s="82"/>
    </row>
    <row r="59" spans="2:9">
      <c r="B59" s="33" t="s">
        <v>51</v>
      </c>
      <c r="C59" s="34" t="s">
        <v>52</v>
      </c>
      <c r="D59" s="34" t="s">
        <v>53</v>
      </c>
      <c r="E59" s="34" t="s">
        <v>54</v>
      </c>
      <c r="F59" s="34" t="s">
        <v>55</v>
      </c>
      <c r="G59" s="104" t="s">
        <v>56</v>
      </c>
      <c r="H59" s="104"/>
      <c r="I59" s="105"/>
    </row>
    <row r="60" spans="2:9" ht="30">
      <c r="B60" s="38" cm="1">
        <f t="array" ref="B60">_xlfn.XLOOKUP($H$9,Tabla1[[Nombre Unidad de Estudios]:[Nombre Unidad de Estudios]],Tabla1['# versión],"",0)</f>
        <v>1</v>
      </c>
      <c r="C60" s="41" cm="1">
        <f t="array" ref="C60">_xlfn.XLOOKUP($H$9,Tabla1[[Nombre Unidad de Estudios]:[Nombre Unidad de Estudios]],Tabla1[Fecha],"",0)</f>
        <v>46083</v>
      </c>
      <c r="D60" s="35" t="str" cm="1">
        <f t="array" ref="D60">_xlfn.XLOOKUP($H$9,Tabla1[[Nombre Unidad de Estudios]:[Nombre Unidad de Estudios]],Tabla1[Elaboró],"",0)</f>
        <v>Omar Patiño</v>
      </c>
      <c r="E60" s="35" t="str" cm="1">
        <f t="array" ref="E60">_xlfn.XLOOKUP($H$9,Tabla1[[Nombre Unidad de Estudios]:[Nombre Unidad de Estudios]],Tabla1[Revisó],"",0)</f>
        <v>Juan Carlos Rentería</v>
      </c>
      <c r="F60" s="35" t="str" cm="1">
        <f t="array" ref="F60">_xlfn.XLOOKUP($H$9,Tabla1[[Nombre Unidad de Estudios]:[Nombre Unidad de Estudios]],Tabla1[Aprobó],"",0)</f>
        <v>Comité Curricular</v>
      </c>
      <c r="G60" s="106" t="str" cm="1">
        <f t="array" ref="G60">_xlfn.XLOOKUP($H$9,Tabla1[[Nombre Unidad de Estudios]:[Nombre Unidad de Estudios]],Tabla1[Descripción del cambio],"",0)</f>
        <v>Creación syllabus en nuevo formato</v>
      </c>
      <c r="H60" s="106"/>
      <c r="I60" s="107"/>
    </row>
    <row r="61" spans="2:9">
      <c r="B61" s="38"/>
      <c r="C61" s="35"/>
      <c r="D61" s="35"/>
      <c r="E61" s="35"/>
      <c r="F61" s="35"/>
      <c r="G61" s="106"/>
      <c r="H61" s="106"/>
      <c r="I61" s="107"/>
    </row>
    <row r="62" spans="2:9">
      <c r="B62" s="38"/>
      <c r="C62" s="35"/>
      <c r="D62" s="35"/>
      <c r="E62" s="35"/>
      <c r="F62" s="35"/>
      <c r="G62" s="106"/>
      <c r="H62" s="106"/>
      <c r="I62" s="107"/>
    </row>
    <row r="63" spans="2:9">
      <c r="B63" s="38"/>
      <c r="C63" s="35"/>
      <c r="D63" s="35"/>
      <c r="E63" s="35"/>
      <c r="F63" s="35"/>
      <c r="G63" s="106"/>
      <c r="H63" s="106"/>
      <c r="I63" s="107"/>
    </row>
    <row r="64" spans="2:9">
      <c r="B64" s="38"/>
      <c r="C64" s="35"/>
      <c r="D64" s="35"/>
      <c r="E64" s="35"/>
      <c r="F64" s="35"/>
      <c r="G64" s="106"/>
      <c r="H64" s="106"/>
      <c r="I64" s="107"/>
    </row>
    <row r="65" spans="2:9" ht="15.75" thickBot="1">
      <c r="B65" s="39"/>
      <c r="C65" s="40"/>
      <c r="D65" s="40"/>
      <c r="E65" s="40"/>
      <c r="F65" s="40"/>
      <c r="G65" s="141"/>
      <c r="H65" s="141"/>
      <c r="I65" s="142"/>
    </row>
  </sheetData>
  <mergeCells count="41">
    <mergeCell ref="G65:I65"/>
    <mergeCell ref="G59:I59"/>
    <mergeCell ref="G60:I60"/>
    <mergeCell ref="G61:I61"/>
    <mergeCell ref="G62:I62"/>
    <mergeCell ref="G63:I63"/>
    <mergeCell ref="G64:I64"/>
    <mergeCell ref="B58:I58"/>
    <mergeCell ref="B34:I34"/>
    <mergeCell ref="B35:I36"/>
    <mergeCell ref="B37:I39"/>
    <mergeCell ref="B40:E40"/>
    <mergeCell ref="F40:I40"/>
    <mergeCell ref="B41:E41"/>
    <mergeCell ref="F41:G41"/>
    <mergeCell ref="B42:I42"/>
    <mergeCell ref="B43:E43"/>
    <mergeCell ref="F43:I43"/>
    <mergeCell ref="B44:E57"/>
    <mergeCell ref="F44:I57"/>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K2" display="Menu principal" xr:uid="{00000000-0004-0000-0500-000000000000}"/>
  </hyperlinks>
  <pageMargins left="0.25" right="0.25" top="0.75" bottom="0.75" header="0.3" footer="0.3"/>
  <pageSetup paperSize="9" scale="72"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Tabla!$H$2:$H$22</xm:f>
          </x14:formula1>
          <xm:sqref>H9:I9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04233-02CB-41B4-A728-35D0A1249202}">
  <sheetPr>
    <pageSetUpPr fitToPage="1"/>
  </sheetPr>
  <dimension ref="B1:K65"/>
  <sheetViews>
    <sheetView workbookViewId="0">
      <selection activeCell="F44" sqref="F44:I57"/>
    </sheetView>
  </sheetViews>
  <sheetFormatPr defaultColWidth="10.85546875" defaultRowHeight="15"/>
  <cols>
    <col min="1" max="1" width="3.140625" style="16" customWidth="1"/>
    <col min="2" max="2" width="14.28515625" style="16" customWidth="1"/>
    <col min="3" max="3" width="11.28515625" style="16" bestFit="1" customWidth="1"/>
    <col min="4" max="4" width="12.28515625" style="16" customWidth="1"/>
    <col min="5" max="5" width="16.28515625" style="16" customWidth="1"/>
    <col min="6" max="6" width="18.42578125" style="16" customWidth="1"/>
    <col min="7" max="7" width="10.85546875" style="16" customWidth="1"/>
    <col min="8" max="8" width="9.85546875" style="16" customWidth="1"/>
    <col min="9" max="9" width="16.7109375" style="16" customWidth="1"/>
    <col min="10" max="10" width="10.85546875" style="16"/>
    <col min="11" max="11" width="16.42578125" style="16" customWidth="1"/>
    <col min="12" max="16384" width="10.85546875" style="16"/>
  </cols>
  <sheetData>
    <row r="1" spans="2:11" ht="15.75" thickBot="1">
      <c r="C1" s="17"/>
      <c r="D1" s="17"/>
      <c r="E1" s="17"/>
      <c r="F1" s="17"/>
      <c r="G1" s="17"/>
      <c r="H1" s="17"/>
    </row>
    <row r="2" spans="2:11" ht="22.5" customHeight="1" thickTop="1">
      <c r="B2" s="10"/>
      <c r="C2" s="8" t="s">
        <v>204</v>
      </c>
      <c r="D2" s="8"/>
      <c r="E2" s="8"/>
      <c r="F2" s="8"/>
      <c r="G2" s="8"/>
      <c r="H2" s="8"/>
      <c r="I2" s="18" t="s">
        <v>205</v>
      </c>
      <c r="K2" s="46" t="s">
        <v>206</v>
      </c>
    </row>
    <row r="3" spans="2:11" ht="20.25" customHeight="1">
      <c r="B3" s="9"/>
      <c r="C3" s="7"/>
      <c r="D3" s="7"/>
      <c r="E3" s="7"/>
      <c r="F3" s="7"/>
      <c r="G3" s="7"/>
      <c r="H3" s="7"/>
      <c r="I3" s="19" t="s">
        <v>207</v>
      </c>
    </row>
    <row r="4" spans="2:11" ht="21" customHeight="1" thickBot="1">
      <c r="B4" s="6" t="s">
        <v>208</v>
      </c>
      <c r="C4" s="5"/>
      <c r="D4" s="5"/>
      <c r="E4" s="5"/>
      <c r="F4" s="5"/>
      <c r="G4" s="5"/>
      <c r="H4" s="5"/>
      <c r="I4" s="20" t="s">
        <v>209</v>
      </c>
    </row>
    <row r="5" spans="2:11" ht="16.5" thickTop="1" thickBot="1">
      <c r="B5" s="4"/>
      <c r="C5" s="4"/>
      <c r="D5" s="4"/>
      <c r="E5" s="4"/>
      <c r="F5" s="4"/>
      <c r="G5" s="4"/>
      <c r="H5" s="4"/>
      <c r="I5" s="4"/>
    </row>
    <row r="6" spans="2:11">
      <c r="B6" s="3" t="s">
        <v>210</v>
      </c>
      <c r="C6" s="2"/>
      <c r="D6" s="2"/>
      <c r="E6" s="2"/>
      <c r="F6" s="2"/>
      <c r="G6" s="2"/>
      <c r="H6" s="2"/>
      <c r="I6" s="1"/>
    </row>
    <row r="7" spans="2:11" ht="60">
      <c r="B7" s="22" t="s">
        <v>29</v>
      </c>
      <c r="C7" s="23" cm="1">
        <f t="array" ref="C7">_xlfn.XLOOKUP($H$9,Tabla1[[Nombre Unidad de Estudios]:[Nombre Unidad de Estudios]],Tabla1[Año],"",0)</f>
        <v>2026</v>
      </c>
      <c r="D7" s="24" t="s">
        <v>211</v>
      </c>
      <c r="E7" s="23" t="str" cm="1">
        <f t="array" ref="E7">_xlfn.XLOOKUP($H$9,Tabla1[[Nombre Unidad de Estudios]:[Nombre Unidad de Estudios]],Tabla1[Código Plan de Estudios],"",0)</f>
        <v>DTPGESBOG002</v>
      </c>
      <c r="F7" s="24" t="s">
        <v>212</v>
      </c>
      <c r="G7" s="23" t="str" cm="1">
        <f t="array" ref="G7">_xlfn.XLOOKUP($H$9,Tabla1[[Nombre Unidad de Estudios]:[Nombre Unidad de Estudios]],Tabla1[Código Unidad de Estudios],"",0)</f>
        <v>ADP01771</v>
      </c>
      <c r="H7" s="24" t="s">
        <v>213</v>
      </c>
      <c r="I7" s="23" t="str" cm="1">
        <f t="array" ref="I7">_xlfn.XLOOKUP($H$9,Tabla1[[Nombre Unidad de Estudios]:[Nombre Unidad de Estudios]],Tabla1[Tipo Unidad de Estudios],"",0)</f>
        <v>Requisito de Grado</v>
      </c>
    </row>
    <row r="8" spans="2:11" ht="30">
      <c r="B8" s="22" t="s">
        <v>33</v>
      </c>
      <c r="C8" s="25" t="s">
        <v>60</v>
      </c>
      <c r="D8" s="35" t="s">
        <v>214</v>
      </c>
      <c r="E8" s="25" t="s">
        <v>215</v>
      </c>
      <c r="F8" s="24"/>
      <c r="G8" s="24" t="s">
        <v>216</v>
      </c>
      <c r="H8" s="12"/>
      <c r="I8" s="11"/>
    </row>
    <row r="9" spans="2:11" ht="45">
      <c r="B9" s="26" t="s">
        <v>217</v>
      </c>
      <c r="C9" s="23" t="str" cm="1">
        <f t="array" ref="C9">_xlfn.XLOOKUP($H$9,Tabla1[[Nombre Unidad de Estudios]:[Nombre Unidad de Estudios]],Tabla1[Nivel],"",0)</f>
        <v>Doctorado</v>
      </c>
      <c r="D9" s="25" t="s">
        <v>218</v>
      </c>
      <c r="E9" s="78" t="str" cm="1">
        <f t="array" ref="E9">_xlfn.XLOOKUP($H$9,Tabla1[[Nombre Unidad de Estudios]:[Nombre Unidad de Estudios]],Tabla1[Programa],"",0)</f>
        <v>Doctorado En Gestión</v>
      </c>
      <c r="F9" s="78"/>
      <c r="G9" s="24" t="s">
        <v>219</v>
      </c>
      <c r="H9" s="78" t="s">
        <v>24</v>
      </c>
      <c r="I9" s="79"/>
    </row>
    <row r="10" spans="2:11" ht="30.75" thickBot="1">
      <c r="B10" s="27" t="s">
        <v>37</v>
      </c>
      <c r="C10" s="28" cm="1">
        <f t="array" ref="C10">_xlfn.XLOOKUP($H$9,Tabla1[[Nombre Unidad de Estudios]:[Nombre Unidad de Estudios]],Tabla1[Créditos Académicos],"",0)</f>
        <v>2</v>
      </c>
      <c r="D10" s="29" t="s">
        <v>220</v>
      </c>
      <c r="E10" s="28" cm="1">
        <f t="array" ref="E10">_xlfn.XLOOKUP($H$9,Tabla1[[Nombre Unidad de Estudios]:[Nombre Unidad de Estudios]],Tabla1[Horas de Acompañamiento Directo '[HAD']],"",0)</f>
        <v>24</v>
      </c>
      <c r="F10" s="29" t="s">
        <v>221</v>
      </c>
      <c r="G10" s="28" cm="1">
        <f t="array" ref="G10">_xlfn.XLOOKUP($H$9,Tabla1[[Nombre Unidad de Estudios]:[Nombre Unidad de Estudios]],Tabla1[Horas de Trabajo Autónomo '[HTA']],"",0)</f>
        <v>72</v>
      </c>
      <c r="H10" s="29" t="s">
        <v>222</v>
      </c>
      <c r="I10" s="30">
        <f>E10+G10</f>
        <v>96</v>
      </c>
    </row>
    <row r="11" spans="2:11">
      <c r="B11" s="80" t="s">
        <v>223</v>
      </c>
      <c r="C11" s="81"/>
      <c r="D11" s="81"/>
      <c r="E11" s="81"/>
      <c r="F11" s="81"/>
      <c r="G11" s="81"/>
      <c r="H11" s="81"/>
      <c r="I11" s="82"/>
    </row>
    <row r="12" spans="2:11" ht="76.5" customHeight="1">
      <c r="B12" s="83" t="s">
        <v>224</v>
      </c>
      <c r="C12" s="84"/>
      <c r="D12" s="85" t="str" cm="1">
        <f t="array" ref="D12">_xlfn.XLOOKUP($H$9,Tabla1[[Nombre Unidad de Estudios]:[Nombre Unidad de Estudios]],Tabla1[Descripción de la Unidad de Estudios],"",0)</f>
        <v>La investigación como un proceso de generación de conocimiento es la base del desarrollo de una tesis doctoral. La comprensión del problema objeto de la investigación y su inserción en el estado del arte son componentes fundamentales del proceso investigativo.</v>
      </c>
      <c r="E12" s="86"/>
      <c r="F12" s="86"/>
      <c r="G12" s="86"/>
      <c r="H12" s="86"/>
      <c r="I12" s="87"/>
    </row>
    <row r="13" spans="2:11" ht="66" customHeight="1" thickBot="1">
      <c r="B13" s="88" t="s">
        <v>225</v>
      </c>
      <c r="C13" s="89"/>
      <c r="D13" s="90" t="str" cm="1">
        <f t="array" ref="D13">_xlfn.XLOOKUP($H$9,Tabla1[[Nombre Unidad de Estudios]:[Nombre Unidad de Estudios]],Tabla1[Resultado de Aprendizaje de la Unidad de Estudios],"",0)</f>
        <v>Propone el ante proyecto del trabajo tesis doctoral aplicando las herramientas de habilidades, conceptuales, metodológicas y de estilo, con el enfoque de investigación, desarrollo e innovación.</v>
      </c>
      <c r="E13" s="91"/>
      <c r="F13" s="91"/>
      <c r="G13" s="91"/>
      <c r="H13" s="91"/>
      <c r="I13" s="92"/>
    </row>
    <row r="14" spans="2:11">
      <c r="B14" s="80" t="s">
        <v>226</v>
      </c>
      <c r="C14" s="81"/>
      <c r="D14" s="81"/>
      <c r="E14" s="81"/>
      <c r="F14" s="81"/>
      <c r="G14" s="81"/>
      <c r="H14" s="81"/>
      <c r="I14" s="82"/>
    </row>
    <row r="15" spans="2:11">
      <c r="B15" s="93" t="s">
        <v>227</v>
      </c>
      <c r="C15" s="78"/>
      <c r="D15" s="78"/>
      <c r="E15" s="78"/>
      <c r="F15" s="78"/>
      <c r="G15" s="78"/>
      <c r="H15" s="78"/>
      <c r="I15" s="79"/>
    </row>
    <row r="16" spans="2:11">
      <c r="B16" s="93"/>
      <c r="C16" s="78"/>
      <c r="D16" s="78"/>
      <c r="E16" s="78"/>
      <c r="F16" s="78"/>
      <c r="G16" s="78"/>
      <c r="H16" s="78"/>
      <c r="I16" s="79"/>
    </row>
    <row r="17" spans="2:9" ht="15.75" thickBot="1">
      <c r="B17" s="94"/>
      <c r="C17" s="95"/>
      <c r="D17" s="95"/>
      <c r="E17" s="95"/>
      <c r="F17" s="95"/>
      <c r="G17" s="95"/>
      <c r="H17" s="95"/>
      <c r="I17" s="96"/>
    </row>
    <row r="18" spans="2:9" ht="15.75" thickBot="1">
      <c r="B18" s="97" t="s">
        <v>228</v>
      </c>
      <c r="C18" s="98"/>
      <c r="D18" s="98"/>
      <c r="E18" s="98"/>
      <c r="F18" s="98"/>
      <c r="G18" s="98"/>
      <c r="H18" s="98"/>
      <c r="I18" s="99"/>
    </row>
    <row r="19" spans="2:9">
      <c r="B19" s="21" t="s">
        <v>44</v>
      </c>
      <c r="C19" s="43" t="str" cm="1">
        <f t="array" ref="C19">_xlfn.XLOOKUP($H$9,Tabla1[[Nombre Unidad de Estudios]:[Nombre Unidad de Estudios]],Tabla1[Módulo],"",0)</f>
        <v>4 semanas</v>
      </c>
      <c r="D19" s="21" t="s">
        <v>229</v>
      </c>
      <c r="E19" s="143" t="s">
        <v>230</v>
      </c>
      <c r="F19" s="144"/>
      <c r="G19" s="31" t="s">
        <v>231</v>
      </c>
      <c r="H19" s="145" t="s">
        <v>232</v>
      </c>
      <c r="I19" s="146"/>
    </row>
    <row r="20" spans="2:9">
      <c r="B20" s="13" t="str" cm="1">
        <f t="array" ref="B20">_xlfn.XLOOKUP($H$9,Tabla1[[Nombre Unidad de Estudios]:[Nombre Unidad de Estudios]],Tabla1[Contenidos Unidad de Estudios],"",0)</f>
        <v>Presentación de la normativa institucional acerca de la unidad de estudios, la presentación de la tesis doctoral.
Presentación de versión preliminar de la tesis doctoral ante el grupo en general.
Presentación acerca de estilo de redacción y manejo de normas APA.
Incorporación de recomendaciones sugeridas.
Presentación de avances en el desarrollo de la tesis.</v>
      </c>
      <c r="C20" s="55"/>
      <c r="D20" s="60"/>
      <c r="E20" s="61"/>
      <c r="F20" s="62"/>
      <c r="G20" s="69"/>
      <c r="H20" s="70"/>
      <c r="I20" s="71"/>
    </row>
    <row r="21" spans="2:9">
      <c r="B21" s="56"/>
      <c r="C21" s="57"/>
      <c r="D21" s="63"/>
      <c r="E21" s="64"/>
      <c r="F21" s="65"/>
      <c r="G21" s="72"/>
      <c r="H21" s="73"/>
      <c r="I21" s="74"/>
    </row>
    <row r="22" spans="2:9">
      <c r="B22" s="56"/>
      <c r="C22" s="57"/>
      <c r="D22" s="63"/>
      <c r="E22" s="64"/>
      <c r="F22" s="65"/>
      <c r="G22" s="72"/>
      <c r="H22" s="73"/>
      <c r="I22" s="74"/>
    </row>
    <row r="23" spans="2:9">
      <c r="B23" s="56"/>
      <c r="C23" s="57"/>
      <c r="D23" s="63"/>
      <c r="E23" s="64"/>
      <c r="F23" s="65"/>
      <c r="G23" s="72"/>
      <c r="H23" s="73"/>
      <c r="I23" s="74"/>
    </row>
    <row r="24" spans="2:9">
      <c r="B24" s="56"/>
      <c r="C24" s="57"/>
      <c r="D24" s="63"/>
      <c r="E24" s="64"/>
      <c r="F24" s="65"/>
      <c r="G24" s="72"/>
      <c r="H24" s="73"/>
      <c r="I24" s="74"/>
    </row>
    <row r="25" spans="2:9">
      <c r="B25" s="56"/>
      <c r="C25" s="57"/>
      <c r="D25" s="63"/>
      <c r="E25" s="64"/>
      <c r="F25" s="65"/>
      <c r="G25" s="72"/>
      <c r="H25" s="73"/>
      <c r="I25" s="74"/>
    </row>
    <row r="26" spans="2:9">
      <c r="B26" s="56"/>
      <c r="C26" s="57"/>
      <c r="D26" s="63"/>
      <c r="E26" s="64"/>
      <c r="F26" s="65"/>
      <c r="G26" s="72"/>
      <c r="H26" s="73"/>
      <c r="I26" s="74"/>
    </row>
    <row r="27" spans="2:9">
      <c r="B27" s="56"/>
      <c r="C27" s="57"/>
      <c r="D27" s="63"/>
      <c r="E27" s="64"/>
      <c r="F27" s="65"/>
      <c r="G27" s="72"/>
      <c r="H27" s="73"/>
      <c r="I27" s="74"/>
    </row>
    <row r="28" spans="2:9">
      <c r="B28" s="56"/>
      <c r="C28" s="57"/>
      <c r="D28" s="63"/>
      <c r="E28" s="64"/>
      <c r="F28" s="65"/>
      <c r="G28" s="72"/>
      <c r="H28" s="73"/>
      <c r="I28" s="74"/>
    </row>
    <row r="29" spans="2:9">
      <c r="B29" s="56"/>
      <c r="C29" s="57"/>
      <c r="D29" s="63"/>
      <c r="E29" s="64"/>
      <c r="F29" s="65"/>
      <c r="G29" s="72"/>
      <c r="H29" s="73"/>
      <c r="I29" s="74"/>
    </row>
    <row r="30" spans="2:9">
      <c r="B30" s="56"/>
      <c r="C30" s="57"/>
      <c r="D30" s="63"/>
      <c r="E30" s="64"/>
      <c r="F30" s="65"/>
      <c r="G30" s="72"/>
      <c r="H30" s="73"/>
      <c r="I30" s="74"/>
    </row>
    <row r="31" spans="2:9">
      <c r="B31" s="56"/>
      <c r="C31" s="57"/>
      <c r="D31" s="63"/>
      <c r="E31" s="64"/>
      <c r="F31" s="65"/>
      <c r="G31" s="72"/>
      <c r="H31" s="73"/>
      <c r="I31" s="74"/>
    </row>
    <row r="32" spans="2:9">
      <c r="B32" s="56"/>
      <c r="C32" s="57"/>
      <c r="D32" s="63"/>
      <c r="E32" s="64"/>
      <c r="F32" s="65"/>
      <c r="G32" s="72"/>
      <c r="H32" s="73"/>
      <c r="I32" s="74"/>
    </row>
    <row r="33" spans="2:9" ht="15.75" thickBot="1">
      <c r="B33" s="58"/>
      <c r="C33" s="59"/>
      <c r="D33" s="66"/>
      <c r="E33" s="67"/>
      <c r="F33" s="68"/>
      <c r="G33" s="75"/>
      <c r="H33" s="76"/>
      <c r="I33" s="77"/>
    </row>
    <row r="34" spans="2:9" ht="15.75" thickBot="1">
      <c r="B34" s="114" t="s">
        <v>233</v>
      </c>
      <c r="C34" s="115"/>
      <c r="D34" s="115"/>
      <c r="E34" s="115"/>
      <c r="F34" s="115"/>
      <c r="G34" s="115"/>
      <c r="H34" s="115"/>
      <c r="I34" s="116"/>
    </row>
    <row r="35" spans="2:9" ht="14.45" customHeight="1">
      <c r="B35" s="126" t="s">
        <v>234</v>
      </c>
      <c r="C35" s="127"/>
      <c r="D35" s="127"/>
      <c r="E35" s="127"/>
      <c r="F35" s="127"/>
      <c r="G35" s="127"/>
      <c r="H35" s="127"/>
      <c r="I35" s="128"/>
    </row>
    <row r="36" spans="2:9">
      <c r="B36" s="129"/>
      <c r="C36" s="130"/>
      <c r="D36" s="130"/>
      <c r="E36" s="130"/>
      <c r="F36" s="130"/>
      <c r="G36" s="130"/>
      <c r="H36" s="130"/>
      <c r="I36" s="131"/>
    </row>
    <row r="37" spans="2:9">
      <c r="B37" s="132" t="str" cm="1">
        <f t="array" ref="B37">_xlfn.XLOOKUP($H$9,Tabla1[[Nombre Unidad de Estudios]:[Nombre Unidad de Estudios]],Tabla1[Esquema de Calificación],"",0)</f>
        <v>100% Concepto de jurados evaluadores acorde con lineamientos dados por el Comité Doctoral.</v>
      </c>
      <c r="C37" s="133"/>
      <c r="D37" s="133"/>
      <c r="E37" s="133"/>
      <c r="F37" s="133"/>
      <c r="G37" s="133"/>
      <c r="H37" s="133"/>
      <c r="I37" s="134"/>
    </row>
    <row r="38" spans="2:9">
      <c r="B38" s="132"/>
      <c r="C38" s="133"/>
      <c r="D38" s="133"/>
      <c r="E38" s="133"/>
      <c r="F38" s="133"/>
      <c r="G38" s="133"/>
      <c r="H38" s="133"/>
      <c r="I38" s="134"/>
    </row>
    <row r="39" spans="2:9" ht="15.75" thickBot="1">
      <c r="B39" s="135"/>
      <c r="C39" s="136"/>
      <c r="D39" s="136"/>
      <c r="E39" s="136"/>
      <c r="F39" s="136"/>
      <c r="G39" s="136"/>
      <c r="H39" s="136"/>
      <c r="I39" s="137"/>
    </row>
    <row r="40" spans="2:9" ht="34.5" customHeight="1" thickBot="1">
      <c r="B40" s="117" t="s">
        <v>235</v>
      </c>
      <c r="C40" s="118"/>
      <c r="D40" s="118"/>
      <c r="E40" s="119"/>
      <c r="F40" s="120" t="str" cm="1">
        <f t="array" ref="F40">_xlfn.XLOOKUP($H$9,Tabla1[[Nombre Unidad de Estudios]:[Nombre Unidad de Estudios]],Tabla1[Recursos Tecnológicos],"",0)</f>
        <v>Base de datos; Material bibliográfico; Plataforma virtual</v>
      </c>
      <c r="G40" s="121"/>
      <c r="H40" s="121"/>
      <c r="I40" s="122"/>
    </row>
    <row r="41" spans="2:9" ht="15.75" thickBot="1">
      <c r="B41" s="123" t="s">
        <v>236</v>
      </c>
      <c r="C41" s="124"/>
      <c r="D41" s="124"/>
      <c r="E41" s="124"/>
      <c r="F41" s="125" t="str" cm="1">
        <f t="array" ref="F41">_xlfn.XLOOKUP($H$9,Tabla1[[Nombre Unidad de Estudios]:[Nombre Unidad de Estudios]],Tabla1[Componente de Lengua Extranjera '[Idioma']],"",0)</f>
        <v>Inglés</v>
      </c>
      <c r="G41" s="125"/>
      <c r="H41" s="32" t="s">
        <v>237</v>
      </c>
      <c r="I41" s="36" cm="1">
        <f t="array" ref="I41">_xlfn.XLOOKUP($H$9,Tabla1[[Nombre Unidad de Estudios]:[Nombre Unidad de Estudios]],Tabla1[Componente de Lengua Extranjera '[%']],"",0)</f>
        <v>0.3</v>
      </c>
    </row>
    <row r="42" spans="2:9">
      <c r="B42" s="80" t="s">
        <v>238</v>
      </c>
      <c r="C42" s="81"/>
      <c r="D42" s="81"/>
      <c r="E42" s="81"/>
      <c r="F42" s="81"/>
      <c r="G42" s="81"/>
      <c r="H42" s="81"/>
      <c r="I42" s="82"/>
    </row>
    <row r="43" spans="2:9" ht="14.45" customHeight="1">
      <c r="B43" s="138" t="s">
        <v>49</v>
      </c>
      <c r="C43" s="139"/>
      <c r="D43" s="139"/>
      <c r="E43" s="140"/>
      <c r="F43" s="138" t="s">
        <v>239</v>
      </c>
      <c r="G43" s="139"/>
      <c r="H43" s="139"/>
      <c r="I43" s="140"/>
    </row>
    <row r="44" spans="2:9">
      <c r="B44" s="108" t="str" cm="1">
        <f t="array" ref="B44">_xlfn.XLOOKUP($H$9,Tabla1[[Nombre Unidad de Estudios]:[Nombre Unidad de Estudios]],Tabla1[Bibliografía Obligatoria],"",0)</f>
        <v>Bell, C. y French, W. (1995). Desarrollo Organizacional. Prentice-Hall Hispanoamericana.
Bernal Torres, C. A. (2000). Metodología de la Investigación para Administración y Economía. Pearson.
Bejarano A., J. A. (1996). Sobre la Investigación y la Consultoría Económica: Fragmentos de un Proyecto. Innovar, (8).</v>
      </c>
      <c r="C44" s="109"/>
      <c r="D44" s="109"/>
      <c r="E44" s="110"/>
      <c r="F44" s="108" t="str" cm="1">
        <f t="array" ref="F44">_xlfn.XLOOKUP($H$9,Tabla1[[Nombre Unidad de Estudios]:[Nombre Unidad de Estudios]],Tabla1[Bibliografia Complementaria],"",0)</f>
        <v>Jordan, P. J. y Troth, A. C. (2020). Common method bias in applied settings. Australian Journal of Management, 45(1), 3-14. https://doi.org/10.1177/0312896219871976
Kuhn, T. S. (2005). La estructura de las revoluciones científicas. Fondo de Cultura Económica.
Lakatos, I. (1993). La metodología de los Programas de investigación científica. Alianza.</v>
      </c>
      <c r="G44" s="109"/>
      <c r="H44" s="109"/>
      <c r="I44" s="110"/>
    </row>
    <row r="45" spans="2:9">
      <c r="B45" s="108"/>
      <c r="C45" s="109"/>
      <c r="D45" s="109"/>
      <c r="E45" s="110"/>
      <c r="F45" s="108"/>
      <c r="G45" s="109"/>
      <c r="H45" s="109"/>
      <c r="I45" s="110"/>
    </row>
    <row r="46" spans="2:9">
      <c r="B46" s="108"/>
      <c r="C46" s="109"/>
      <c r="D46" s="109"/>
      <c r="E46" s="110"/>
      <c r="F46" s="108"/>
      <c r="G46" s="109"/>
      <c r="H46" s="109"/>
      <c r="I46" s="110"/>
    </row>
    <row r="47" spans="2:9">
      <c r="B47" s="108"/>
      <c r="C47" s="109"/>
      <c r="D47" s="109"/>
      <c r="E47" s="110"/>
      <c r="F47" s="108"/>
      <c r="G47" s="109"/>
      <c r="H47" s="109"/>
      <c r="I47" s="110"/>
    </row>
    <row r="48" spans="2:9">
      <c r="B48" s="108"/>
      <c r="C48" s="109"/>
      <c r="D48" s="109"/>
      <c r="E48" s="110"/>
      <c r="F48" s="108"/>
      <c r="G48" s="109"/>
      <c r="H48" s="109"/>
      <c r="I48" s="110"/>
    </row>
    <row r="49" spans="2:9">
      <c r="B49" s="108"/>
      <c r="C49" s="109"/>
      <c r="D49" s="109"/>
      <c r="E49" s="110"/>
      <c r="F49" s="108"/>
      <c r="G49" s="109"/>
      <c r="H49" s="109"/>
      <c r="I49" s="110"/>
    </row>
    <row r="50" spans="2:9">
      <c r="B50" s="108"/>
      <c r="C50" s="109"/>
      <c r="D50" s="109"/>
      <c r="E50" s="110"/>
      <c r="F50" s="108"/>
      <c r="G50" s="109"/>
      <c r="H50" s="109"/>
      <c r="I50" s="110"/>
    </row>
    <row r="51" spans="2:9">
      <c r="B51" s="108"/>
      <c r="C51" s="109"/>
      <c r="D51" s="109"/>
      <c r="E51" s="110"/>
      <c r="F51" s="108"/>
      <c r="G51" s="109"/>
      <c r="H51" s="109"/>
      <c r="I51" s="110"/>
    </row>
    <row r="52" spans="2:9">
      <c r="B52" s="108"/>
      <c r="C52" s="109"/>
      <c r="D52" s="109"/>
      <c r="E52" s="110"/>
      <c r="F52" s="108"/>
      <c r="G52" s="109"/>
      <c r="H52" s="109"/>
      <c r="I52" s="110"/>
    </row>
    <row r="53" spans="2:9">
      <c r="B53" s="108"/>
      <c r="C53" s="109"/>
      <c r="D53" s="109"/>
      <c r="E53" s="110"/>
      <c r="F53" s="108"/>
      <c r="G53" s="109"/>
      <c r="H53" s="109"/>
      <c r="I53" s="110"/>
    </row>
    <row r="54" spans="2:9">
      <c r="B54" s="108"/>
      <c r="C54" s="109"/>
      <c r="D54" s="109"/>
      <c r="E54" s="110"/>
      <c r="F54" s="108"/>
      <c r="G54" s="109"/>
      <c r="H54" s="109"/>
      <c r="I54" s="110"/>
    </row>
    <row r="55" spans="2:9">
      <c r="B55" s="108"/>
      <c r="C55" s="109"/>
      <c r="D55" s="109"/>
      <c r="E55" s="110"/>
      <c r="F55" s="108"/>
      <c r="G55" s="109"/>
      <c r="H55" s="109"/>
      <c r="I55" s="110"/>
    </row>
    <row r="56" spans="2:9">
      <c r="B56" s="108"/>
      <c r="C56" s="109"/>
      <c r="D56" s="109"/>
      <c r="E56" s="110"/>
      <c r="F56" s="108"/>
      <c r="G56" s="109"/>
      <c r="H56" s="109"/>
      <c r="I56" s="110"/>
    </row>
    <row r="57" spans="2:9" ht="15.75" thickBot="1">
      <c r="B57" s="111"/>
      <c r="C57" s="112"/>
      <c r="D57" s="112"/>
      <c r="E57" s="113"/>
      <c r="F57" s="111"/>
      <c r="G57" s="112"/>
      <c r="H57" s="112"/>
      <c r="I57" s="113"/>
    </row>
    <row r="58" spans="2:9">
      <c r="B58" s="80" t="s">
        <v>240</v>
      </c>
      <c r="C58" s="81"/>
      <c r="D58" s="81"/>
      <c r="E58" s="81"/>
      <c r="F58" s="81"/>
      <c r="G58" s="81"/>
      <c r="H58" s="81"/>
      <c r="I58" s="82"/>
    </row>
    <row r="59" spans="2:9">
      <c r="B59" s="33" t="s">
        <v>51</v>
      </c>
      <c r="C59" s="34" t="s">
        <v>52</v>
      </c>
      <c r="D59" s="34" t="s">
        <v>53</v>
      </c>
      <c r="E59" s="34" t="s">
        <v>54</v>
      </c>
      <c r="F59" s="34" t="s">
        <v>55</v>
      </c>
      <c r="G59" s="104" t="s">
        <v>56</v>
      </c>
      <c r="H59" s="104"/>
      <c r="I59" s="105"/>
    </row>
    <row r="60" spans="2:9" ht="30">
      <c r="B60" s="38" cm="1">
        <f t="array" ref="B60">_xlfn.XLOOKUP($H$9,Tabla1[[Nombre Unidad de Estudios]:[Nombre Unidad de Estudios]],Tabla1['# versión],"",0)</f>
        <v>1</v>
      </c>
      <c r="C60" s="41" cm="1">
        <f t="array" ref="C60">_xlfn.XLOOKUP($H$9,Tabla1[[Nombre Unidad de Estudios]:[Nombre Unidad de Estudios]],Tabla1[Fecha],"",0)</f>
        <v>46083</v>
      </c>
      <c r="D60" s="35" t="str" cm="1">
        <f t="array" ref="D60">_xlfn.XLOOKUP($H$9,Tabla1[[Nombre Unidad de Estudios]:[Nombre Unidad de Estudios]],Tabla1[Elaboró],"",0)</f>
        <v>Omar Patiño</v>
      </c>
      <c r="E60" s="35" t="str" cm="1">
        <f t="array" ref="E60">_xlfn.XLOOKUP($H$9,Tabla1[[Nombre Unidad de Estudios]:[Nombre Unidad de Estudios]],Tabla1[Revisó],"",0)</f>
        <v>Juan Carlos Rentería</v>
      </c>
      <c r="F60" s="35" t="str" cm="1">
        <f t="array" ref="F60">_xlfn.XLOOKUP($H$9,Tabla1[[Nombre Unidad de Estudios]:[Nombre Unidad de Estudios]],Tabla1[Aprobó],"",0)</f>
        <v>Comité Curricular</v>
      </c>
      <c r="G60" s="106" t="str" cm="1">
        <f t="array" ref="G60">_xlfn.XLOOKUP($H$9,Tabla1[[Nombre Unidad de Estudios]:[Nombre Unidad de Estudios]],Tabla1[Descripción del cambio],"",0)</f>
        <v>Creación syllabus en nuevo formato</v>
      </c>
      <c r="H60" s="106"/>
      <c r="I60" s="107"/>
    </row>
    <row r="61" spans="2:9">
      <c r="B61" s="38"/>
      <c r="C61" s="35"/>
      <c r="D61" s="35"/>
      <c r="E61" s="35"/>
      <c r="F61" s="35"/>
      <c r="G61" s="106"/>
      <c r="H61" s="106"/>
      <c r="I61" s="107"/>
    </row>
    <row r="62" spans="2:9">
      <c r="B62" s="38"/>
      <c r="C62" s="35"/>
      <c r="D62" s="35"/>
      <c r="E62" s="35"/>
      <c r="F62" s="35"/>
      <c r="G62" s="106"/>
      <c r="H62" s="106"/>
      <c r="I62" s="107"/>
    </row>
    <row r="63" spans="2:9">
      <c r="B63" s="38"/>
      <c r="C63" s="35"/>
      <c r="D63" s="35"/>
      <c r="E63" s="35"/>
      <c r="F63" s="35"/>
      <c r="G63" s="106"/>
      <c r="H63" s="106"/>
      <c r="I63" s="107"/>
    </row>
    <row r="64" spans="2:9">
      <c r="B64" s="38"/>
      <c r="C64" s="35"/>
      <c r="D64" s="35"/>
      <c r="E64" s="35"/>
      <c r="F64" s="35"/>
      <c r="G64" s="106"/>
      <c r="H64" s="106"/>
      <c r="I64" s="107"/>
    </row>
    <row r="65" spans="2:9" ht="15.75" thickBot="1">
      <c r="B65" s="39"/>
      <c r="C65" s="40"/>
      <c r="D65" s="40"/>
      <c r="E65" s="40"/>
      <c r="F65" s="40"/>
      <c r="G65" s="141"/>
      <c r="H65" s="141"/>
      <c r="I65" s="142"/>
    </row>
  </sheetData>
  <mergeCells count="41">
    <mergeCell ref="G65:I65"/>
    <mergeCell ref="G59:I59"/>
    <mergeCell ref="G60:I60"/>
    <mergeCell ref="G61:I61"/>
    <mergeCell ref="G62:I62"/>
    <mergeCell ref="G63:I63"/>
    <mergeCell ref="G64:I64"/>
    <mergeCell ref="B58:I58"/>
    <mergeCell ref="B34:I34"/>
    <mergeCell ref="B35:I36"/>
    <mergeCell ref="B37:I39"/>
    <mergeCell ref="B40:E40"/>
    <mergeCell ref="F40:I40"/>
    <mergeCell ref="B41:E41"/>
    <mergeCell ref="F41:G41"/>
    <mergeCell ref="B42:I42"/>
    <mergeCell ref="B43:E43"/>
    <mergeCell ref="F43:I43"/>
    <mergeCell ref="B44:E57"/>
    <mergeCell ref="F44:I57"/>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K2" display="Menu principal" xr:uid="{00000000-0004-0000-0600-000000000000}"/>
  </hyperlinks>
  <pageMargins left="0.25" right="0.25" top="0.75" bottom="0.75" header="0.3" footer="0.3"/>
  <pageSetup paperSize="9" scale="72"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Tabla!$H$2:$H$22</xm:f>
          </x14:formula1>
          <xm:sqref>H9:I9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75048-0E57-47E3-9DC7-36D0AB031B36}">
  <sheetPr>
    <pageSetUpPr fitToPage="1"/>
  </sheetPr>
  <dimension ref="B1:K65"/>
  <sheetViews>
    <sheetView workbookViewId="0">
      <selection activeCell="F44" sqref="F44:I57"/>
    </sheetView>
  </sheetViews>
  <sheetFormatPr defaultColWidth="10.85546875" defaultRowHeight="15"/>
  <cols>
    <col min="1" max="1" width="3.140625" style="16" customWidth="1"/>
    <col min="2" max="2" width="14.28515625" style="16" customWidth="1"/>
    <col min="3" max="3" width="11.28515625" style="16" bestFit="1" customWidth="1"/>
    <col min="4" max="4" width="12.28515625" style="16" customWidth="1"/>
    <col min="5" max="5" width="16.28515625" style="16" customWidth="1"/>
    <col min="6" max="6" width="18.42578125" style="16" customWidth="1"/>
    <col min="7" max="7" width="10.85546875" style="16" customWidth="1"/>
    <col min="8" max="8" width="9.85546875" style="16" customWidth="1"/>
    <col min="9" max="9" width="16.7109375" style="16" customWidth="1"/>
    <col min="10" max="10" width="10.85546875" style="16"/>
    <col min="11" max="11" width="16.42578125" style="16" customWidth="1"/>
    <col min="12" max="16384" width="10.85546875" style="16"/>
  </cols>
  <sheetData>
    <row r="1" spans="2:11" ht="15.75" thickBot="1">
      <c r="C1" s="17"/>
      <c r="D1" s="17"/>
      <c r="E1" s="17"/>
      <c r="F1" s="17"/>
      <c r="G1" s="17"/>
      <c r="H1" s="17"/>
    </row>
    <row r="2" spans="2:11" ht="22.5" customHeight="1" thickTop="1">
      <c r="B2" s="10"/>
      <c r="C2" s="8" t="s">
        <v>204</v>
      </c>
      <c r="D2" s="8"/>
      <c r="E2" s="8"/>
      <c r="F2" s="8"/>
      <c r="G2" s="8"/>
      <c r="H2" s="8"/>
      <c r="I2" s="18" t="s">
        <v>205</v>
      </c>
      <c r="K2" s="46" t="s">
        <v>206</v>
      </c>
    </row>
    <row r="3" spans="2:11" ht="20.25" customHeight="1">
      <c r="B3" s="9"/>
      <c r="C3" s="7"/>
      <c r="D3" s="7"/>
      <c r="E3" s="7"/>
      <c r="F3" s="7"/>
      <c r="G3" s="7"/>
      <c r="H3" s="7"/>
      <c r="I3" s="19" t="s">
        <v>207</v>
      </c>
    </row>
    <row r="4" spans="2:11" ht="21" customHeight="1" thickBot="1">
      <c r="B4" s="6" t="s">
        <v>208</v>
      </c>
      <c r="C4" s="5"/>
      <c r="D4" s="5"/>
      <c r="E4" s="5"/>
      <c r="F4" s="5"/>
      <c r="G4" s="5"/>
      <c r="H4" s="5"/>
      <c r="I4" s="20" t="s">
        <v>209</v>
      </c>
    </row>
    <row r="5" spans="2:11" ht="16.5" thickTop="1" thickBot="1">
      <c r="B5" s="4"/>
      <c r="C5" s="4"/>
      <c r="D5" s="4"/>
      <c r="E5" s="4"/>
      <c r="F5" s="4"/>
      <c r="G5" s="4"/>
      <c r="H5" s="4"/>
      <c r="I5" s="4"/>
    </row>
    <row r="6" spans="2:11">
      <c r="B6" s="3" t="s">
        <v>210</v>
      </c>
      <c r="C6" s="2"/>
      <c r="D6" s="2"/>
      <c r="E6" s="2"/>
      <c r="F6" s="2"/>
      <c r="G6" s="2"/>
      <c r="H6" s="2"/>
      <c r="I6" s="1"/>
    </row>
    <row r="7" spans="2:11" ht="60">
      <c r="B7" s="22" t="s">
        <v>29</v>
      </c>
      <c r="C7" s="23" cm="1">
        <f t="array" ref="C7">_xlfn.XLOOKUP($H$9,Tabla1[[Nombre Unidad de Estudios]:[Nombre Unidad de Estudios]],Tabla1[Año],"",0)</f>
        <v>2026</v>
      </c>
      <c r="D7" s="24" t="s">
        <v>211</v>
      </c>
      <c r="E7" s="23" t="str" cm="1">
        <f t="array" ref="E7">_xlfn.XLOOKUP($H$9,Tabla1[[Nombre Unidad de Estudios]:[Nombre Unidad de Estudios]],Tabla1[Código Plan de Estudios],"",0)</f>
        <v>DTPGESBOG002</v>
      </c>
      <c r="F7" s="24" t="s">
        <v>212</v>
      </c>
      <c r="G7" s="23" t="str" cm="1">
        <f t="array" ref="G7">_xlfn.XLOOKUP($H$9,Tabla1[[Nombre Unidad de Estudios]:[Nombre Unidad de Estudios]],Tabla1[Código Unidad de Estudios],"",0)</f>
        <v>ADPN0018</v>
      </c>
      <c r="H7" s="24" t="s">
        <v>213</v>
      </c>
      <c r="I7" s="23" t="str" cm="1">
        <f t="array" ref="I7">_xlfn.XLOOKUP($H$9,Tabla1[[Nombre Unidad de Estudios]:[Nombre Unidad de Estudios]],Tabla1[Tipo Unidad de Estudios],"",0)</f>
        <v>Requisito de Grado</v>
      </c>
    </row>
    <row r="8" spans="2:11" ht="30">
      <c r="B8" s="22" t="s">
        <v>33</v>
      </c>
      <c r="C8" s="25" t="s">
        <v>60</v>
      </c>
      <c r="D8" s="35" t="s">
        <v>214</v>
      </c>
      <c r="E8" s="25" t="s">
        <v>215</v>
      </c>
      <c r="F8" s="24"/>
      <c r="G8" s="24" t="s">
        <v>216</v>
      </c>
      <c r="H8" s="12"/>
      <c r="I8" s="11"/>
    </row>
    <row r="9" spans="2:11" ht="45">
      <c r="B9" s="26" t="s">
        <v>217</v>
      </c>
      <c r="C9" s="23" t="str" cm="1">
        <f t="array" ref="C9">_xlfn.XLOOKUP($H$9,Tabla1[[Nombre Unidad de Estudios]:[Nombre Unidad de Estudios]],Tabla1[Nivel],"",0)</f>
        <v>Doctorado</v>
      </c>
      <c r="D9" s="25" t="s">
        <v>218</v>
      </c>
      <c r="E9" s="78" t="str" cm="1">
        <f t="array" ref="E9">_xlfn.XLOOKUP($H$9,Tabla1[[Nombre Unidad de Estudios]:[Nombre Unidad de Estudios]],Tabla1[Programa],"",0)</f>
        <v>Doctorado En Gestión</v>
      </c>
      <c r="F9" s="78"/>
      <c r="G9" s="24" t="s">
        <v>219</v>
      </c>
      <c r="H9" s="78" t="s">
        <v>4</v>
      </c>
      <c r="I9" s="79"/>
    </row>
    <row r="10" spans="2:11" ht="30.75" thickBot="1">
      <c r="B10" s="27" t="s">
        <v>37</v>
      </c>
      <c r="C10" s="28" cm="1">
        <f t="array" ref="C10">_xlfn.XLOOKUP($H$9,Tabla1[[Nombre Unidad de Estudios]:[Nombre Unidad de Estudios]],Tabla1[Créditos Académicos],"",0)</f>
        <v>1</v>
      </c>
      <c r="D10" s="29" t="s">
        <v>220</v>
      </c>
      <c r="E10" s="28" cm="1">
        <f t="array" ref="E10">_xlfn.XLOOKUP($H$9,Tabla1[[Nombre Unidad de Estudios]:[Nombre Unidad de Estudios]],Tabla1[Horas de Acompañamiento Directo '[HAD']],"",0)</f>
        <v>12</v>
      </c>
      <c r="F10" s="29" t="s">
        <v>221</v>
      </c>
      <c r="G10" s="28" cm="1">
        <f t="array" ref="G10">_xlfn.XLOOKUP($H$9,Tabla1[[Nombre Unidad de Estudios]:[Nombre Unidad de Estudios]],Tabla1[Horas de Trabajo Autónomo '[HTA']],"",0)</f>
        <v>36</v>
      </c>
      <c r="H10" s="29" t="s">
        <v>222</v>
      </c>
      <c r="I10" s="30">
        <f>E10+G10</f>
        <v>48</v>
      </c>
    </row>
    <row r="11" spans="2:11">
      <c r="B11" s="80" t="s">
        <v>223</v>
      </c>
      <c r="C11" s="81"/>
      <c r="D11" s="81"/>
      <c r="E11" s="81"/>
      <c r="F11" s="81"/>
      <c r="G11" s="81"/>
      <c r="H11" s="81"/>
      <c r="I11" s="82"/>
    </row>
    <row r="12" spans="2:11" ht="76.5" customHeight="1">
      <c r="B12" s="83" t="s">
        <v>224</v>
      </c>
      <c r="C12" s="84"/>
      <c r="D12" s="85" t="str" cm="1">
        <f t="array" ref="D12">_xlfn.XLOOKUP($H$9,Tabla1[[Nombre Unidad de Estudios]:[Nombre Unidad de Estudios]],Tabla1[Descripción de la Unidad de Estudios],"",0)</f>
        <v>La investigación como un proceso de generación de conocimiento es la base del desarrollo de una tesis doctoral. La comprensión del problema objeto de la investigación permite al doctorando presentar y debatir los avances de su trabajo investigativo.</v>
      </c>
      <c r="E12" s="86"/>
      <c r="F12" s="86"/>
      <c r="G12" s="86"/>
      <c r="H12" s="86"/>
      <c r="I12" s="87"/>
    </row>
    <row r="13" spans="2:11" ht="66" customHeight="1" thickBot="1">
      <c r="B13" s="88" t="s">
        <v>225</v>
      </c>
      <c r="C13" s="89"/>
      <c r="D13" s="90" t="str" cm="1">
        <f t="array" ref="D13">_xlfn.XLOOKUP($H$9,Tabla1[[Nombre Unidad de Estudios]:[Nombre Unidad de Estudios]],Tabla1[Resultado de Aprendizaje de la Unidad de Estudios],"",0)</f>
        <v>Debate los avances de la tesis doctoral propia y de los otros participantes del coloquio, para la generación de oportunidades de mejora y la validación de la aplicación del método científico y los hallazgos de la investigación, con un enfoque de investigación, desarrollo e innovación.</v>
      </c>
      <c r="E13" s="91"/>
      <c r="F13" s="91"/>
      <c r="G13" s="91"/>
      <c r="H13" s="91"/>
      <c r="I13" s="92"/>
    </row>
    <row r="14" spans="2:11">
      <c r="B14" s="80" t="s">
        <v>226</v>
      </c>
      <c r="C14" s="81"/>
      <c r="D14" s="81"/>
      <c r="E14" s="81"/>
      <c r="F14" s="81"/>
      <c r="G14" s="81"/>
      <c r="H14" s="81"/>
      <c r="I14" s="82"/>
    </row>
    <row r="15" spans="2:11">
      <c r="B15" s="93" t="s">
        <v>227</v>
      </c>
      <c r="C15" s="78"/>
      <c r="D15" s="78"/>
      <c r="E15" s="78"/>
      <c r="F15" s="78"/>
      <c r="G15" s="78"/>
      <c r="H15" s="78"/>
      <c r="I15" s="79"/>
    </row>
    <row r="16" spans="2:11">
      <c r="B16" s="93"/>
      <c r="C16" s="78"/>
      <c r="D16" s="78"/>
      <c r="E16" s="78"/>
      <c r="F16" s="78"/>
      <c r="G16" s="78"/>
      <c r="H16" s="78"/>
      <c r="I16" s="79"/>
    </row>
    <row r="17" spans="2:9" ht="15.75" thickBot="1">
      <c r="B17" s="94"/>
      <c r="C17" s="95"/>
      <c r="D17" s="95"/>
      <c r="E17" s="95"/>
      <c r="F17" s="95"/>
      <c r="G17" s="95"/>
      <c r="H17" s="95"/>
      <c r="I17" s="96"/>
    </row>
    <row r="18" spans="2:9" ht="15.75" thickBot="1">
      <c r="B18" s="97" t="s">
        <v>228</v>
      </c>
      <c r="C18" s="98"/>
      <c r="D18" s="98"/>
      <c r="E18" s="98"/>
      <c r="F18" s="98"/>
      <c r="G18" s="98"/>
      <c r="H18" s="98"/>
      <c r="I18" s="99"/>
    </row>
    <row r="19" spans="2:9">
      <c r="B19" s="21" t="s">
        <v>44</v>
      </c>
      <c r="C19" s="43" t="str" cm="1">
        <f t="array" ref="C19">_xlfn.XLOOKUP($H$9,Tabla1[[Nombre Unidad de Estudios]:[Nombre Unidad de Estudios]],Tabla1[Módulo],"",0)</f>
        <v>1 semana</v>
      </c>
      <c r="D19" s="21" t="s">
        <v>229</v>
      </c>
      <c r="E19" s="143" t="s">
        <v>230</v>
      </c>
      <c r="F19" s="144"/>
      <c r="G19" s="31" t="s">
        <v>231</v>
      </c>
      <c r="H19" s="145" t="s">
        <v>232</v>
      </c>
      <c r="I19" s="146"/>
    </row>
    <row r="20" spans="2:9">
      <c r="B20" s="13" t="str" cm="1">
        <f t="array" ref="B20">_xlfn.XLOOKUP($H$9,Tabla1[[Nombre Unidad de Estudios]:[Nombre Unidad de Estudios]],Tabla1[Contenidos Unidad de Estudios],"",0)</f>
        <v>Presentación de la normativa institucional acerca de la unidad de estudios, la presentación del anteproyecto y la tesis doctoral.
Presentación de versión preliminar de anteproyecto ante el grupo en general.
Incorporación de recomendaciones sugeridas.
Presentación de avances en el desarrollo del anteproyecto ante grupo en general.</v>
      </c>
      <c r="C20" s="55"/>
      <c r="D20" s="60"/>
      <c r="E20" s="61"/>
      <c r="F20" s="62"/>
      <c r="G20" s="69"/>
      <c r="H20" s="70"/>
      <c r="I20" s="71"/>
    </row>
    <row r="21" spans="2:9">
      <c r="B21" s="56"/>
      <c r="C21" s="57"/>
      <c r="D21" s="63"/>
      <c r="E21" s="64"/>
      <c r="F21" s="65"/>
      <c r="G21" s="72"/>
      <c r="H21" s="73"/>
      <c r="I21" s="74"/>
    </row>
    <row r="22" spans="2:9">
      <c r="B22" s="56"/>
      <c r="C22" s="57"/>
      <c r="D22" s="63"/>
      <c r="E22" s="64"/>
      <c r="F22" s="65"/>
      <c r="G22" s="72"/>
      <c r="H22" s="73"/>
      <c r="I22" s="74"/>
    </row>
    <row r="23" spans="2:9">
      <c r="B23" s="56"/>
      <c r="C23" s="57"/>
      <c r="D23" s="63"/>
      <c r="E23" s="64"/>
      <c r="F23" s="65"/>
      <c r="G23" s="72"/>
      <c r="H23" s="73"/>
      <c r="I23" s="74"/>
    </row>
    <row r="24" spans="2:9">
      <c r="B24" s="56"/>
      <c r="C24" s="57"/>
      <c r="D24" s="63"/>
      <c r="E24" s="64"/>
      <c r="F24" s="65"/>
      <c r="G24" s="72"/>
      <c r="H24" s="73"/>
      <c r="I24" s="74"/>
    </row>
    <row r="25" spans="2:9">
      <c r="B25" s="56"/>
      <c r="C25" s="57"/>
      <c r="D25" s="63"/>
      <c r="E25" s="64"/>
      <c r="F25" s="65"/>
      <c r="G25" s="72"/>
      <c r="H25" s="73"/>
      <c r="I25" s="74"/>
    </row>
    <row r="26" spans="2:9">
      <c r="B26" s="56"/>
      <c r="C26" s="57"/>
      <c r="D26" s="63"/>
      <c r="E26" s="64"/>
      <c r="F26" s="65"/>
      <c r="G26" s="72"/>
      <c r="H26" s="73"/>
      <c r="I26" s="74"/>
    </row>
    <row r="27" spans="2:9">
      <c r="B27" s="56"/>
      <c r="C27" s="57"/>
      <c r="D27" s="63"/>
      <c r="E27" s="64"/>
      <c r="F27" s="65"/>
      <c r="G27" s="72"/>
      <c r="H27" s="73"/>
      <c r="I27" s="74"/>
    </row>
    <row r="28" spans="2:9">
      <c r="B28" s="56"/>
      <c r="C28" s="57"/>
      <c r="D28" s="63"/>
      <c r="E28" s="64"/>
      <c r="F28" s="65"/>
      <c r="G28" s="72"/>
      <c r="H28" s="73"/>
      <c r="I28" s="74"/>
    </row>
    <row r="29" spans="2:9">
      <c r="B29" s="56"/>
      <c r="C29" s="57"/>
      <c r="D29" s="63"/>
      <c r="E29" s="64"/>
      <c r="F29" s="65"/>
      <c r="G29" s="72"/>
      <c r="H29" s="73"/>
      <c r="I29" s="74"/>
    </row>
    <row r="30" spans="2:9">
      <c r="B30" s="56"/>
      <c r="C30" s="57"/>
      <c r="D30" s="63"/>
      <c r="E30" s="64"/>
      <c r="F30" s="65"/>
      <c r="G30" s="72"/>
      <c r="H30" s="73"/>
      <c r="I30" s="74"/>
    </row>
    <row r="31" spans="2:9">
      <c r="B31" s="56"/>
      <c r="C31" s="57"/>
      <c r="D31" s="63"/>
      <c r="E31" s="64"/>
      <c r="F31" s="65"/>
      <c r="G31" s="72"/>
      <c r="H31" s="73"/>
      <c r="I31" s="74"/>
    </row>
    <row r="32" spans="2:9">
      <c r="B32" s="56"/>
      <c r="C32" s="57"/>
      <c r="D32" s="63"/>
      <c r="E32" s="64"/>
      <c r="F32" s="65"/>
      <c r="G32" s="72"/>
      <c r="H32" s="73"/>
      <c r="I32" s="74"/>
    </row>
    <row r="33" spans="2:9" ht="15.75" thickBot="1">
      <c r="B33" s="58"/>
      <c r="C33" s="59"/>
      <c r="D33" s="66"/>
      <c r="E33" s="67"/>
      <c r="F33" s="68"/>
      <c r="G33" s="75"/>
      <c r="H33" s="76"/>
      <c r="I33" s="77"/>
    </row>
    <row r="34" spans="2:9" ht="15.75" thickBot="1">
      <c r="B34" s="114" t="s">
        <v>233</v>
      </c>
      <c r="C34" s="115"/>
      <c r="D34" s="115"/>
      <c r="E34" s="115"/>
      <c r="F34" s="115"/>
      <c r="G34" s="115"/>
      <c r="H34" s="115"/>
      <c r="I34" s="116"/>
    </row>
    <row r="35" spans="2:9" ht="14.45" customHeight="1">
      <c r="B35" s="126" t="s">
        <v>234</v>
      </c>
      <c r="C35" s="127"/>
      <c r="D35" s="127"/>
      <c r="E35" s="127"/>
      <c r="F35" s="127"/>
      <c r="G35" s="127"/>
      <c r="H35" s="127"/>
      <c r="I35" s="128"/>
    </row>
    <row r="36" spans="2:9">
      <c r="B36" s="129"/>
      <c r="C36" s="130"/>
      <c r="D36" s="130"/>
      <c r="E36" s="130"/>
      <c r="F36" s="130"/>
      <c r="G36" s="130"/>
      <c r="H36" s="130"/>
      <c r="I36" s="131"/>
    </row>
    <row r="37" spans="2:9">
      <c r="B37" s="132" t="str" cm="1">
        <f t="array" ref="B37">_xlfn.XLOOKUP($H$9,Tabla1[[Nombre Unidad de Estudios]:[Nombre Unidad de Estudios]],Tabla1[Esquema de Calificación],"",0)</f>
        <v>100% Concepto de jurados evaluadores acorde con lineamientos dados por el Comité Doctoral.</v>
      </c>
      <c r="C37" s="133"/>
      <c r="D37" s="133"/>
      <c r="E37" s="133"/>
      <c r="F37" s="133"/>
      <c r="G37" s="133"/>
      <c r="H37" s="133"/>
      <c r="I37" s="134"/>
    </row>
    <row r="38" spans="2:9">
      <c r="B38" s="132"/>
      <c r="C38" s="133"/>
      <c r="D38" s="133"/>
      <c r="E38" s="133"/>
      <c r="F38" s="133"/>
      <c r="G38" s="133"/>
      <c r="H38" s="133"/>
      <c r="I38" s="134"/>
    </row>
    <row r="39" spans="2:9" ht="15.75" thickBot="1">
      <c r="B39" s="135"/>
      <c r="C39" s="136"/>
      <c r="D39" s="136"/>
      <c r="E39" s="136"/>
      <c r="F39" s="136"/>
      <c r="G39" s="136"/>
      <c r="H39" s="136"/>
      <c r="I39" s="137"/>
    </row>
    <row r="40" spans="2:9" ht="34.5" customHeight="1" thickBot="1">
      <c r="B40" s="117" t="s">
        <v>235</v>
      </c>
      <c r="C40" s="118"/>
      <c r="D40" s="118"/>
      <c r="E40" s="119"/>
      <c r="F40" s="120" t="str" cm="1">
        <f t="array" ref="F40">_xlfn.XLOOKUP($H$9,Tabla1[[Nombre Unidad de Estudios]:[Nombre Unidad de Estudios]],Tabla1[Recursos Tecnológicos],"",0)</f>
        <v>Base de datos; Material bibliográfico; Plataforma virtual</v>
      </c>
      <c r="G40" s="121"/>
      <c r="H40" s="121"/>
      <c r="I40" s="122"/>
    </row>
    <row r="41" spans="2:9" ht="15.75" thickBot="1">
      <c r="B41" s="123" t="s">
        <v>236</v>
      </c>
      <c r="C41" s="124"/>
      <c r="D41" s="124"/>
      <c r="E41" s="124"/>
      <c r="F41" s="125" t="str" cm="1">
        <f t="array" ref="F41">_xlfn.XLOOKUP($H$9,Tabla1[[Nombre Unidad de Estudios]:[Nombre Unidad de Estudios]],Tabla1[Componente de Lengua Extranjera '[Idioma']],"",0)</f>
        <v>Inglés</v>
      </c>
      <c r="G41" s="125"/>
      <c r="H41" s="32" t="s">
        <v>237</v>
      </c>
      <c r="I41" s="36" cm="1">
        <f t="array" ref="I41">_xlfn.XLOOKUP($H$9,Tabla1[[Nombre Unidad de Estudios]:[Nombre Unidad de Estudios]],Tabla1[Componente de Lengua Extranjera '[%']],"",0)</f>
        <v>0.3</v>
      </c>
    </row>
    <row r="42" spans="2:9">
      <c r="B42" s="80" t="s">
        <v>238</v>
      </c>
      <c r="C42" s="81"/>
      <c r="D42" s="81"/>
      <c r="E42" s="81"/>
      <c r="F42" s="81"/>
      <c r="G42" s="81"/>
      <c r="H42" s="81"/>
      <c r="I42" s="82"/>
    </row>
    <row r="43" spans="2:9" ht="14.45" customHeight="1">
      <c r="B43" s="138" t="s">
        <v>49</v>
      </c>
      <c r="C43" s="139"/>
      <c r="D43" s="139"/>
      <c r="E43" s="140"/>
      <c r="F43" s="138" t="s">
        <v>239</v>
      </c>
      <c r="G43" s="139"/>
      <c r="H43" s="139"/>
      <c r="I43" s="140"/>
    </row>
    <row r="44" spans="2:9">
      <c r="B44" s="108" t="str" cm="1">
        <f t="array" ref="B44">_xlfn.XLOOKUP($H$9,Tabla1[[Nombre Unidad de Estudios]:[Nombre Unidad de Estudios]],Tabla1[Bibliografía Obligatoria],"",0)</f>
        <v>Bell, C. y French, W. (1995). Desarrollo Organizacional. Prentice-Hall Hispanoamericana.
Bernal Torres, C. A. (2000). Metodología de la Investigación para Administración y Economía. Pearson.
Bejarano A., J. A. (1996). Sobre la Investigación y la Consultoría Económica: Fragmentos de un Proyecto. Innovar, (8).</v>
      </c>
      <c r="C44" s="109"/>
      <c r="D44" s="109"/>
      <c r="E44" s="110"/>
      <c r="F44" s="108" t="str" cm="1">
        <f t="array" ref="F44">_xlfn.XLOOKUP($H$9,Tabla1[[Nombre Unidad de Estudios]:[Nombre Unidad de Estudios]],Tabla1[Bibliografia Complementaria],"",0)</f>
        <v>Jordan, P. J. y Troth, A. C. (2020). Common method bias in applied settings. Australian Journal of Management, 45(1), 3-14. https://doi.org/10.1177/0312896219871976
Kuhn, T. S. (2005). La estructura de las revoluciones científicas. Fondo de Cultura Económica.
Lakatos, I. (1993). La metodología de los Programas de investigación científica. Alianza.</v>
      </c>
      <c r="G44" s="109"/>
      <c r="H44" s="109"/>
      <c r="I44" s="110"/>
    </row>
    <row r="45" spans="2:9">
      <c r="B45" s="108"/>
      <c r="C45" s="109"/>
      <c r="D45" s="109"/>
      <c r="E45" s="110"/>
      <c r="F45" s="108"/>
      <c r="G45" s="109"/>
      <c r="H45" s="109"/>
      <c r="I45" s="110"/>
    </row>
    <row r="46" spans="2:9">
      <c r="B46" s="108"/>
      <c r="C46" s="109"/>
      <c r="D46" s="109"/>
      <c r="E46" s="110"/>
      <c r="F46" s="108"/>
      <c r="G46" s="109"/>
      <c r="H46" s="109"/>
      <c r="I46" s="110"/>
    </row>
    <row r="47" spans="2:9">
      <c r="B47" s="108"/>
      <c r="C47" s="109"/>
      <c r="D47" s="109"/>
      <c r="E47" s="110"/>
      <c r="F47" s="108"/>
      <c r="G47" s="109"/>
      <c r="H47" s="109"/>
      <c r="I47" s="110"/>
    </row>
    <row r="48" spans="2:9">
      <c r="B48" s="108"/>
      <c r="C48" s="109"/>
      <c r="D48" s="109"/>
      <c r="E48" s="110"/>
      <c r="F48" s="108"/>
      <c r="G48" s="109"/>
      <c r="H48" s="109"/>
      <c r="I48" s="110"/>
    </row>
    <row r="49" spans="2:9">
      <c r="B49" s="108"/>
      <c r="C49" s="109"/>
      <c r="D49" s="109"/>
      <c r="E49" s="110"/>
      <c r="F49" s="108"/>
      <c r="G49" s="109"/>
      <c r="H49" s="109"/>
      <c r="I49" s="110"/>
    </row>
    <row r="50" spans="2:9">
      <c r="B50" s="108"/>
      <c r="C50" s="109"/>
      <c r="D50" s="109"/>
      <c r="E50" s="110"/>
      <c r="F50" s="108"/>
      <c r="G50" s="109"/>
      <c r="H50" s="109"/>
      <c r="I50" s="110"/>
    </row>
    <row r="51" spans="2:9">
      <c r="B51" s="108"/>
      <c r="C51" s="109"/>
      <c r="D51" s="109"/>
      <c r="E51" s="110"/>
      <c r="F51" s="108"/>
      <c r="G51" s="109"/>
      <c r="H51" s="109"/>
      <c r="I51" s="110"/>
    </row>
    <row r="52" spans="2:9">
      <c r="B52" s="108"/>
      <c r="C52" s="109"/>
      <c r="D52" s="109"/>
      <c r="E52" s="110"/>
      <c r="F52" s="108"/>
      <c r="G52" s="109"/>
      <c r="H52" s="109"/>
      <c r="I52" s="110"/>
    </row>
    <row r="53" spans="2:9">
      <c r="B53" s="108"/>
      <c r="C53" s="109"/>
      <c r="D53" s="109"/>
      <c r="E53" s="110"/>
      <c r="F53" s="108"/>
      <c r="G53" s="109"/>
      <c r="H53" s="109"/>
      <c r="I53" s="110"/>
    </row>
    <row r="54" spans="2:9">
      <c r="B54" s="108"/>
      <c r="C54" s="109"/>
      <c r="D54" s="109"/>
      <c r="E54" s="110"/>
      <c r="F54" s="108"/>
      <c r="G54" s="109"/>
      <c r="H54" s="109"/>
      <c r="I54" s="110"/>
    </row>
    <row r="55" spans="2:9">
      <c r="B55" s="108"/>
      <c r="C55" s="109"/>
      <c r="D55" s="109"/>
      <c r="E55" s="110"/>
      <c r="F55" s="108"/>
      <c r="G55" s="109"/>
      <c r="H55" s="109"/>
      <c r="I55" s="110"/>
    </row>
    <row r="56" spans="2:9">
      <c r="B56" s="108"/>
      <c r="C56" s="109"/>
      <c r="D56" s="109"/>
      <c r="E56" s="110"/>
      <c r="F56" s="108"/>
      <c r="G56" s="109"/>
      <c r="H56" s="109"/>
      <c r="I56" s="110"/>
    </row>
    <row r="57" spans="2:9" ht="15.75" thickBot="1">
      <c r="B57" s="111"/>
      <c r="C57" s="112"/>
      <c r="D57" s="112"/>
      <c r="E57" s="113"/>
      <c r="F57" s="111"/>
      <c r="G57" s="112"/>
      <c r="H57" s="112"/>
      <c r="I57" s="113"/>
    </row>
    <row r="58" spans="2:9">
      <c r="B58" s="80" t="s">
        <v>240</v>
      </c>
      <c r="C58" s="81"/>
      <c r="D58" s="81"/>
      <c r="E58" s="81"/>
      <c r="F58" s="81"/>
      <c r="G58" s="81"/>
      <c r="H58" s="81"/>
      <c r="I58" s="82"/>
    </row>
    <row r="59" spans="2:9">
      <c r="B59" s="33" t="s">
        <v>51</v>
      </c>
      <c r="C59" s="34" t="s">
        <v>52</v>
      </c>
      <c r="D59" s="34" t="s">
        <v>53</v>
      </c>
      <c r="E59" s="34" t="s">
        <v>54</v>
      </c>
      <c r="F59" s="34" t="s">
        <v>55</v>
      </c>
      <c r="G59" s="104" t="s">
        <v>56</v>
      </c>
      <c r="H59" s="104"/>
      <c r="I59" s="105"/>
    </row>
    <row r="60" spans="2:9" ht="30">
      <c r="B60" s="38" cm="1">
        <f t="array" ref="B60">_xlfn.XLOOKUP($H$9,Tabla1[[Nombre Unidad de Estudios]:[Nombre Unidad de Estudios]],Tabla1['# versión],"",0)</f>
        <v>1</v>
      </c>
      <c r="C60" s="41" cm="1">
        <f t="array" ref="C60">_xlfn.XLOOKUP($H$9,Tabla1[[Nombre Unidad de Estudios]:[Nombre Unidad de Estudios]],Tabla1[Fecha],"",0)</f>
        <v>46083</v>
      </c>
      <c r="D60" s="35" t="str" cm="1">
        <f t="array" ref="D60">_xlfn.XLOOKUP($H$9,Tabla1[[Nombre Unidad de Estudios]:[Nombre Unidad de Estudios]],Tabla1[Elaboró],"",0)</f>
        <v>Omar Patiño</v>
      </c>
      <c r="E60" s="35" t="str" cm="1">
        <f t="array" ref="E60">_xlfn.XLOOKUP($H$9,Tabla1[[Nombre Unidad de Estudios]:[Nombre Unidad de Estudios]],Tabla1[Revisó],"",0)</f>
        <v>Juan Carlos Rentería</v>
      </c>
      <c r="F60" s="35" t="str" cm="1">
        <f t="array" ref="F60">_xlfn.XLOOKUP($H$9,Tabla1[[Nombre Unidad de Estudios]:[Nombre Unidad de Estudios]],Tabla1[Aprobó],"",0)</f>
        <v>Comité Curricular</v>
      </c>
      <c r="G60" s="106" t="str" cm="1">
        <f t="array" ref="G60">_xlfn.XLOOKUP($H$9,Tabla1[[Nombre Unidad de Estudios]:[Nombre Unidad de Estudios]],Tabla1[Descripción del cambio],"",0)</f>
        <v>Creación syllabus en nuevo formato</v>
      </c>
      <c r="H60" s="106"/>
      <c r="I60" s="107"/>
    </row>
    <row r="61" spans="2:9">
      <c r="B61" s="38"/>
      <c r="C61" s="35"/>
      <c r="D61" s="35"/>
      <c r="E61" s="35"/>
      <c r="F61" s="35"/>
      <c r="G61" s="106"/>
      <c r="H61" s="106"/>
      <c r="I61" s="107"/>
    </row>
    <row r="62" spans="2:9">
      <c r="B62" s="38"/>
      <c r="C62" s="35"/>
      <c r="D62" s="35"/>
      <c r="E62" s="35"/>
      <c r="F62" s="35"/>
      <c r="G62" s="106"/>
      <c r="H62" s="106"/>
      <c r="I62" s="107"/>
    </row>
    <row r="63" spans="2:9">
      <c r="B63" s="38"/>
      <c r="C63" s="35"/>
      <c r="D63" s="35"/>
      <c r="E63" s="35"/>
      <c r="F63" s="35"/>
      <c r="G63" s="106"/>
      <c r="H63" s="106"/>
      <c r="I63" s="107"/>
    </row>
    <row r="64" spans="2:9">
      <c r="B64" s="38"/>
      <c r="C64" s="35"/>
      <c r="D64" s="35"/>
      <c r="E64" s="35"/>
      <c r="F64" s="35"/>
      <c r="G64" s="106"/>
      <c r="H64" s="106"/>
      <c r="I64" s="107"/>
    </row>
    <row r="65" spans="2:9" ht="15.75" thickBot="1">
      <c r="B65" s="39"/>
      <c r="C65" s="40"/>
      <c r="D65" s="40"/>
      <c r="E65" s="40"/>
      <c r="F65" s="40"/>
      <c r="G65" s="141"/>
      <c r="H65" s="141"/>
      <c r="I65" s="142"/>
    </row>
  </sheetData>
  <mergeCells count="41">
    <mergeCell ref="G65:I65"/>
    <mergeCell ref="G59:I59"/>
    <mergeCell ref="G60:I60"/>
    <mergeCell ref="G61:I61"/>
    <mergeCell ref="G62:I62"/>
    <mergeCell ref="G63:I63"/>
    <mergeCell ref="G64:I64"/>
    <mergeCell ref="B58:I58"/>
    <mergeCell ref="B34:I34"/>
    <mergeCell ref="B35:I36"/>
    <mergeCell ref="B37:I39"/>
    <mergeCell ref="B40:E40"/>
    <mergeCell ref="F40:I40"/>
    <mergeCell ref="B41:E41"/>
    <mergeCell ref="F41:G41"/>
    <mergeCell ref="B42:I42"/>
    <mergeCell ref="B43:E43"/>
    <mergeCell ref="F43:I43"/>
    <mergeCell ref="B44:E57"/>
    <mergeCell ref="F44:I57"/>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K2" display="Menu principal" xr:uid="{00000000-0004-0000-0700-000000000000}"/>
  </hyperlinks>
  <pageMargins left="0.25" right="0.25" top="0.75" bottom="0.75" header="0.3" footer="0.3"/>
  <pageSetup paperSize="9" scale="72"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Tabla!$H$2:$H$22</xm:f>
          </x14:formula1>
          <xm:sqref>H9:I9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6825C-DC52-4DD5-84F9-D446EABCBD39}">
  <sheetPr>
    <pageSetUpPr fitToPage="1"/>
  </sheetPr>
  <dimension ref="B1:K65"/>
  <sheetViews>
    <sheetView workbookViewId="0">
      <selection activeCell="F44" sqref="F44:I57"/>
    </sheetView>
  </sheetViews>
  <sheetFormatPr defaultColWidth="10.85546875" defaultRowHeight="15"/>
  <cols>
    <col min="1" max="1" width="3.140625" style="16" customWidth="1"/>
    <col min="2" max="2" width="14.28515625" style="16" customWidth="1"/>
    <col min="3" max="3" width="11.28515625" style="16" bestFit="1" customWidth="1"/>
    <col min="4" max="4" width="12.28515625" style="16" customWidth="1"/>
    <col min="5" max="5" width="16.28515625" style="16" customWidth="1"/>
    <col min="6" max="6" width="18.42578125" style="16" customWidth="1"/>
    <col min="7" max="7" width="10.85546875" style="16" customWidth="1"/>
    <col min="8" max="8" width="9.85546875" style="16" customWidth="1"/>
    <col min="9" max="9" width="16.7109375" style="16" customWidth="1"/>
    <col min="10" max="10" width="10.85546875" style="16"/>
    <col min="11" max="11" width="16.42578125" style="16" customWidth="1"/>
    <col min="12" max="16384" width="10.85546875" style="16"/>
  </cols>
  <sheetData>
    <row r="1" spans="2:11" ht="15.75" thickBot="1">
      <c r="C1" s="17"/>
      <c r="D1" s="17"/>
      <c r="E1" s="17"/>
      <c r="F1" s="17"/>
      <c r="G1" s="17"/>
      <c r="H1" s="17"/>
    </row>
    <row r="2" spans="2:11" ht="22.5" customHeight="1" thickTop="1">
      <c r="B2" s="10"/>
      <c r="C2" s="8" t="s">
        <v>204</v>
      </c>
      <c r="D2" s="8"/>
      <c r="E2" s="8"/>
      <c r="F2" s="8"/>
      <c r="G2" s="8"/>
      <c r="H2" s="8"/>
      <c r="I2" s="18" t="s">
        <v>205</v>
      </c>
      <c r="K2" s="46" t="s">
        <v>206</v>
      </c>
    </row>
    <row r="3" spans="2:11" ht="20.25" customHeight="1">
      <c r="B3" s="9"/>
      <c r="C3" s="7"/>
      <c r="D3" s="7"/>
      <c r="E3" s="7"/>
      <c r="F3" s="7"/>
      <c r="G3" s="7"/>
      <c r="H3" s="7"/>
      <c r="I3" s="19" t="s">
        <v>207</v>
      </c>
    </row>
    <row r="4" spans="2:11" ht="21" customHeight="1" thickBot="1">
      <c r="B4" s="6" t="s">
        <v>208</v>
      </c>
      <c r="C4" s="5"/>
      <c r="D4" s="5"/>
      <c r="E4" s="5"/>
      <c r="F4" s="5"/>
      <c r="G4" s="5"/>
      <c r="H4" s="5"/>
      <c r="I4" s="20" t="s">
        <v>209</v>
      </c>
    </row>
    <row r="5" spans="2:11" ht="16.5" thickTop="1" thickBot="1">
      <c r="B5" s="4"/>
      <c r="C5" s="4"/>
      <c r="D5" s="4"/>
      <c r="E5" s="4"/>
      <c r="F5" s="4"/>
      <c r="G5" s="4"/>
      <c r="H5" s="4"/>
      <c r="I5" s="4"/>
    </row>
    <row r="6" spans="2:11">
      <c r="B6" s="3" t="s">
        <v>210</v>
      </c>
      <c r="C6" s="2"/>
      <c r="D6" s="2"/>
      <c r="E6" s="2"/>
      <c r="F6" s="2"/>
      <c r="G6" s="2"/>
      <c r="H6" s="2"/>
      <c r="I6" s="1"/>
    </row>
    <row r="7" spans="2:11" ht="60">
      <c r="B7" s="22" t="s">
        <v>29</v>
      </c>
      <c r="C7" s="23" cm="1">
        <f t="array" ref="C7">_xlfn.XLOOKUP($H$9,Tabla1[[Nombre Unidad de Estudios]:[Nombre Unidad de Estudios]],Tabla1[Año],"",0)</f>
        <v>2026</v>
      </c>
      <c r="D7" s="24" t="s">
        <v>211</v>
      </c>
      <c r="E7" s="23" t="str" cm="1">
        <f t="array" ref="E7">_xlfn.XLOOKUP($H$9,Tabla1[[Nombre Unidad de Estudios]:[Nombre Unidad de Estudios]],Tabla1[Código Plan de Estudios],"",0)</f>
        <v>DTPGESBOG002</v>
      </c>
      <c r="F7" s="24" t="s">
        <v>212</v>
      </c>
      <c r="G7" s="23" t="str" cm="1">
        <f t="array" ref="G7">_xlfn.XLOOKUP($H$9,Tabla1[[Nombre Unidad de Estudios]:[Nombre Unidad de Estudios]],Tabla1[Código Unidad de Estudios],"",0)</f>
        <v>FPA01646</v>
      </c>
      <c r="H7" s="24" t="s">
        <v>213</v>
      </c>
      <c r="I7" s="23" t="str" cm="1">
        <f t="array" ref="I7">_xlfn.XLOOKUP($H$9,Tabla1[[Nombre Unidad de Estudios]:[Nombre Unidad de Estudios]],Tabla1[Tipo Unidad de Estudios],"",0)</f>
        <v>Transversal</v>
      </c>
    </row>
    <row r="8" spans="2:11" ht="30">
      <c r="B8" s="22" t="s">
        <v>33</v>
      </c>
      <c r="C8" s="25" t="s">
        <v>60</v>
      </c>
      <c r="D8" s="35" t="s">
        <v>214</v>
      </c>
      <c r="E8" s="25" t="s">
        <v>215</v>
      </c>
      <c r="F8" s="24"/>
      <c r="G8" s="24" t="s">
        <v>216</v>
      </c>
      <c r="H8" s="12"/>
      <c r="I8" s="11"/>
    </row>
    <row r="9" spans="2:11" ht="45">
      <c r="B9" s="26" t="s">
        <v>217</v>
      </c>
      <c r="C9" s="23" t="str" cm="1">
        <f t="array" ref="C9">_xlfn.XLOOKUP($H$9,Tabla1[[Nombre Unidad de Estudios]:[Nombre Unidad de Estudios]],Tabla1[Nivel],"",0)</f>
        <v>Doctorado</v>
      </c>
      <c r="D9" s="25" t="s">
        <v>218</v>
      </c>
      <c r="E9" s="78" t="str" cm="1">
        <f t="array" ref="E9">_xlfn.XLOOKUP($H$9,Tabla1[[Nombre Unidad de Estudios]:[Nombre Unidad de Estudios]],Tabla1[Programa],"",0)</f>
        <v>Doctorado En Gestión</v>
      </c>
      <c r="F9" s="78"/>
      <c r="G9" s="24" t="s">
        <v>219</v>
      </c>
      <c r="H9" s="78" t="s">
        <v>17</v>
      </c>
      <c r="I9" s="79"/>
    </row>
    <row r="10" spans="2:11" ht="30.75" thickBot="1">
      <c r="B10" s="27" t="s">
        <v>37</v>
      </c>
      <c r="C10" s="28" cm="1">
        <f t="array" ref="C10">_xlfn.XLOOKUP($H$9,Tabla1[[Nombre Unidad de Estudios]:[Nombre Unidad de Estudios]],Tabla1[Créditos Académicos],"",0)</f>
        <v>3</v>
      </c>
      <c r="D10" s="29" t="s">
        <v>220</v>
      </c>
      <c r="E10" s="28" cm="1">
        <f t="array" ref="E10">_xlfn.XLOOKUP($H$9,Tabla1[[Nombre Unidad de Estudios]:[Nombre Unidad de Estudios]],Tabla1[Horas de Acompañamiento Directo '[HAD']],"",0)</f>
        <v>36</v>
      </c>
      <c r="F10" s="29" t="s">
        <v>221</v>
      </c>
      <c r="G10" s="28" cm="1">
        <f t="array" ref="G10">_xlfn.XLOOKUP($H$9,Tabla1[[Nombre Unidad de Estudios]:[Nombre Unidad de Estudios]],Tabla1[Horas de Trabajo Autónomo '[HTA']],"",0)</f>
        <v>108</v>
      </c>
      <c r="H10" s="29" t="s">
        <v>222</v>
      </c>
      <c r="I10" s="30">
        <f>E10+G10</f>
        <v>144</v>
      </c>
    </row>
    <row r="11" spans="2:11">
      <c r="B11" s="80" t="s">
        <v>223</v>
      </c>
      <c r="C11" s="81"/>
      <c r="D11" s="81"/>
      <c r="E11" s="81"/>
      <c r="F11" s="81"/>
      <c r="G11" s="81"/>
      <c r="H11" s="81"/>
      <c r="I11" s="82"/>
    </row>
    <row r="12" spans="2:11" ht="76.5" customHeight="1">
      <c r="B12" s="83" t="s">
        <v>224</v>
      </c>
      <c r="C12" s="84"/>
      <c r="D12" s="85" t="str" cm="1">
        <f t="array" ref="D12">_xlfn.XLOOKUP($H$9,Tabla1[[Nombre Unidad de Estudios]:[Nombre Unidad de Estudios]],Tabla1[Descripción de la Unidad de Estudios],"",0)</f>
        <v>Este curso aborda la complejidad del pensamiento estratégico desde una perspectiva multidisciplinaria. Su propósito es que los estudiantes logren estructurar modelos de diagnóstico a problemas bajo estudio mediante la aplicación de herramientas de gestión sostenible.</v>
      </c>
      <c r="E12" s="86"/>
      <c r="F12" s="86"/>
      <c r="G12" s="86"/>
      <c r="H12" s="86"/>
      <c r="I12" s="87"/>
    </row>
    <row r="13" spans="2:11" ht="66" customHeight="1" thickBot="1">
      <c r="B13" s="88" t="s">
        <v>225</v>
      </c>
      <c r="C13" s="89"/>
      <c r="D13" s="90" t="str" cm="1">
        <f t="array" ref="D13">_xlfn.XLOOKUP($H$9,Tabla1[[Nombre Unidad de Estudios]:[Nombre Unidad de Estudios]],Tabla1[Resultado de Aprendizaje de la Unidad de Estudios],"",0)</f>
        <v>Estructura modelos de diagnóstico a problemas bajo estudio mediante la aplicación de herramientas de gestión sostenible que redunden en los resultados de las organizaciones.</v>
      </c>
      <c r="E13" s="91"/>
      <c r="F13" s="91"/>
      <c r="G13" s="91"/>
      <c r="H13" s="91"/>
      <c r="I13" s="92"/>
    </row>
    <row r="14" spans="2:11">
      <c r="B14" s="80" t="s">
        <v>226</v>
      </c>
      <c r="C14" s="81"/>
      <c r="D14" s="81"/>
      <c r="E14" s="81"/>
      <c r="F14" s="81"/>
      <c r="G14" s="81"/>
      <c r="H14" s="81"/>
      <c r="I14" s="82"/>
    </row>
    <row r="15" spans="2:11">
      <c r="B15" s="93" t="s">
        <v>227</v>
      </c>
      <c r="C15" s="78"/>
      <c r="D15" s="78"/>
      <c r="E15" s="78"/>
      <c r="F15" s="78"/>
      <c r="G15" s="78"/>
      <c r="H15" s="78"/>
      <c r="I15" s="79"/>
    </row>
    <row r="16" spans="2:11">
      <c r="B16" s="93"/>
      <c r="C16" s="78"/>
      <c r="D16" s="78"/>
      <c r="E16" s="78"/>
      <c r="F16" s="78"/>
      <c r="G16" s="78"/>
      <c r="H16" s="78"/>
      <c r="I16" s="79"/>
    </row>
    <row r="17" spans="2:9" ht="15.75" thickBot="1">
      <c r="B17" s="94"/>
      <c r="C17" s="95"/>
      <c r="D17" s="95"/>
      <c r="E17" s="95"/>
      <c r="F17" s="95"/>
      <c r="G17" s="95"/>
      <c r="H17" s="95"/>
      <c r="I17" s="96"/>
    </row>
    <row r="18" spans="2:9" ht="15.75" thickBot="1">
      <c r="B18" s="97" t="s">
        <v>228</v>
      </c>
      <c r="C18" s="98"/>
      <c r="D18" s="98"/>
      <c r="E18" s="98"/>
      <c r="F18" s="98"/>
      <c r="G18" s="98"/>
      <c r="H18" s="98"/>
      <c r="I18" s="99"/>
    </row>
    <row r="19" spans="2:9">
      <c r="B19" s="21" t="s">
        <v>44</v>
      </c>
      <c r="C19" s="43" t="str" cm="1">
        <f t="array" ref="C19">_xlfn.XLOOKUP($H$9,Tabla1[[Nombre Unidad de Estudios]:[Nombre Unidad de Estudios]],Tabla1[Módulo],"",0)</f>
        <v>6 semanas</v>
      </c>
      <c r="D19" s="21" t="s">
        <v>229</v>
      </c>
      <c r="E19" s="143" t="s">
        <v>230</v>
      </c>
      <c r="F19" s="144"/>
      <c r="G19" s="31" t="s">
        <v>231</v>
      </c>
      <c r="H19" s="145" t="s">
        <v>232</v>
      </c>
      <c r="I19" s="146"/>
    </row>
    <row r="20" spans="2:9">
      <c r="B20" s="13" t="str" cm="1">
        <f t="array" ref="B20">_xlfn.XLOOKUP($H$9,Tabla1[[Nombre Unidad de Estudios]:[Nombre Unidad de Estudios]],Tabla1[Contenidos Unidad de Estudios],"",0)</f>
        <v>1. Fundamentos de la gestión sostenible en las organizaciones.
2. Integración de conceptos y teorías en modelos de gestión sostenible.
3. Análisis de modelos y de casos.
4. Diagnóstico organizacional bajo el enfoque de sostenibilidad.
5. Estudios de caso: aplicación y evaluación de modelos.</v>
      </c>
      <c r="C20" s="55"/>
      <c r="D20" s="60"/>
      <c r="E20" s="61"/>
      <c r="F20" s="62"/>
      <c r="G20" s="69"/>
      <c r="H20" s="70"/>
      <c r="I20" s="71"/>
    </row>
    <row r="21" spans="2:9">
      <c r="B21" s="56"/>
      <c r="C21" s="57"/>
      <c r="D21" s="63"/>
      <c r="E21" s="64"/>
      <c r="F21" s="65"/>
      <c r="G21" s="72"/>
      <c r="H21" s="73"/>
      <c r="I21" s="74"/>
    </row>
    <row r="22" spans="2:9">
      <c r="B22" s="56"/>
      <c r="C22" s="57"/>
      <c r="D22" s="63"/>
      <c r="E22" s="64"/>
      <c r="F22" s="65"/>
      <c r="G22" s="72"/>
      <c r="H22" s="73"/>
      <c r="I22" s="74"/>
    </row>
    <row r="23" spans="2:9">
      <c r="B23" s="56"/>
      <c r="C23" s="57"/>
      <c r="D23" s="63"/>
      <c r="E23" s="64"/>
      <c r="F23" s="65"/>
      <c r="G23" s="72"/>
      <c r="H23" s="73"/>
      <c r="I23" s="74"/>
    </row>
    <row r="24" spans="2:9">
      <c r="B24" s="56"/>
      <c r="C24" s="57"/>
      <c r="D24" s="63"/>
      <c r="E24" s="64"/>
      <c r="F24" s="65"/>
      <c r="G24" s="72"/>
      <c r="H24" s="73"/>
      <c r="I24" s="74"/>
    </row>
    <row r="25" spans="2:9">
      <c r="B25" s="56"/>
      <c r="C25" s="57"/>
      <c r="D25" s="63"/>
      <c r="E25" s="64"/>
      <c r="F25" s="65"/>
      <c r="G25" s="72"/>
      <c r="H25" s="73"/>
      <c r="I25" s="74"/>
    </row>
    <row r="26" spans="2:9">
      <c r="B26" s="56"/>
      <c r="C26" s="57"/>
      <c r="D26" s="63"/>
      <c r="E26" s="64"/>
      <c r="F26" s="65"/>
      <c r="G26" s="72"/>
      <c r="H26" s="73"/>
      <c r="I26" s="74"/>
    </row>
    <row r="27" spans="2:9">
      <c r="B27" s="56"/>
      <c r="C27" s="57"/>
      <c r="D27" s="63"/>
      <c r="E27" s="64"/>
      <c r="F27" s="65"/>
      <c r="G27" s="72"/>
      <c r="H27" s="73"/>
      <c r="I27" s="74"/>
    </row>
    <row r="28" spans="2:9">
      <c r="B28" s="56"/>
      <c r="C28" s="57"/>
      <c r="D28" s="63"/>
      <c r="E28" s="64"/>
      <c r="F28" s="65"/>
      <c r="G28" s="72"/>
      <c r="H28" s="73"/>
      <c r="I28" s="74"/>
    </row>
    <row r="29" spans="2:9">
      <c r="B29" s="56"/>
      <c r="C29" s="57"/>
      <c r="D29" s="63"/>
      <c r="E29" s="64"/>
      <c r="F29" s="65"/>
      <c r="G29" s="72"/>
      <c r="H29" s="73"/>
      <c r="I29" s="74"/>
    </row>
    <row r="30" spans="2:9">
      <c r="B30" s="56"/>
      <c r="C30" s="57"/>
      <c r="D30" s="63"/>
      <c r="E30" s="64"/>
      <c r="F30" s="65"/>
      <c r="G30" s="72"/>
      <c r="H30" s="73"/>
      <c r="I30" s="74"/>
    </row>
    <row r="31" spans="2:9">
      <c r="B31" s="56"/>
      <c r="C31" s="57"/>
      <c r="D31" s="63"/>
      <c r="E31" s="64"/>
      <c r="F31" s="65"/>
      <c r="G31" s="72"/>
      <c r="H31" s="73"/>
      <c r="I31" s="74"/>
    </row>
    <row r="32" spans="2:9">
      <c r="B32" s="56"/>
      <c r="C32" s="57"/>
      <c r="D32" s="63"/>
      <c r="E32" s="64"/>
      <c r="F32" s="65"/>
      <c r="G32" s="72"/>
      <c r="H32" s="73"/>
      <c r="I32" s="74"/>
    </row>
    <row r="33" spans="2:9" ht="15.75" thickBot="1">
      <c r="B33" s="58"/>
      <c r="C33" s="59"/>
      <c r="D33" s="66"/>
      <c r="E33" s="67"/>
      <c r="F33" s="68"/>
      <c r="G33" s="75"/>
      <c r="H33" s="76"/>
      <c r="I33" s="77"/>
    </row>
    <row r="34" spans="2:9" ht="15.75" thickBot="1">
      <c r="B34" s="114" t="s">
        <v>233</v>
      </c>
      <c r="C34" s="115"/>
      <c r="D34" s="115"/>
      <c r="E34" s="115"/>
      <c r="F34" s="115"/>
      <c r="G34" s="115"/>
      <c r="H34" s="115"/>
      <c r="I34" s="116"/>
    </row>
    <row r="35" spans="2:9" ht="14.45" customHeight="1">
      <c r="B35" s="126" t="s">
        <v>234</v>
      </c>
      <c r="C35" s="127"/>
      <c r="D35" s="127"/>
      <c r="E35" s="127"/>
      <c r="F35" s="127"/>
      <c r="G35" s="127"/>
      <c r="H35" s="127"/>
      <c r="I35" s="128"/>
    </row>
    <row r="36" spans="2:9">
      <c r="B36" s="129"/>
      <c r="C36" s="130"/>
      <c r="D36" s="130"/>
      <c r="E36" s="130"/>
      <c r="F36" s="130"/>
      <c r="G36" s="130"/>
      <c r="H36" s="130"/>
      <c r="I36" s="131"/>
    </row>
    <row r="37" spans="2:9">
      <c r="B37" s="132" t="str" cm="1">
        <f t="array" ref="B37">_xlfn.XLOOKUP($H$9,Tabla1[[Nombre Unidad de Estudios]:[Nombre Unidad de Estudios]],Tabla1[Esquema de Calificación],"",0)</f>
        <v>25% Dirección de sesión individual/grupal.
25% Desarrollo individual de casos.
40% Redacción final individual de artículos.
10% Participación constructiva en las sesiones.</v>
      </c>
      <c r="C37" s="133"/>
      <c r="D37" s="133"/>
      <c r="E37" s="133"/>
      <c r="F37" s="133"/>
      <c r="G37" s="133"/>
      <c r="H37" s="133"/>
      <c r="I37" s="134"/>
    </row>
    <row r="38" spans="2:9">
      <c r="B38" s="132"/>
      <c r="C38" s="133"/>
      <c r="D38" s="133"/>
      <c r="E38" s="133"/>
      <c r="F38" s="133"/>
      <c r="G38" s="133"/>
      <c r="H38" s="133"/>
      <c r="I38" s="134"/>
    </row>
    <row r="39" spans="2:9" ht="15.75" thickBot="1">
      <c r="B39" s="135"/>
      <c r="C39" s="136"/>
      <c r="D39" s="136"/>
      <c r="E39" s="136"/>
      <c r="F39" s="136"/>
      <c r="G39" s="136"/>
      <c r="H39" s="136"/>
      <c r="I39" s="137"/>
    </row>
    <row r="40" spans="2:9" ht="34.5" customHeight="1" thickBot="1">
      <c r="B40" s="117" t="s">
        <v>235</v>
      </c>
      <c r="C40" s="118"/>
      <c r="D40" s="118"/>
      <c r="E40" s="119"/>
      <c r="F40" s="120" t="str" cm="1">
        <f t="array" ref="F40">_xlfn.XLOOKUP($H$9,Tabla1[[Nombre Unidad de Estudios]:[Nombre Unidad de Estudios]],Tabla1[Recursos Tecnológicos],"",0)</f>
        <v>Base de datos; Material bibliográfico; Plataforma virtual</v>
      </c>
      <c r="G40" s="121"/>
      <c r="H40" s="121"/>
      <c r="I40" s="122"/>
    </row>
    <row r="41" spans="2:9" ht="15.75" thickBot="1">
      <c r="B41" s="123" t="s">
        <v>236</v>
      </c>
      <c r="C41" s="124"/>
      <c r="D41" s="124"/>
      <c r="E41" s="124"/>
      <c r="F41" s="125" t="str" cm="1">
        <f t="array" ref="F41">_xlfn.XLOOKUP($H$9,Tabla1[[Nombre Unidad de Estudios]:[Nombre Unidad de Estudios]],Tabla1[Componente de Lengua Extranjera '[Idioma']],"",0)</f>
        <v>Inglés</v>
      </c>
      <c r="G41" s="125"/>
      <c r="H41" s="32" t="s">
        <v>237</v>
      </c>
      <c r="I41" s="36" cm="1">
        <f t="array" ref="I41">_xlfn.XLOOKUP($H$9,Tabla1[[Nombre Unidad de Estudios]:[Nombre Unidad de Estudios]],Tabla1[Componente de Lengua Extranjera '[%']],"",0)</f>
        <v>0.4</v>
      </c>
    </row>
    <row r="42" spans="2:9">
      <c r="B42" s="80" t="s">
        <v>238</v>
      </c>
      <c r="C42" s="81"/>
      <c r="D42" s="81"/>
      <c r="E42" s="81"/>
      <c r="F42" s="81"/>
      <c r="G42" s="81"/>
      <c r="H42" s="81"/>
      <c r="I42" s="82"/>
    </row>
    <row r="43" spans="2:9" ht="14.45" customHeight="1">
      <c r="B43" s="138" t="s">
        <v>49</v>
      </c>
      <c r="C43" s="139"/>
      <c r="D43" s="139"/>
      <c r="E43" s="140"/>
      <c r="F43" s="138" t="s">
        <v>239</v>
      </c>
      <c r="G43" s="139"/>
      <c r="H43" s="139"/>
      <c r="I43" s="140"/>
    </row>
    <row r="44" spans="2:9">
      <c r="B44" s="108" t="str" cm="1">
        <f t="array" ref="B44">_xlfn.XLOOKUP($H$9,Tabla1[[Nombre Unidad de Estudios]:[Nombre Unidad de Estudios]],Tabla1[Bibliografía Obligatoria],"",0)</f>
        <v>Murnieks, C. Y., Klotz, A. C. y Shepherd, D. A. (2020). Entrepreneurial motivation. Journal of Organizational Behavior, 41, 115-143.
Zeng, M. (2019). Alibaba and the Future of Business. Harvard Business Review. https://hbr.org/2018/09/alibaba-and-the-future-of-business
Zhu, F. y Lansiti, M. (2019). Why Some Platforms Thrive and Others Don't. Harvard Business Review. https://hbr.org/2019/01/why-some-platforms-thrive-and-others-dont</v>
      </c>
      <c r="C44" s="109"/>
      <c r="D44" s="109"/>
      <c r="E44" s="110"/>
      <c r="F44" s="108" t="str" cm="1">
        <f t="array" ref="F44">_xlfn.XLOOKUP($H$9,Tabla1[[Nombre Unidad de Estudios]:[Nombre Unidad de Estudios]],Tabla1[Bibliografia Complementaria],"",0)</f>
        <v>Lawrence, T. B., Suddaby, R. y Leca, B. (2009). Introduction: theorizing and studying Institutional work. https://thomaslawrence.files.wordpress.com
Lundin, M. (2007). Explaining Cooperation. Journal of Public Administration Research and Theory, 17(4), 651-672.
Freeman, J. H. y Audia, P. G. (2006). Community ecology and the sociology of organizations.</v>
      </c>
      <c r="G44" s="109"/>
      <c r="H44" s="109"/>
      <c r="I44" s="110"/>
    </row>
    <row r="45" spans="2:9">
      <c r="B45" s="108"/>
      <c r="C45" s="109"/>
      <c r="D45" s="109"/>
      <c r="E45" s="110"/>
      <c r="F45" s="108"/>
      <c r="G45" s="109"/>
      <c r="H45" s="109"/>
      <c r="I45" s="110"/>
    </row>
    <row r="46" spans="2:9">
      <c r="B46" s="108"/>
      <c r="C46" s="109"/>
      <c r="D46" s="109"/>
      <c r="E46" s="110"/>
      <c r="F46" s="108"/>
      <c r="G46" s="109"/>
      <c r="H46" s="109"/>
      <c r="I46" s="110"/>
    </row>
    <row r="47" spans="2:9">
      <c r="B47" s="108"/>
      <c r="C47" s="109"/>
      <c r="D47" s="109"/>
      <c r="E47" s="110"/>
      <c r="F47" s="108"/>
      <c r="G47" s="109"/>
      <c r="H47" s="109"/>
      <c r="I47" s="110"/>
    </row>
    <row r="48" spans="2:9">
      <c r="B48" s="108"/>
      <c r="C48" s="109"/>
      <c r="D48" s="109"/>
      <c r="E48" s="110"/>
      <c r="F48" s="108"/>
      <c r="G48" s="109"/>
      <c r="H48" s="109"/>
      <c r="I48" s="110"/>
    </row>
    <row r="49" spans="2:9">
      <c r="B49" s="108"/>
      <c r="C49" s="109"/>
      <c r="D49" s="109"/>
      <c r="E49" s="110"/>
      <c r="F49" s="108"/>
      <c r="G49" s="109"/>
      <c r="H49" s="109"/>
      <c r="I49" s="110"/>
    </row>
    <row r="50" spans="2:9">
      <c r="B50" s="108"/>
      <c r="C50" s="109"/>
      <c r="D50" s="109"/>
      <c r="E50" s="110"/>
      <c r="F50" s="108"/>
      <c r="G50" s="109"/>
      <c r="H50" s="109"/>
      <c r="I50" s="110"/>
    </row>
    <row r="51" spans="2:9">
      <c r="B51" s="108"/>
      <c r="C51" s="109"/>
      <c r="D51" s="109"/>
      <c r="E51" s="110"/>
      <c r="F51" s="108"/>
      <c r="G51" s="109"/>
      <c r="H51" s="109"/>
      <c r="I51" s="110"/>
    </row>
    <row r="52" spans="2:9">
      <c r="B52" s="108"/>
      <c r="C52" s="109"/>
      <c r="D52" s="109"/>
      <c r="E52" s="110"/>
      <c r="F52" s="108"/>
      <c r="G52" s="109"/>
      <c r="H52" s="109"/>
      <c r="I52" s="110"/>
    </row>
    <row r="53" spans="2:9">
      <c r="B53" s="108"/>
      <c r="C53" s="109"/>
      <c r="D53" s="109"/>
      <c r="E53" s="110"/>
      <c r="F53" s="108"/>
      <c r="G53" s="109"/>
      <c r="H53" s="109"/>
      <c r="I53" s="110"/>
    </row>
    <row r="54" spans="2:9">
      <c r="B54" s="108"/>
      <c r="C54" s="109"/>
      <c r="D54" s="109"/>
      <c r="E54" s="110"/>
      <c r="F54" s="108"/>
      <c r="G54" s="109"/>
      <c r="H54" s="109"/>
      <c r="I54" s="110"/>
    </row>
    <row r="55" spans="2:9">
      <c r="B55" s="108"/>
      <c r="C55" s="109"/>
      <c r="D55" s="109"/>
      <c r="E55" s="110"/>
      <c r="F55" s="108"/>
      <c r="G55" s="109"/>
      <c r="H55" s="109"/>
      <c r="I55" s="110"/>
    </row>
    <row r="56" spans="2:9">
      <c r="B56" s="108"/>
      <c r="C56" s="109"/>
      <c r="D56" s="109"/>
      <c r="E56" s="110"/>
      <c r="F56" s="108"/>
      <c r="G56" s="109"/>
      <c r="H56" s="109"/>
      <c r="I56" s="110"/>
    </row>
    <row r="57" spans="2:9" ht="15.75" thickBot="1">
      <c r="B57" s="111"/>
      <c r="C57" s="112"/>
      <c r="D57" s="112"/>
      <c r="E57" s="113"/>
      <c r="F57" s="111"/>
      <c r="G57" s="112"/>
      <c r="H57" s="112"/>
      <c r="I57" s="113"/>
    </row>
    <row r="58" spans="2:9">
      <c r="B58" s="80" t="s">
        <v>240</v>
      </c>
      <c r="C58" s="81"/>
      <c r="D58" s="81"/>
      <c r="E58" s="81"/>
      <c r="F58" s="81"/>
      <c r="G58" s="81"/>
      <c r="H58" s="81"/>
      <c r="I58" s="82"/>
    </row>
    <row r="59" spans="2:9">
      <c r="B59" s="33" t="s">
        <v>51</v>
      </c>
      <c r="C59" s="34" t="s">
        <v>52</v>
      </c>
      <c r="D59" s="34" t="s">
        <v>53</v>
      </c>
      <c r="E59" s="34" t="s">
        <v>54</v>
      </c>
      <c r="F59" s="34" t="s">
        <v>55</v>
      </c>
      <c r="G59" s="104" t="s">
        <v>56</v>
      </c>
      <c r="H59" s="104"/>
      <c r="I59" s="105"/>
    </row>
    <row r="60" spans="2:9" ht="30">
      <c r="B60" s="38" cm="1">
        <f t="array" ref="B60">_xlfn.XLOOKUP($H$9,Tabla1[[Nombre Unidad de Estudios]:[Nombre Unidad de Estudios]],Tabla1['# versión],"",0)</f>
        <v>1</v>
      </c>
      <c r="C60" s="41" cm="1">
        <f t="array" ref="C60">_xlfn.XLOOKUP($H$9,Tabla1[[Nombre Unidad de Estudios]:[Nombre Unidad de Estudios]],Tabla1[Fecha],"",0)</f>
        <v>46083</v>
      </c>
      <c r="D60" s="35" t="str" cm="1">
        <f t="array" ref="D60">_xlfn.XLOOKUP($H$9,Tabla1[[Nombre Unidad de Estudios]:[Nombre Unidad de Estudios]],Tabla1[Elaboró],"",0)</f>
        <v>Omar Patiño</v>
      </c>
      <c r="E60" s="35" t="str" cm="1">
        <f t="array" ref="E60">_xlfn.XLOOKUP($H$9,Tabla1[[Nombre Unidad de Estudios]:[Nombre Unidad de Estudios]],Tabla1[Revisó],"",0)</f>
        <v>Juan Carlos Rentería</v>
      </c>
      <c r="F60" s="35" t="str" cm="1">
        <f t="array" ref="F60">_xlfn.XLOOKUP($H$9,Tabla1[[Nombre Unidad de Estudios]:[Nombre Unidad de Estudios]],Tabla1[Aprobó],"",0)</f>
        <v>Comité Curricular</v>
      </c>
      <c r="G60" s="106" t="str" cm="1">
        <f t="array" ref="G60">_xlfn.XLOOKUP($H$9,Tabla1[[Nombre Unidad de Estudios]:[Nombre Unidad de Estudios]],Tabla1[Descripción del cambio],"",0)</f>
        <v>Creación syllabus en nuevo formato</v>
      </c>
      <c r="H60" s="106"/>
      <c r="I60" s="107"/>
    </row>
    <row r="61" spans="2:9">
      <c r="B61" s="38"/>
      <c r="C61" s="35"/>
      <c r="D61" s="35"/>
      <c r="E61" s="35"/>
      <c r="F61" s="35"/>
      <c r="G61" s="106"/>
      <c r="H61" s="106"/>
      <c r="I61" s="107"/>
    </row>
    <row r="62" spans="2:9">
      <c r="B62" s="38"/>
      <c r="C62" s="35"/>
      <c r="D62" s="35"/>
      <c r="E62" s="35"/>
      <c r="F62" s="35"/>
      <c r="G62" s="106"/>
      <c r="H62" s="106"/>
      <c r="I62" s="107"/>
    </row>
    <row r="63" spans="2:9">
      <c r="B63" s="38"/>
      <c r="C63" s="35"/>
      <c r="D63" s="35"/>
      <c r="E63" s="35"/>
      <c r="F63" s="35"/>
      <c r="G63" s="106"/>
      <c r="H63" s="106"/>
      <c r="I63" s="107"/>
    </row>
    <row r="64" spans="2:9">
      <c r="B64" s="38"/>
      <c r="C64" s="35"/>
      <c r="D64" s="35"/>
      <c r="E64" s="35"/>
      <c r="F64" s="35"/>
      <c r="G64" s="106"/>
      <c r="H64" s="106"/>
      <c r="I64" s="107"/>
    </row>
    <row r="65" spans="2:9" ht="15.75" thickBot="1">
      <c r="B65" s="39"/>
      <c r="C65" s="40"/>
      <c r="D65" s="40"/>
      <c r="E65" s="40"/>
      <c r="F65" s="40"/>
      <c r="G65" s="141"/>
      <c r="H65" s="141"/>
      <c r="I65" s="142"/>
    </row>
  </sheetData>
  <mergeCells count="41">
    <mergeCell ref="G65:I65"/>
    <mergeCell ref="G59:I59"/>
    <mergeCell ref="G60:I60"/>
    <mergeCell ref="G61:I61"/>
    <mergeCell ref="G62:I62"/>
    <mergeCell ref="G63:I63"/>
    <mergeCell ref="G64:I64"/>
    <mergeCell ref="B58:I58"/>
    <mergeCell ref="B34:I34"/>
    <mergeCell ref="B35:I36"/>
    <mergeCell ref="B37:I39"/>
    <mergeCell ref="B40:E40"/>
    <mergeCell ref="F40:I40"/>
    <mergeCell ref="B41:E41"/>
    <mergeCell ref="F41:G41"/>
    <mergeCell ref="B42:I42"/>
    <mergeCell ref="B43:E43"/>
    <mergeCell ref="F43:I43"/>
    <mergeCell ref="B44:E57"/>
    <mergeCell ref="F44:I57"/>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K2" display="Menu principal" xr:uid="{00000000-0004-0000-0800-000000000000}"/>
  </hyperlinks>
  <pageMargins left="0.25" right="0.25" top="0.75" bottom="0.75" header="0.3" footer="0.3"/>
  <pageSetup paperSize="9" scale="72"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Tabla!$H$2:$H$22</xm:f>
          </x14:formula1>
          <xm:sqref>H9:I9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E9850-8149-469D-90E7-6B4506564BA7}">
  <sheetPr>
    <pageSetUpPr fitToPage="1"/>
  </sheetPr>
  <dimension ref="B1:K65"/>
  <sheetViews>
    <sheetView workbookViewId="0">
      <selection activeCell="F44" sqref="F44:I57"/>
    </sheetView>
  </sheetViews>
  <sheetFormatPr defaultColWidth="10.85546875" defaultRowHeight="15"/>
  <cols>
    <col min="1" max="1" width="3.140625" style="16" customWidth="1"/>
    <col min="2" max="2" width="14.28515625" style="16" customWidth="1"/>
    <col min="3" max="3" width="11.28515625" style="16" bestFit="1" customWidth="1"/>
    <col min="4" max="4" width="12.28515625" style="16" customWidth="1"/>
    <col min="5" max="5" width="16.28515625" style="16" customWidth="1"/>
    <col min="6" max="6" width="18.42578125" style="16" customWidth="1"/>
    <col min="7" max="7" width="10.85546875" style="16" customWidth="1"/>
    <col min="8" max="8" width="9.85546875" style="16" customWidth="1"/>
    <col min="9" max="9" width="16.7109375" style="16" customWidth="1"/>
    <col min="10" max="10" width="10.85546875" style="16"/>
    <col min="11" max="11" width="16.42578125" style="16" customWidth="1"/>
    <col min="12" max="16384" width="10.85546875" style="16"/>
  </cols>
  <sheetData>
    <row r="1" spans="2:11" ht="15.75" thickBot="1">
      <c r="C1" s="17"/>
      <c r="D1" s="17"/>
      <c r="E1" s="17"/>
      <c r="F1" s="17"/>
      <c r="G1" s="17"/>
      <c r="H1" s="17"/>
    </row>
    <row r="2" spans="2:11" ht="22.5" customHeight="1" thickTop="1">
      <c r="B2" s="10"/>
      <c r="C2" s="8" t="s">
        <v>204</v>
      </c>
      <c r="D2" s="8"/>
      <c r="E2" s="8"/>
      <c r="F2" s="8"/>
      <c r="G2" s="8"/>
      <c r="H2" s="8"/>
      <c r="I2" s="18" t="s">
        <v>205</v>
      </c>
      <c r="K2" s="46" t="s">
        <v>206</v>
      </c>
    </row>
    <row r="3" spans="2:11" ht="20.25" customHeight="1">
      <c r="B3" s="9"/>
      <c r="C3" s="7"/>
      <c r="D3" s="7"/>
      <c r="E3" s="7"/>
      <c r="F3" s="7"/>
      <c r="G3" s="7"/>
      <c r="H3" s="7"/>
      <c r="I3" s="19" t="s">
        <v>207</v>
      </c>
    </row>
    <row r="4" spans="2:11" ht="21" customHeight="1" thickBot="1">
      <c r="B4" s="6" t="s">
        <v>208</v>
      </c>
      <c r="C4" s="5"/>
      <c r="D4" s="5"/>
      <c r="E4" s="5"/>
      <c r="F4" s="5"/>
      <c r="G4" s="5"/>
      <c r="H4" s="5"/>
      <c r="I4" s="20" t="s">
        <v>209</v>
      </c>
    </row>
    <row r="5" spans="2:11" ht="16.5" thickTop="1" thickBot="1">
      <c r="B5" s="4"/>
      <c r="C5" s="4"/>
      <c r="D5" s="4"/>
      <c r="E5" s="4"/>
      <c r="F5" s="4"/>
      <c r="G5" s="4"/>
      <c r="H5" s="4"/>
      <c r="I5" s="4"/>
    </row>
    <row r="6" spans="2:11">
      <c r="B6" s="3" t="s">
        <v>210</v>
      </c>
      <c r="C6" s="2"/>
      <c r="D6" s="2"/>
      <c r="E6" s="2"/>
      <c r="F6" s="2"/>
      <c r="G6" s="2"/>
      <c r="H6" s="2"/>
      <c r="I6" s="1"/>
    </row>
    <row r="7" spans="2:11" ht="60">
      <c r="B7" s="22" t="s">
        <v>29</v>
      </c>
      <c r="C7" s="23" cm="1">
        <f t="array" ref="C7">_xlfn.XLOOKUP($H$9,Tabla1[[Nombre Unidad de Estudios]:[Nombre Unidad de Estudios]],Tabla1[Año],"",0)</f>
        <v>2026</v>
      </c>
      <c r="D7" s="24" t="s">
        <v>211</v>
      </c>
      <c r="E7" s="23" t="str" cm="1">
        <f t="array" ref="E7">_xlfn.XLOOKUP($H$9,Tabla1[[Nombre Unidad de Estudios]:[Nombre Unidad de Estudios]],Tabla1[Código Plan de Estudios],"",0)</f>
        <v>DTPGESBOG002</v>
      </c>
      <c r="F7" s="24" t="s">
        <v>212</v>
      </c>
      <c r="G7" s="23" t="str" cm="1">
        <f t="array" ref="G7">_xlfn.XLOOKUP($H$9,Tabla1[[Nombre Unidad de Estudios]:[Nombre Unidad de Estudios]],Tabla1[Código Unidad de Estudios],"",0)</f>
        <v>ADA01281</v>
      </c>
      <c r="H7" s="24" t="s">
        <v>213</v>
      </c>
      <c r="I7" s="23" t="str" cm="1">
        <f t="array" ref="I7">_xlfn.XLOOKUP($H$9,Tabla1[[Nombre Unidad de Estudios]:[Nombre Unidad de Estudios]],Tabla1[Tipo Unidad de Estudios],"",0)</f>
        <v>Nuclear</v>
      </c>
    </row>
    <row r="8" spans="2:11" ht="30">
      <c r="B8" s="22" t="s">
        <v>33</v>
      </c>
      <c r="C8" s="25" t="s">
        <v>60</v>
      </c>
      <c r="D8" s="35" t="s">
        <v>214</v>
      </c>
      <c r="E8" s="25" t="s">
        <v>215</v>
      </c>
      <c r="F8" s="24"/>
      <c r="G8" s="24" t="s">
        <v>216</v>
      </c>
      <c r="H8" s="12"/>
      <c r="I8" s="11"/>
    </row>
    <row r="9" spans="2:11" ht="45">
      <c r="B9" s="26" t="s">
        <v>217</v>
      </c>
      <c r="C9" s="23" t="str" cm="1">
        <f t="array" ref="C9">_xlfn.XLOOKUP($H$9,Tabla1[[Nombre Unidad de Estudios]:[Nombre Unidad de Estudios]],Tabla1[Nivel],"",0)</f>
        <v>Doctorado</v>
      </c>
      <c r="D9" s="25" t="s">
        <v>218</v>
      </c>
      <c r="E9" s="78" t="str" cm="1">
        <f t="array" ref="E9">_xlfn.XLOOKUP($H$9,Tabla1[[Nombre Unidad de Estudios]:[Nombre Unidad de Estudios]],Tabla1[Programa],"",0)</f>
        <v>Doctorado En Gestión</v>
      </c>
      <c r="F9" s="78"/>
      <c r="G9" s="24" t="s">
        <v>219</v>
      </c>
      <c r="H9" s="78" t="s">
        <v>6</v>
      </c>
      <c r="I9" s="79"/>
    </row>
    <row r="10" spans="2:11" ht="30.75" thickBot="1">
      <c r="B10" s="27" t="s">
        <v>37</v>
      </c>
      <c r="C10" s="28" cm="1">
        <f t="array" ref="C10">_xlfn.XLOOKUP($H$9,Tabla1[[Nombre Unidad de Estudios]:[Nombre Unidad de Estudios]],Tabla1[Créditos Académicos],"",0)</f>
        <v>2</v>
      </c>
      <c r="D10" s="29" t="s">
        <v>220</v>
      </c>
      <c r="E10" s="28" cm="1">
        <f t="array" ref="E10">_xlfn.XLOOKUP($H$9,Tabla1[[Nombre Unidad de Estudios]:[Nombre Unidad de Estudios]],Tabla1[Horas de Acompañamiento Directo '[HAD']],"",0)</f>
        <v>24</v>
      </c>
      <c r="F10" s="29" t="s">
        <v>221</v>
      </c>
      <c r="G10" s="28" cm="1">
        <f t="array" ref="G10">_xlfn.XLOOKUP($H$9,Tabla1[[Nombre Unidad de Estudios]:[Nombre Unidad de Estudios]],Tabla1[Horas de Trabajo Autónomo '[HTA']],"",0)</f>
        <v>72</v>
      </c>
      <c r="H10" s="29" t="s">
        <v>222</v>
      </c>
      <c r="I10" s="30">
        <f>E10+G10</f>
        <v>96</v>
      </c>
    </row>
    <row r="11" spans="2:11">
      <c r="B11" s="80" t="s">
        <v>223</v>
      </c>
      <c r="C11" s="81"/>
      <c r="D11" s="81"/>
      <c r="E11" s="81"/>
      <c r="F11" s="81"/>
      <c r="G11" s="81"/>
      <c r="H11" s="81"/>
      <c r="I11" s="82"/>
    </row>
    <row r="12" spans="2:11" ht="76.5" customHeight="1">
      <c r="B12" s="83" t="s">
        <v>224</v>
      </c>
      <c r="C12" s="84"/>
      <c r="D12" s="85" t="str" cm="1">
        <f t="array" ref="D12">_xlfn.XLOOKUP($H$9,Tabla1[[Nombre Unidad de Estudios]:[Nombre Unidad de Estudios]],Tabla1[Descripción de la Unidad de Estudios],"",0)</f>
        <v>El estudio de las relaciones económicas contemporáneas es un componente esencial para la comprensión de la situación actual de nuestras sociedades, así como de las organizaciones que operan en marcos de restricciones ecológicas y de sostenibilidad.</v>
      </c>
      <c r="E12" s="86"/>
      <c r="F12" s="86"/>
      <c r="G12" s="86"/>
      <c r="H12" s="86"/>
      <c r="I12" s="87"/>
    </row>
    <row r="13" spans="2:11" ht="66" customHeight="1" thickBot="1">
      <c r="B13" s="88" t="s">
        <v>225</v>
      </c>
      <c r="C13" s="89"/>
      <c r="D13" s="90" t="str" cm="1">
        <f t="array" ref="D13">_xlfn.XLOOKUP($H$9,Tabla1[[Nombre Unidad de Estudios]:[Nombre Unidad de Estudios]],Tabla1[Resultado de Aprendizaje de la Unidad de Estudios],"",0)</f>
        <v>Desarrolla habilidades analíticas para comprender el comportamiento organizacional en economías competitivas y de mercado.</v>
      </c>
      <c r="E13" s="91"/>
      <c r="F13" s="91"/>
      <c r="G13" s="91"/>
      <c r="H13" s="91"/>
      <c r="I13" s="92"/>
    </row>
    <row r="14" spans="2:11">
      <c r="B14" s="80" t="s">
        <v>226</v>
      </c>
      <c r="C14" s="81"/>
      <c r="D14" s="81"/>
      <c r="E14" s="81"/>
      <c r="F14" s="81"/>
      <c r="G14" s="81"/>
      <c r="H14" s="81"/>
      <c r="I14" s="82"/>
    </row>
    <row r="15" spans="2:11">
      <c r="B15" s="93" t="s">
        <v>227</v>
      </c>
      <c r="C15" s="78"/>
      <c r="D15" s="78"/>
      <c r="E15" s="78"/>
      <c r="F15" s="78"/>
      <c r="G15" s="78"/>
      <c r="H15" s="78"/>
      <c r="I15" s="79"/>
    </row>
    <row r="16" spans="2:11">
      <c r="B16" s="93"/>
      <c r="C16" s="78"/>
      <c r="D16" s="78"/>
      <c r="E16" s="78"/>
      <c r="F16" s="78"/>
      <c r="G16" s="78"/>
      <c r="H16" s="78"/>
      <c r="I16" s="79"/>
    </row>
    <row r="17" spans="2:9" ht="15.75" thickBot="1">
      <c r="B17" s="94"/>
      <c r="C17" s="95"/>
      <c r="D17" s="95"/>
      <c r="E17" s="95"/>
      <c r="F17" s="95"/>
      <c r="G17" s="95"/>
      <c r="H17" s="95"/>
      <c r="I17" s="96"/>
    </row>
    <row r="18" spans="2:9" ht="15.75" thickBot="1">
      <c r="B18" s="97" t="s">
        <v>228</v>
      </c>
      <c r="C18" s="98"/>
      <c r="D18" s="98"/>
      <c r="E18" s="98"/>
      <c r="F18" s="98"/>
      <c r="G18" s="98"/>
      <c r="H18" s="98"/>
      <c r="I18" s="99"/>
    </row>
    <row r="19" spans="2:9">
      <c r="B19" s="21" t="s">
        <v>44</v>
      </c>
      <c r="C19" s="43" t="str" cm="1">
        <f t="array" ref="C19">_xlfn.XLOOKUP($H$9,Tabla1[[Nombre Unidad de Estudios]:[Nombre Unidad de Estudios]],Tabla1[Módulo],"",0)</f>
        <v>4 semanas</v>
      </c>
      <c r="D19" s="21" t="s">
        <v>229</v>
      </c>
      <c r="E19" s="143" t="s">
        <v>230</v>
      </c>
      <c r="F19" s="144"/>
      <c r="G19" s="31" t="s">
        <v>231</v>
      </c>
      <c r="H19" s="145" t="s">
        <v>232</v>
      </c>
      <c r="I19" s="146"/>
    </row>
    <row r="20" spans="2:9">
      <c r="B20" s="13" t="str" cm="1">
        <f t="array" ref="B20">_xlfn.XLOOKUP($H$9,Tabla1[[Nombre Unidad de Estudios]:[Nombre Unidad de Estudios]],Tabla1[Contenidos Unidad de Estudios],"",0)</f>
        <v>La economía en el marco de las restricciones ecológicas. Un espacio seguro para la humanidad.
Perspectivas de análisis: economía tradicional, economía ambiental, economía ecológica, ecología industrial, economía de la sostenibilidad.
Fundamentos y principales debates en microeconomía.</v>
      </c>
      <c r="C20" s="55"/>
      <c r="D20" s="60"/>
      <c r="E20" s="61"/>
      <c r="F20" s="62"/>
      <c r="G20" s="69"/>
      <c r="H20" s="70"/>
      <c r="I20" s="71"/>
    </row>
    <row r="21" spans="2:9">
      <c r="B21" s="56"/>
      <c r="C21" s="57"/>
      <c r="D21" s="63"/>
      <c r="E21" s="64"/>
      <c r="F21" s="65"/>
      <c r="G21" s="72"/>
      <c r="H21" s="73"/>
      <c r="I21" s="74"/>
    </row>
    <row r="22" spans="2:9">
      <c r="B22" s="56"/>
      <c r="C22" s="57"/>
      <c r="D22" s="63"/>
      <c r="E22" s="64"/>
      <c r="F22" s="65"/>
      <c r="G22" s="72"/>
      <c r="H22" s="73"/>
      <c r="I22" s="74"/>
    </row>
    <row r="23" spans="2:9">
      <c r="B23" s="56"/>
      <c r="C23" s="57"/>
      <c r="D23" s="63"/>
      <c r="E23" s="64"/>
      <c r="F23" s="65"/>
      <c r="G23" s="72"/>
      <c r="H23" s="73"/>
      <c r="I23" s="74"/>
    </row>
    <row r="24" spans="2:9">
      <c r="B24" s="56"/>
      <c r="C24" s="57"/>
      <c r="D24" s="63"/>
      <c r="E24" s="64"/>
      <c r="F24" s="65"/>
      <c r="G24" s="72"/>
      <c r="H24" s="73"/>
      <c r="I24" s="74"/>
    </row>
    <row r="25" spans="2:9">
      <c r="B25" s="56"/>
      <c r="C25" s="57"/>
      <c r="D25" s="63"/>
      <c r="E25" s="64"/>
      <c r="F25" s="65"/>
      <c r="G25" s="72"/>
      <c r="H25" s="73"/>
      <c r="I25" s="74"/>
    </row>
    <row r="26" spans="2:9">
      <c r="B26" s="56"/>
      <c r="C26" s="57"/>
      <c r="D26" s="63"/>
      <c r="E26" s="64"/>
      <c r="F26" s="65"/>
      <c r="G26" s="72"/>
      <c r="H26" s="73"/>
      <c r="I26" s="74"/>
    </row>
    <row r="27" spans="2:9">
      <c r="B27" s="56"/>
      <c r="C27" s="57"/>
      <c r="D27" s="63"/>
      <c r="E27" s="64"/>
      <c r="F27" s="65"/>
      <c r="G27" s="72"/>
      <c r="H27" s="73"/>
      <c r="I27" s="74"/>
    </row>
    <row r="28" spans="2:9">
      <c r="B28" s="56"/>
      <c r="C28" s="57"/>
      <c r="D28" s="63"/>
      <c r="E28" s="64"/>
      <c r="F28" s="65"/>
      <c r="G28" s="72"/>
      <c r="H28" s="73"/>
      <c r="I28" s="74"/>
    </row>
    <row r="29" spans="2:9">
      <c r="B29" s="56"/>
      <c r="C29" s="57"/>
      <c r="D29" s="63"/>
      <c r="E29" s="64"/>
      <c r="F29" s="65"/>
      <c r="G29" s="72"/>
      <c r="H29" s="73"/>
      <c r="I29" s="74"/>
    </row>
    <row r="30" spans="2:9">
      <c r="B30" s="56"/>
      <c r="C30" s="57"/>
      <c r="D30" s="63"/>
      <c r="E30" s="64"/>
      <c r="F30" s="65"/>
      <c r="G30" s="72"/>
      <c r="H30" s="73"/>
      <c r="I30" s="74"/>
    </row>
    <row r="31" spans="2:9">
      <c r="B31" s="56"/>
      <c r="C31" s="57"/>
      <c r="D31" s="63"/>
      <c r="E31" s="64"/>
      <c r="F31" s="65"/>
      <c r="G31" s="72"/>
      <c r="H31" s="73"/>
      <c r="I31" s="74"/>
    </row>
    <row r="32" spans="2:9">
      <c r="B32" s="56"/>
      <c r="C32" s="57"/>
      <c r="D32" s="63"/>
      <c r="E32" s="64"/>
      <c r="F32" s="65"/>
      <c r="G32" s="72"/>
      <c r="H32" s="73"/>
      <c r="I32" s="74"/>
    </row>
    <row r="33" spans="2:9" ht="15.75" thickBot="1">
      <c r="B33" s="58"/>
      <c r="C33" s="59"/>
      <c r="D33" s="66"/>
      <c r="E33" s="67"/>
      <c r="F33" s="68"/>
      <c r="G33" s="75"/>
      <c r="H33" s="76"/>
      <c r="I33" s="77"/>
    </row>
    <row r="34" spans="2:9" ht="15.75" thickBot="1">
      <c r="B34" s="114" t="s">
        <v>233</v>
      </c>
      <c r="C34" s="115"/>
      <c r="D34" s="115"/>
      <c r="E34" s="115"/>
      <c r="F34" s="115"/>
      <c r="G34" s="115"/>
      <c r="H34" s="115"/>
      <c r="I34" s="116"/>
    </row>
    <row r="35" spans="2:9" ht="14.45" customHeight="1">
      <c r="B35" s="126" t="s">
        <v>234</v>
      </c>
      <c r="C35" s="127"/>
      <c r="D35" s="127"/>
      <c r="E35" s="127"/>
      <c r="F35" s="127"/>
      <c r="G35" s="127"/>
      <c r="H35" s="127"/>
      <c r="I35" s="128"/>
    </row>
    <row r="36" spans="2:9">
      <c r="B36" s="129"/>
      <c r="C36" s="130"/>
      <c r="D36" s="130"/>
      <c r="E36" s="130"/>
      <c r="F36" s="130"/>
      <c r="G36" s="130"/>
      <c r="H36" s="130"/>
      <c r="I36" s="131"/>
    </row>
    <row r="37" spans="2:9">
      <c r="B37" s="132" t="str" cm="1">
        <f t="array" ref="B37">_xlfn.XLOOKUP($H$9,Tabla1[[Nombre Unidad de Estudios]:[Nombre Unidad de Estudios]],Tabla1[Esquema de Calificación],"",0)</f>
        <v>20% Participación en foros.
30% Ejercicios.
30% Trabajo final.
20% Presentación final.</v>
      </c>
      <c r="C37" s="133"/>
      <c r="D37" s="133"/>
      <c r="E37" s="133"/>
      <c r="F37" s="133"/>
      <c r="G37" s="133"/>
      <c r="H37" s="133"/>
      <c r="I37" s="134"/>
    </row>
    <row r="38" spans="2:9">
      <c r="B38" s="132"/>
      <c r="C38" s="133"/>
      <c r="D38" s="133"/>
      <c r="E38" s="133"/>
      <c r="F38" s="133"/>
      <c r="G38" s="133"/>
      <c r="H38" s="133"/>
      <c r="I38" s="134"/>
    </row>
    <row r="39" spans="2:9" ht="15.75" thickBot="1">
      <c r="B39" s="135"/>
      <c r="C39" s="136"/>
      <c r="D39" s="136"/>
      <c r="E39" s="136"/>
      <c r="F39" s="136"/>
      <c r="G39" s="136"/>
      <c r="H39" s="136"/>
      <c r="I39" s="137"/>
    </row>
    <row r="40" spans="2:9" ht="34.5" customHeight="1" thickBot="1">
      <c r="B40" s="117" t="s">
        <v>235</v>
      </c>
      <c r="C40" s="118"/>
      <c r="D40" s="118"/>
      <c r="E40" s="119"/>
      <c r="F40" s="120" t="str" cm="1">
        <f t="array" ref="F40">_xlfn.XLOOKUP($H$9,Tabla1[[Nombre Unidad de Estudios]:[Nombre Unidad de Estudios]],Tabla1[Recursos Tecnológicos],"",0)</f>
        <v>Base de datos; Material bibliográfico; Plataforma virtual</v>
      </c>
      <c r="G40" s="121"/>
      <c r="H40" s="121"/>
      <c r="I40" s="122"/>
    </row>
    <row r="41" spans="2:9" ht="15.75" thickBot="1">
      <c r="B41" s="123" t="s">
        <v>236</v>
      </c>
      <c r="C41" s="124"/>
      <c r="D41" s="124"/>
      <c r="E41" s="124"/>
      <c r="F41" s="125" t="str" cm="1">
        <f t="array" ref="F41">_xlfn.XLOOKUP($H$9,Tabla1[[Nombre Unidad de Estudios]:[Nombre Unidad de Estudios]],Tabla1[Componente de Lengua Extranjera '[Idioma']],"",0)</f>
        <v>Inglés</v>
      </c>
      <c r="G41" s="125"/>
      <c r="H41" s="32" t="s">
        <v>237</v>
      </c>
      <c r="I41" s="36" cm="1">
        <f t="array" ref="I41">_xlfn.XLOOKUP($H$9,Tabla1[[Nombre Unidad de Estudios]:[Nombre Unidad de Estudios]],Tabla1[Componente de Lengua Extranjera '[%']],"",0)</f>
        <v>0.5</v>
      </c>
    </row>
    <row r="42" spans="2:9">
      <c r="B42" s="80" t="s">
        <v>238</v>
      </c>
      <c r="C42" s="81"/>
      <c r="D42" s="81"/>
      <c r="E42" s="81"/>
      <c r="F42" s="81"/>
      <c r="G42" s="81"/>
      <c r="H42" s="81"/>
      <c r="I42" s="82"/>
    </row>
    <row r="43" spans="2:9" ht="14.45" customHeight="1">
      <c r="B43" s="138" t="s">
        <v>49</v>
      </c>
      <c r="C43" s="139"/>
      <c r="D43" s="139"/>
      <c r="E43" s="140"/>
      <c r="F43" s="138" t="s">
        <v>239</v>
      </c>
      <c r="G43" s="139"/>
      <c r="H43" s="139"/>
      <c r="I43" s="140"/>
    </row>
    <row r="44" spans="2:9">
      <c r="B44" s="108" t="str" cm="1">
        <f t="array" ref="B44">_xlfn.XLOOKUP($H$9,Tabla1[[Nombre Unidad de Estudios]:[Nombre Unidad de Estudios]],Tabla1[Bibliografía Obligatoria],"",0)</f>
        <v>Bernal, R. y Peña, X. (2011). Guía Práctica de Evaluación de impacto. Ediciones Uniandes.
Cárdenas, J. C. (2010). Dilemas de lo colectivo. Instituciones, pobreza y cooperación en el manejo local de los recursos de uso común. Ediciones Uniandes.
Costanza, R., Cumberland, J., Daly, H., Goodland, R., Norgaard, R., Kubiszewski, I. y Franco, C. (2014). An introduction to ecological economics (2nd ed.). CRC Press.</v>
      </c>
      <c r="C44" s="109"/>
      <c r="D44" s="109"/>
      <c r="E44" s="110"/>
      <c r="F44" s="108" t="str" cm="1">
        <f t="array" ref="F44">_xlfn.XLOOKUP($H$9,Tabla1[[Nombre Unidad de Estudios]:[Nombre Unidad de Estudios]],Tabla1[Bibliografia Complementaria],"",0)</f>
        <v>Sachs, J. (2016). La era del desarrollo sostenible. Paidos Empresa.
Tirole, J. (2017). La economía del bien común. Penguin Random House Grupo Editorial.</v>
      </c>
      <c r="G44" s="109"/>
      <c r="H44" s="109"/>
      <c r="I44" s="110"/>
    </row>
    <row r="45" spans="2:9">
      <c r="B45" s="108"/>
      <c r="C45" s="109"/>
      <c r="D45" s="109"/>
      <c r="E45" s="110"/>
      <c r="F45" s="108"/>
      <c r="G45" s="109"/>
      <c r="H45" s="109"/>
      <c r="I45" s="110"/>
    </row>
    <row r="46" spans="2:9">
      <c r="B46" s="108"/>
      <c r="C46" s="109"/>
      <c r="D46" s="109"/>
      <c r="E46" s="110"/>
      <c r="F46" s="108"/>
      <c r="G46" s="109"/>
      <c r="H46" s="109"/>
      <c r="I46" s="110"/>
    </row>
    <row r="47" spans="2:9">
      <c r="B47" s="108"/>
      <c r="C47" s="109"/>
      <c r="D47" s="109"/>
      <c r="E47" s="110"/>
      <c r="F47" s="108"/>
      <c r="G47" s="109"/>
      <c r="H47" s="109"/>
      <c r="I47" s="110"/>
    </row>
    <row r="48" spans="2:9">
      <c r="B48" s="108"/>
      <c r="C48" s="109"/>
      <c r="D48" s="109"/>
      <c r="E48" s="110"/>
      <c r="F48" s="108"/>
      <c r="G48" s="109"/>
      <c r="H48" s="109"/>
      <c r="I48" s="110"/>
    </row>
    <row r="49" spans="2:9">
      <c r="B49" s="108"/>
      <c r="C49" s="109"/>
      <c r="D49" s="109"/>
      <c r="E49" s="110"/>
      <c r="F49" s="108"/>
      <c r="G49" s="109"/>
      <c r="H49" s="109"/>
      <c r="I49" s="110"/>
    </row>
    <row r="50" spans="2:9">
      <c r="B50" s="108"/>
      <c r="C50" s="109"/>
      <c r="D50" s="109"/>
      <c r="E50" s="110"/>
      <c r="F50" s="108"/>
      <c r="G50" s="109"/>
      <c r="H50" s="109"/>
      <c r="I50" s="110"/>
    </row>
    <row r="51" spans="2:9">
      <c r="B51" s="108"/>
      <c r="C51" s="109"/>
      <c r="D51" s="109"/>
      <c r="E51" s="110"/>
      <c r="F51" s="108"/>
      <c r="G51" s="109"/>
      <c r="H51" s="109"/>
      <c r="I51" s="110"/>
    </row>
    <row r="52" spans="2:9">
      <c r="B52" s="108"/>
      <c r="C52" s="109"/>
      <c r="D52" s="109"/>
      <c r="E52" s="110"/>
      <c r="F52" s="108"/>
      <c r="G52" s="109"/>
      <c r="H52" s="109"/>
      <c r="I52" s="110"/>
    </row>
    <row r="53" spans="2:9">
      <c r="B53" s="108"/>
      <c r="C53" s="109"/>
      <c r="D53" s="109"/>
      <c r="E53" s="110"/>
      <c r="F53" s="108"/>
      <c r="G53" s="109"/>
      <c r="H53" s="109"/>
      <c r="I53" s="110"/>
    </row>
    <row r="54" spans="2:9">
      <c r="B54" s="108"/>
      <c r="C54" s="109"/>
      <c r="D54" s="109"/>
      <c r="E54" s="110"/>
      <c r="F54" s="108"/>
      <c r="G54" s="109"/>
      <c r="H54" s="109"/>
      <c r="I54" s="110"/>
    </row>
    <row r="55" spans="2:9">
      <c r="B55" s="108"/>
      <c r="C55" s="109"/>
      <c r="D55" s="109"/>
      <c r="E55" s="110"/>
      <c r="F55" s="108"/>
      <c r="G55" s="109"/>
      <c r="H55" s="109"/>
      <c r="I55" s="110"/>
    </row>
    <row r="56" spans="2:9">
      <c r="B56" s="108"/>
      <c r="C56" s="109"/>
      <c r="D56" s="109"/>
      <c r="E56" s="110"/>
      <c r="F56" s="108"/>
      <c r="G56" s="109"/>
      <c r="H56" s="109"/>
      <c r="I56" s="110"/>
    </row>
    <row r="57" spans="2:9" ht="15.75" thickBot="1">
      <c r="B57" s="111"/>
      <c r="C57" s="112"/>
      <c r="D57" s="112"/>
      <c r="E57" s="113"/>
      <c r="F57" s="111"/>
      <c r="G57" s="112"/>
      <c r="H57" s="112"/>
      <c r="I57" s="113"/>
    </row>
    <row r="58" spans="2:9">
      <c r="B58" s="80" t="s">
        <v>240</v>
      </c>
      <c r="C58" s="81"/>
      <c r="D58" s="81"/>
      <c r="E58" s="81"/>
      <c r="F58" s="81"/>
      <c r="G58" s="81"/>
      <c r="H58" s="81"/>
      <c r="I58" s="82"/>
    </row>
    <row r="59" spans="2:9">
      <c r="B59" s="33" t="s">
        <v>51</v>
      </c>
      <c r="C59" s="34" t="s">
        <v>52</v>
      </c>
      <c r="D59" s="34" t="s">
        <v>53</v>
      </c>
      <c r="E59" s="34" t="s">
        <v>54</v>
      </c>
      <c r="F59" s="34" t="s">
        <v>55</v>
      </c>
      <c r="G59" s="104" t="s">
        <v>56</v>
      </c>
      <c r="H59" s="104"/>
      <c r="I59" s="105"/>
    </row>
    <row r="60" spans="2:9" ht="30">
      <c r="B60" s="38" cm="1">
        <f t="array" ref="B60">_xlfn.XLOOKUP($H$9,Tabla1[[Nombre Unidad de Estudios]:[Nombre Unidad de Estudios]],Tabla1['# versión],"",0)</f>
        <v>1</v>
      </c>
      <c r="C60" s="41" cm="1">
        <f t="array" ref="C60">_xlfn.XLOOKUP($H$9,Tabla1[[Nombre Unidad de Estudios]:[Nombre Unidad de Estudios]],Tabla1[Fecha],"",0)</f>
        <v>46083</v>
      </c>
      <c r="D60" s="35" t="str" cm="1">
        <f t="array" ref="D60">_xlfn.XLOOKUP($H$9,Tabla1[[Nombre Unidad de Estudios]:[Nombre Unidad de Estudios]],Tabla1[Elaboró],"",0)</f>
        <v>Omar Patiño</v>
      </c>
      <c r="E60" s="35" t="str" cm="1">
        <f t="array" ref="E60">_xlfn.XLOOKUP($H$9,Tabla1[[Nombre Unidad de Estudios]:[Nombre Unidad de Estudios]],Tabla1[Revisó],"",0)</f>
        <v>Juan Carlos Rentería</v>
      </c>
      <c r="F60" s="35" t="str" cm="1">
        <f t="array" ref="F60">_xlfn.XLOOKUP($H$9,Tabla1[[Nombre Unidad de Estudios]:[Nombre Unidad de Estudios]],Tabla1[Aprobó],"",0)</f>
        <v>Comité Curricular</v>
      </c>
      <c r="G60" s="106" t="str" cm="1">
        <f t="array" ref="G60">_xlfn.XLOOKUP($H$9,Tabla1[[Nombre Unidad de Estudios]:[Nombre Unidad de Estudios]],Tabla1[Descripción del cambio],"",0)</f>
        <v>Creación syllabus en nuevo formato</v>
      </c>
      <c r="H60" s="106"/>
      <c r="I60" s="107"/>
    </row>
    <row r="61" spans="2:9">
      <c r="B61" s="38"/>
      <c r="C61" s="35"/>
      <c r="D61" s="35"/>
      <c r="E61" s="35"/>
      <c r="F61" s="35"/>
      <c r="G61" s="106"/>
      <c r="H61" s="106"/>
      <c r="I61" s="107"/>
    </row>
    <row r="62" spans="2:9">
      <c r="B62" s="38"/>
      <c r="C62" s="35"/>
      <c r="D62" s="35"/>
      <c r="E62" s="35"/>
      <c r="F62" s="35"/>
      <c r="G62" s="106"/>
      <c r="H62" s="106"/>
      <c r="I62" s="107"/>
    </row>
    <row r="63" spans="2:9">
      <c r="B63" s="38"/>
      <c r="C63" s="35"/>
      <c r="D63" s="35"/>
      <c r="E63" s="35"/>
      <c r="F63" s="35"/>
      <c r="G63" s="106"/>
      <c r="H63" s="106"/>
      <c r="I63" s="107"/>
    </row>
    <row r="64" spans="2:9">
      <c r="B64" s="38"/>
      <c r="C64" s="35"/>
      <c r="D64" s="35"/>
      <c r="E64" s="35"/>
      <c r="F64" s="35"/>
      <c r="G64" s="106"/>
      <c r="H64" s="106"/>
      <c r="I64" s="107"/>
    </row>
    <row r="65" spans="2:9" ht="15.75" thickBot="1">
      <c r="B65" s="39"/>
      <c r="C65" s="40"/>
      <c r="D65" s="40"/>
      <c r="E65" s="40"/>
      <c r="F65" s="40"/>
      <c r="G65" s="141"/>
      <c r="H65" s="141"/>
      <c r="I65" s="142"/>
    </row>
  </sheetData>
  <mergeCells count="41">
    <mergeCell ref="G65:I65"/>
    <mergeCell ref="G59:I59"/>
    <mergeCell ref="G60:I60"/>
    <mergeCell ref="G61:I61"/>
    <mergeCell ref="G62:I62"/>
    <mergeCell ref="G63:I63"/>
    <mergeCell ref="G64:I64"/>
    <mergeCell ref="B58:I58"/>
    <mergeCell ref="B34:I34"/>
    <mergeCell ref="B35:I36"/>
    <mergeCell ref="B37:I39"/>
    <mergeCell ref="B40:E40"/>
    <mergeCell ref="F40:I40"/>
    <mergeCell ref="B41:E41"/>
    <mergeCell ref="F41:G41"/>
    <mergeCell ref="B42:I42"/>
    <mergeCell ref="B43:E43"/>
    <mergeCell ref="F43:I43"/>
    <mergeCell ref="B44:E57"/>
    <mergeCell ref="F44:I57"/>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K2" display="Menu principal" xr:uid="{00000000-0004-0000-0900-000000000000}"/>
  </hyperlinks>
  <pageMargins left="0.25" right="0.25" top="0.75" bottom="0.75" header="0.3" footer="0.3"/>
  <pageSetup paperSize="9" scale="72"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Tabla!$H$2:$H$22</xm:f>
          </x14:formula1>
          <xm:sqref>H9:I9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97FE0-76B2-4865-8751-3DA6C110DB15}">
  <sheetPr>
    <pageSetUpPr fitToPage="1"/>
  </sheetPr>
  <dimension ref="B1:K65"/>
  <sheetViews>
    <sheetView topLeftCell="A12" workbookViewId="0">
      <selection activeCell="B20" sqref="B20:C33"/>
    </sheetView>
  </sheetViews>
  <sheetFormatPr defaultColWidth="10.85546875" defaultRowHeight="15"/>
  <cols>
    <col min="1" max="1" width="3.140625" style="16" customWidth="1"/>
    <col min="2" max="2" width="14.28515625" style="16" customWidth="1"/>
    <col min="3" max="3" width="11.28515625" style="16" bestFit="1" customWidth="1"/>
    <col min="4" max="4" width="12.28515625" style="16" customWidth="1"/>
    <col min="5" max="5" width="16.28515625" style="16" customWidth="1"/>
    <col min="6" max="6" width="18.42578125" style="16" customWidth="1"/>
    <col min="7" max="7" width="10.85546875" style="16" customWidth="1"/>
    <col min="8" max="8" width="9.85546875" style="16" customWidth="1"/>
    <col min="9" max="9" width="16.7109375" style="16" customWidth="1"/>
    <col min="10" max="10" width="10.85546875" style="16"/>
    <col min="11" max="11" width="16.42578125" style="16" customWidth="1"/>
    <col min="12" max="16384" width="10.85546875" style="16"/>
  </cols>
  <sheetData>
    <row r="1" spans="2:11" ht="15.75" thickBot="1">
      <c r="C1" s="17"/>
      <c r="D1" s="17"/>
      <c r="E1" s="17"/>
      <c r="F1" s="17"/>
      <c r="G1" s="17"/>
      <c r="H1" s="17"/>
    </row>
    <row r="2" spans="2:11" ht="22.5" customHeight="1" thickTop="1">
      <c r="B2" s="10"/>
      <c r="C2" s="8" t="s">
        <v>204</v>
      </c>
      <c r="D2" s="8"/>
      <c r="E2" s="8"/>
      <c r="F2" s="8"/>
      <c r="G2" s="8"/>
      <c r="H2" s="8"/>
      <c r="I2" s="18" t="s">
        <v>205</v>
      </c>
      <c r="K2" s="46" t="s">
        <v>206</v>
      </c>
    </row>
    <row r="3" spans="2:11" ht="20.25" customHeight="1">
      <c r="B3" s="9"/>
      <c r="C3" s="7"/>
      <c r="D3" s="7"/>
      <c r="E3" s="7"/>
      <c r="F3" s="7"/>
      <c r="G3" s="7"/>
      <c r="H3" s="7"/>
      <c r="I3" s="19" t="s">
        <v>207</v>
      </c>
    </row>
    <row r="4" spans="2:11" ht="21" customHeight="1" thickBot="1">
      <c r="B4" s="6" t="s">
        <v>208</v>
      </c>
      <c r="C4" s="5"/>
      <c r="D4" s="5"/>
      <c r="E4" s="5"/>
      <c r="F4" s="5"/>
      <c r="G4" s="5"/>
      <c r="H4" s="5"/>
      <c r="I4" s="20" t="s">
        <v>209</v>
      </c>
    </row>
    <row r="5" spans="2:11" ht="16.5" thickTop="1" thickBot="1">
      <c r="B5" s="4"/>
      <c r="C5" s="4"/>
      <c r="D5" s="4"/>
      <c r="E5" s="4"/>
      <c r="F5" s="4"/>
      <c r="G5" s="4"/>
      <c r="H5" s="4"/>
      <c r="I5" s="4"/>
    </row>
    <row r="6" spans="2:11">
      <c r="B6" s="3" t="s">
        <v>210</v>
      </c>
      <c r="C6" s="2"/>
      <c r="D6" s="2"/>
      <c r="E6" s="2"/>
      <c r="F6" s="2"/>
      <c r="G6" s="2"/>
      <c r="H6" s="2"/>
      <c r="I6" s="1"/>
    </row>
    <row r="7" spans="2:11" ht="60">
      <c r="B7" s="22" t="s">
        <v>29</v>
      </c>
      <c r="C7" s="23" cm="1">
        <f t="array" ref="C7">_xlfn.XLOOKUP($H$9,Tabla1[[Nombre Unidad de Estudios]:[Nombre Unidad de Estudios]],Tabla1[Año],"",0)</f>
        <v>2026</v>
      </c>
      <c r="D7" s="24" t="s">
        <v>211</v>
      </c>
      <c r="E7" s="23" t="str" cm="1">
        <f t="array" ref="E7">_xlfn.XLOOKUP($H$9,Tabla1[[Nombre Unidad de Estudios]:[Nombre Unidad de Estudios]],Tabla1[Código Plan de Estudios],"",0)</f>
        <v>DTPGESBOG002</v>
      </c>
      <c r="F7" s="24" t="s">
        <v>212</v>
      </c>
      <c r="G7" s="23" t="str" cm="1">
        <f t="array" ref="G7">_xlfn.XLOOKUP($H$9,Tabla1[[Nombre Unidad de Estudios]:[Nombre Unidad de Estudios]],Tabla1[Código Unidad de Estudios],"",0)</f>
        <v>ADA01400</v>
      </c>
      <c r="H7" s="24" t="s">
        <v>213</v>
      </c>
      <c r="I7" s="23" t="str" cm="1">
        <f t="array" ref="I7">_xlfn.XLOOKUP($H$9,Tabla1[[Nombre Unidad de Estudios]:[Nombre Unidad de Estudios]],Tabla1[Tipo Unidad de Estudios],"",0)</f>
        <v>Nuclear</v>
      </c>
    </row>
    <row r="8" spans="2:11" ht="30">
      <c r="B8" s="22" t="s">
        <v>33</v>
      </c>
      <c r="C8" s="25" t="s">
        <v>60</v>
      </c>
      <c r="D8" s="35" t="s">
        <v>214</v>
      </c>
      <c r="E8" s="25" t="s">
        <v>215</v>
      </c>
      <c r="F8" s="24"/>
      <c r="G8" s="24" t="s">
        <v>216</v>
      </c>
      <c r="H8" s="12"/>
      <c r="I8" s="11"/>
    </row>
    <row r="9" spans="2:11" ht="45">
      <c r="B9" s="26" t="s">
        <v>217</v>
      </c>
      <c r="C9" s="23" t="str" cm="1">
        <f t="array" ref="C9">_xlfn.XLOOKUP($H$9,Tabla1[[Nombre Unidad de Estudios]:[Nombre Unidad de Estudios]],Tabla1[Nivel],"",0)</f>
        <v>Doctorado</v>
      </c>
      <c r="D9" s="25" t="s">
        <v>218</v>
      </c>
      <c r="E9" s="78" t="str" cm="1">
        <f t="array" ref="E9">_xlfn.XLOOKUP($H$9,Tabla1[[Nombre Unidad de Estudios]:[Nombre Unidad de Estudios]],Tabla1[Programa],"",0)</f>
        <v>Doctorado En Gestión</v>
      </c>
      <c r="F9" s="78"/>
      <c r="G9" s="24" t="s">
        <v>219</v>
      </c>
      <c r="H9" s="78" t="s">
        <v>8</v>
      </c>
      <c r="I9" s="79"/>
    </row>
    <row r="10" spans="2:11" ht="30.75" thickBot="1">
      <c r="B10" s="27" t="s">
        <v>37</v>
      </c>
      <c r="C10" s="28" cm="1">
        <f t="array" ref="C10">_xlfn.XLOOKUP($H$9,Tabla1[[Nombre Unidad de Estudios]:[Nombre Unidad de Estudios]],Tabla1[Créditos Académicos],"",0)</f>
        <v>3</v>
      </c>
      <c r="D10" s="29" t="s">
        <v>220</v>
      </c>
      <c r="E10" s="28" cm="1">
        <f t="array" ref="E10">_xlfn.XLOOKUP($H$9,Tabla1[[Nombre Unidad de Estudios]:[Nombre Unidad de Estudios]],Tabla1[Horas de Acompañamiento Directo '[HAD']],"",0)</f>
        <v>36</v>
      </c>
      <c r="F10" s="29" t="s">
        <v>221</v>
      </c>
      <c r="G10" s="28" cm="1">
        <f t="array" ref="G10">_xlfn.XLOOKUP($H$9,Tabla1[[Nombre Unidad de Estudios]:[Nombre Unidad de Estudios]],Tabla1[Horas de Trabajo Autónomo '[HTA']],"",0)</f>
        <v>108</v>
      </c>
      <c r="H10" s="29" t="s">
        <v>222</v>
      </c>
      <c r="I10" s="30">
        <f>E10+G10</f>
        <v>144</v>
      </c>
    </row>
    <row r="11" spans="2:11">
      <c r="B11" s="80" t="s">
        <v>223</v>
      </c>
      <c r="C11" s="81"/>
      <c r="D11" s="81"/>
      <c r="E11" s="81"/>
      <c r="F11" s="81"/>
      <c r="G11" s="81"/>
      <c r="H11" s="81"/>
      <c r="I11" s="82"/>
    </row>
    <row r="12" spans="2:11" ht="76.5" customHeight="1">
      <c r="B12" s="83" t="s">
        <v>224</v>
      </c>
      <c r="C12" s="84"/>
      <c r="D12" s="85" t="str" cm="1">
        <f t="array" ref="D12">_xlfn.XLOOKUP($H$9,Tabla1[[Nombre Unidad de Estudios]:[Nombre Unidad de Estudios]],Tabla1[Descripción de la Unidad de Estudios],"",0)</f>
        <v>Las tendencias del entorno y los cambios sociales han afectado de manera rotunda las ciencias de la administración y la economía. La sociedad actual tiene nuevas necesidades que requieren propuestas estratégicas y prospectivas para la toma de decisiones organizacionales.</v>
      </c>
      <c r="E12" s="86"/>
      <c r="F12" s="86"/>
      <c r="G12" s="86"/>
      <c r="H12" s="86"/>
      <c r="I12" s="87"/>
    </row>
    <row r="13" spans="2:11" ht="66" customHeight="1" thickBot="1">
      <c r="B13" s="88" t="s">
        <v>225</v>
      </c>
      <c r="C13" s="89"/>
      <c r="D13" s="90" t="str" cm="1">
        <f t="array" ref="D13">_xlfn.XLOOKUP($H$9,Tabla1[[Nombre Unidad de Estudios]:[Nombre Unidad de Estudios]],Tabla1[Resultado de Aprendizaje de la Unidad de Estudios],"",0)</f>
        <v>Propone planes y estrategias con visión prospectiva para la mejor toma de decisiones que permitan alcanzar resultados efectivos en las organizaciones.</v>
      </c>
      <c r="E13" s="91"/>
      <c r="F13" s="91"/>
      <c r="G13" s="91"/>
      <c r="H13" s="91"/>
      <c r="I13" s="92"/>
    </row>
    <row r="14" spans="2:11">
      <c r="B14" s="80" t="s">
        <v>226</v>
      </c>
      <c r="C14" s="81"/>
      <c r="D14" s="81"/>
      <c r="E14" s="81"/>
      <c r="F14" s="81"/>
      <c r="G14" s="81"/>
      <c r="H14" s="81"/>
      <c r="I14" s="82"/>
    </row>
    <row r="15" spans="2:11">
      <c r="B15" s="93" t="s">
        <v>227</v>
      </c>
      <c r="C15" s="78"/>
      <c r="D15" s="78"/>
      <c r="E15" s="78"/>
      <c r="F15" s="78"/>
      <c r="G15" s="78"/>
      <c r="H15" s="78"/>
      <c r="I15" s="79"/>
    </row>
    <row r="16" spans="2:11">
      <c r="B16" s="93"/>
      <c r="C16" s="78"/>
      <c r="D16" s="78"/>
      <c r="E16" s="78"/>
      <c r="F16" s="78"/>
      <c r="G16" s="78"/>
      <c r="H16" s="78"/>
      <c r="I16" s="79"/>
    </row>
    <row r="17" spans="2:9" ht="15.75" thickBot="1">
      <c r="B17" s="94"/>
      <c r="C17" s="95"/>
      <c r="D17" s="95"/>
      <c r="E17" s="95"/>
      <c r="F17" s="95"/>
      <c r="G17" s="95"/>
      <c r="H17" s="95"/>
      <c r="I17" s="96"/>
    </row>
    <row r="18" spans="2:9" ht="15.75" thickBot="1">
      <c r="B18" s="97" t="s">
        <v>228</v>
      </c>
      <c r="C18" s="98"/>
      <c r="D18" s="98"/>
      <c r="E18" s="98"/>
      <c r="F18" s="98"/>
      <c r="G18" s="98"/>
      <c r="H18" s="98"/>
      <c r="I18" s="99"/>
    </row>
    <row r="19" spans="2:9">
      <c r="B19" s="21" t="s">
        <v>44</v>
      </c>
      <c r="C19" s="43" t="str" cm="1">
        <f t="array" ref="C19">_xlfn.XLOOKUP($H$9,Tabla1[[Nombre Unidad de Estudios]:[Nombre Unidad de Estudios]],Tabla1[Módulo],"",0)</f>
        <v>6 semanas</v>
      </c>
      <c r="D19" s="21" t="s">
        <v>229</v>
      </c>
      <c r="E19" s="143" t="s">
        <v>230</v>
      </c>
      <c r="F19" s="144"/>
      <c r="G19" s="31" t="s">
        <v>231</v>
      </c>
      <c r="H19" s="145" t="s">
        <v>232</v>
      </c>
      <c r="I19" s="146"/>
    </row>
    <row r="20" spans="2:9">
      <c r="B20" s="13" t="s">
        <v>124</v>
      </c>
      <c r="C20" s="55"/>
      <c r="D20" s="60"/>
      <c r="E20" s="61"/>
      <c r="F20" s="62"/>
      <c r="G20" s="69"/>
      <c r="H20" s="70"/>
      <c r="I20" s="71"/>
    </row>
    <row r="21" spans="2:9">
      <c r="B21" s="56"/>
      <c r="C21" s="57"/>
      <c r="D21" s="63"/>
      <c r="E21" s="64"/>
      <c r="F21" s="65"/>
      <c r="G21" s="72"/>
      <c r="H21" s="73"/>
      <c r="I21" s="74"/>
    </row>
    <row r="22" spans="2:9">
      <c r="B22" s="56"/>
      <c r="C22" s="57"/>
      <c r="D22" s="63"/>
      <c r="E22" s="64"/>
      <c r="F22" s="65"/>
      <c r="G22" s="72"/>
      <c r="H22" s="73"/>
      <c r="I22" s="74"/>
    </row>
    <row r="23" spans="2:9">
      <c r="B23" s="56"/>
      <c r="C23" s="57"/>
      <c r="D23" s="63"/>
      <c r="E23" s="64"/>
      <c r="F23" s="65"/>
      <c r="G23" s="72"/>
      <c r="H23" s="73"/>
      <c r="I23" s="74"/>
    </row>
    <row r="24" spans="2:9">
      <c r="B24" s="56"/>
      <c r="C24" s="57"/>
      <c r="D24" s="63"/>
      <c r="E24" s="64"/>
      <c r="F24" s="65"/>
      <c r="G24" s="72"/>
      <c r="H24" s="73"/>
      <c r="I24" s="74"/>
    </row>
    <row r="25" spans="2:9">
      <c r="B25" s="56"/>
      <c r="C25" s="57"/>
      <c r="D25" s="63"/>
      <c r="E25" s="64"/>
      <c r="F25" s="65"/>
      <c r="G25" s="72"/>
      <c r="H25" s="73"/>
      <c r="I25" s="74"/>
    </row>
    <row r="26" spans="2:9">
      <c r="B26" s="56"/>
      <c r="C26" s="57"/>
      <c r="D26" s="63"/>
      <c r="E26" s="64"/>
      <c r="F26" s="65"/>
      <c r="G26" s="72"/>
      <c r="H26" s="73"/>
      <c r="I26" s="74"/>
    </row>
    <row r="27" spans="2:9">
      <c r="B27" s="56"/>
      <c r="C27" s="57"/>
      <c r="D27" s="63"/>
      <c r="E27" s="64"/>
      <c r="F27" s="65"/>
      <c r="G27" s="72"/>
      <c r="H27" s="73"/>
      <c r="I27" s="74"/>
    </row>
    <row r="28" spans="2:9">
      <c r="B28" s="56"/>
      <c r="C28" s="57"/>
      <c r="D28" s="63"/>
      <c r="E28" s="64"/>
      <c r="F28" s="65"/>
      <c r="G28" s="72"/>
      <c r="H28" s="73"/>
      <c r="I28" s="74"/>
    </row>
    <row r="29" spans="2:9">
      <c r="B29" s="56"/>
      <c r="C29" s="57"/>
      <c r="D29" s="63"/>
      <c r="E29" s="64"/>
      <c r="F29" s="65"/>
      <c r="G29" s="72"/>
      <c r="H29" s="73"/>
      <c r="I29" s="74"/>
    </row>
    <row r="30" spans="2:9">
      <c r="B30" s="56"/>
      <c r="C30" s="57"/>
      <c r="D30" s="63"/>
      <c r="E30" s="64"/>
      <c r="F30" s="65"/>
      <c r="G30" s="72"/>
      <c r="H30" s="73"/>
      <c r="I30" s="74"/>
    </row>
    <row r="31" spans="2:9">
      <c r="B31" s="56"/>
      <c r="C31" s="57"/>
      <c r="D31" s="63"/>
      <c r="E31" s="64"/>
      <c r="F31" s="65"/>
      <c r="G31" s="72"/>
      <c r="H31" s="73"/>
      <c r="I31" s="74"/>
    </row>
    <row r="32" spans="2:9">
      <c r="B32" s="56"/>
      <c r="C32" s="57"/>
      <c r="D32" s="63"/>
      <c r="E32" s="64"/>
      <c r="F32" s="65"/>
      <c r="G32" s="72"/>
      <c r="H32" s="73"/>
      <c r="I32" s="74"/>
    </row>
    <row r="33" spans="2:9" ht="15.75" thickBot="1">
      <c r="B33" s="58"/>
      <c r="C33" s="59"/>
      <c r="D33" s="66"/>
      <c r="E33" s="67"/>
      <c r="F33" s="68"/>
      <c r="G33" s="75"/>
      <c r="H33" s="76"/>
      <c r="I33" s="77"/>
    </row>
    <row r="34" spans="2:9" ht="15.75" thickBot="1">
      <c r="B34" s="114" t="s">
        <v>233</v>
      </c>
      <c r="C34" s="115"/>
      <c r="D34" s="115"/>
      <c r="E34" s="115"/>
      <c r="F34" s="115"/>
      <c r="G34" s="115"/>
      <c r="H34" s="115"/>
      <c r="I34" s="116"/>
    </row>
    <row r="35" spans="2:9" ht="14.45" customHeight="1">
      <c r="B35" s="126" t="s">
        <v>234</v>
      </c>
      <c r="C35" s="127"/>
      <c r="D35" s="127"/>
      <c r="E35" s="127"/>
      <c r="F35" s="127"/>
      <c r="G35" s="127"/>
      <c r="H35" s="127"/>
      <c r="I35" s="128"/>
    </row>
    <row r="36" spans="2:9">
      <c r="B36" s="129"/>
      <c r="C36" s="130"/>
      <c r="D36" s="130"/>
      <c r="E36" s="130"/>
      <c r="F36" s="130"/>
      <c r="G36" s="130"/>
      <c r="H36" s="130"/>
      <c r="I36" s="131"/>
    </row>
    <row r="37" spans="2:9">
      <c r="B37" s="132" t="str" cm="1">
        <f t="array" ref="B37">_xlfn.XLOOKUP($H$9,Tabla1[[Nombre Unidad de Estudios]:[Nombre Unidad de Estudios]],Tabla1[Esquema de Calificación],"",0)</f>
        <v>10% Primer ensayo.
10% Conversatorio sobre la evolución del concepto de estrategia.
10% Desarrollo, presentación y debate sobre caso.
20% Análisis y discusión de análisis estratégicos.
20% Presentación de tipos de Estrategias.</v>
      </c>
      <c r="C37" s="133"/>
      <c r="D37" s="133"/>
      <c r="E37" s="133"/>
      <c r="F37" s="133"/>
      <c r="G37" s="133"/>
      <c r="H37" s="133"/>
      <c r="I37" s="134"/>
    </row>
    <row r="38" spans="2:9">
      <c r="B38" s="132"/>
      <c r="C38" s="133"/>
      <c r="D38" s="133"/>
      <c r="E38" s="133"/>
      <c r="F38" s="133"/>
      <c r="G38" s="133"/>
      <c r="H38" s="133"/>
      <c r="I38" s="134"/>
    </row>
    <row r="39" spans="2:9" ht="15.75" thickBot="1">
      <c r="B39" s="135"/>
      <c r="C39" s="136"/>
      <c r="D39" s="136"/>
      <c r="E39" s="136"/>
      <c r="F39" s="136"/>
      <c r="G39" s="136"/>
      <c r="H39" s="136"/>
      <c r="I39" s="137"/>
    </row>
    <row r="40" spans="2:9" ht="34.5" customHeight="1" thickBot="1">
      <c r="B40" s="117" t="s">
        <v>235</v>
      </c>
      <c r="C40" s="118"/>
      <c r="D40" s="118"/>
      <c r="E40" s="119"/>
      <c r="F40" s="120" t="str" cm="1">
        <f t="array" ref="F40">_xlfn.XLOOKUP($H$9,Tabla1[[Nombre Unidad de Estudios]:[Nombre Unidad de Estudios]],Tabla1[Recursos Tecnológicos],"",0)</f>
        <v>Base de datos; Material bibliográfico; Plataforma virtual</v>
      </c>
      <c r="G40" s="121"/>
      <c r="H40" s="121"/>
      <c r="I40" s="122"/>
    </row>
    <row r="41" spans="2:9" ht="15.75" thickBot="1">
      <c r="B41" s="123" t="s">
        <v>236</v>
      </c>
      <c r="C41" s="124"/>
      <c r="D41" s="124"/>
      <c r="E41" s="124"/>
      <c r="F41" s="125" t="str" cm="1">
        <f t="array" ref="F41">_xlfn.XLOOKUP($H$9,Tabla1[[Nombre Unidad de Estudios]:[Nombre Unidad de Estudios]],Tabla1[Componente de Lengua Extranjera '[Idioma']],"",0)</f>
        <v>Inglés</v>
      </c>
      <c r="G41" s="125"/>
      <c r="H41" s="32" t="s">
        <v>237</v>
      </c>
      <c r="I41" s="36" cm="1">
        <f t="array" ref="I41">_xlfn.XLOOKUP($H$9,Tabla1[[Nombre Unidad de Estudios]:[Nombre Unidad de Estudios]],Tabla1[Componente de Lengua Extranjera '[%']],"",0)</f>
        <v>0.3</v>
      </c>
    </row>
    <row r="42" spans="2:9">
      <c r="B42" s="80" t="s">
        <v>238</v>
      </c>
      <c r="C42" s="81"/>
      <c r="D42" s="81"/>
      <c r="E42" s="81"/>
      <c r="F42" s="81"/>
      <c r="G42" s="81"/>
      <c r="H42" s="81"/>
      <c r="I42" s="82"/>
    </row>
    <row r="43" spans="2:9" ht="14.45" customHeight="1">
      <c r="B43" s="138" t="s">
        <v>49</v>
      </c>
      <c r="C43" s="139"/>
      <c r="D43" s="139"/>
      <c r="E43" s="140"/>
      <c r="F43" s="138" t="s">
        <v>239</v>
      </c>
      <c r="G43" s="139"/>
      <c r="H43" s="139"/>
      <c r="I43" s="140"/>
    </row>
    <row r="44" spans="2:9">
      <c r="B44" s="108" t="str" cm="1">
        <f t="array" ref="B44">_xlfn.XLOOKUP($H$9,Tabla1[[Nombre Unidad de Estudios]:[Nombre Unidad de Estudios]],Tabla1[Bibliografía Obligatoria],"",0)</f>
        <v>Amaya P., P. J. (S/A). Colombia un país por construir. Universidad Nacional de Colombia. Documento Destino Colombia. http://www.scribd.com/doc/6288666/Destino-Colombia-Spanish
Bryant, B. P. y Lempert, R. J. (2010). Thinking inside the box: a participatory, computer-assisted approach to scenario discovery. Technological Forecasting and Social Change, 77(1), 34-49.</v>
      </c>
      <c r="C44" s="109"/>
      <c r="D44" s="109"/>
      <c r="E44" s="110"/>
      <c r="F44" s="108" t="str" cm="1">
        <f t="array" ref="F44">_xlfn.XLOOKUP($H$9,Tabla1[[Nombre Unidad de Estudios]:[Nombre Unidad de Estudios]],Tabla1[Bibliografia Complementaria],"",0)</f>
        <v>Prospectiva tecnológica: avances tecnológicos e innovación tecnológica. www.youtube.com/watch?v=A6lQQxVttz8
Resumen Destino Colombia. http://www.generonconsulting.com/publications/papers/pdfs/EscenariosDestinoColombia.pdf
Secretaría de Infraestructura, Gobernación de Antioquia. (2014). Plan Escenarios 2030.</v>
      </c>
      <c r="G44" s="109"/>
      <c r="H44" s="109"/>
      <c r="I44" s="110"/>
    </row>
    <row r="45" spans="2:9">
      <c r="B45" s="108"/>
      <c r="C45" s="109"/>
      <c r="D45" s="109"/>
      <c r="E45" s="110"/>
      <c r="F45" s="108"/>
      <c r="G45" s="109"/>
      <c r="H45" s="109"/>
      <c r="I45" s="110"/>
    </row>
    <row r="46" spans="2:9">
      <c r="B46" s="108"/>
      <c r="C46" s="109"/>
      <c r="D46" s="109"/>
      <c r="E46" s="110"/>
      <c r="F46" s="108"/>
      <c r="G46" s="109"/>
      <c r="H46" s="109"/>
      <c r="I46" s="110"/>
    </row>
    <row r="47" spans="2:9">
      <c r="B47" s="108"/>
      <c r="C47" s="109"/>
      <c r="D47" s="109"/>
      <c r="E47" s="110"/>
      <c r="F47" s="108"/>
      <c r="G47" s="109"/>
      <c r="H47" s="109"/>
      <c r="I47" s="110"/>
    </row>
    <row r="48" spans="2:9">
      <c r="B48" s="108"/>
      <c r="C48" s="109"/>
      <c r="D48" s="109"/>
      <c r="E48" s="110"/>
      <c r="F48" s="108"/>
      <c r="G48" s="109"/>
      <c r="H48" s="109"/>
      <c r="I48" s="110"/>
    </row>
    <row r="49" spans="2:9">
      <c r="B49" s="108"/>
      <c r="C49" s="109"/>
      <c r="D49" s="109"/>
      <c r="E49" s="110"/>
      <c r="F49" s="108"/>
      <c r="G49" s="109"/>
      <c r="H49" s="109"/>
      <c r="I49" s="110"/>
    </row>
    <row r="50" spans="2:9">
      <c r="B50" s="108"/>
      <c r="C50" s="109"/>
      <c r="D50" s="109"/>
      <c r="E50" s="110"/>
      <c r="F50" s="108"/>
      <c r="G50" s="109"/>
      <c r="H50" s="109"/>
      <c r="I50" s="110"/>
    </row>
    <row r="51" spans="2:9">
      <c r="B51" s="108"/>
      <c r="C51" s="109"/>
      <c r="D51" s="109"/>
      <c r="E51" s="110"/>
      <c r="F51" s="108"/>
      <c r="G51" s="109"/>
      <c r="H51" s="109"/>
      <c r="I51" s="110"/>
    </row>
    <row r="52" spans="2:9">
      <c r="B52" s="108"/>
      <c r="C52" s="109"/>
      <c r="D52" s="109"/>
      <c r="E52" s="110"/>
      <c r="F52" s="108"/>
      <c r="G52" s="109"/>
      <c r="H52" s="109"/>
      <c r="I52" s="110"/>
    </row>
    <row r="53" spans="2:9">
      <c r="B53" s="108"/>
      <c r="C53" s="109"/>
      <c r="D53" s="109"/>
      <c r="E53" s="110"/>
      <c r="F53" s="108"/>
      <c r="G53" s="109"/>
      <c r="H53" s="109"/>
      <c r="I53" s="110"/>
    </row>
    <row r="54" spans="2:9">
      <c r="B54" s="108"/>
      <c r="C54" s="109"/>
      <c r="D54" s="109"/>
      <c r="E54" s="110"/>
      <c r="F54" s="108"/>
      <c r="G54" s="109"/>
      <c r="H54" s="109"/>
      <c r="I54" s="110"/>
    </row>
    <row r="55" spans="2:9">
      <c r="B55" s="108"/>
      <c r="C55" s="109"/>
      <c r="D55" s="109"/>
      <c r="E55" s="110"/>
      <c r="F55" s="108"/>
      <c r="G55" s="109"/>
      <c r="H55" s="109"/>
      <c r="I55" s="110"/>
    </row>
    <row r="56" spans="2:9">
      <c r="B56" s="108"/>
      <c r="C56" s="109"/>
      <c r="D56" s="109"/>
      <c r="E56" s="110"/>
      <c r="F56" s="108"/>
      <c r="G56" s="109"/>
      <c r="H56" s="109"/>
      <c r="I56" s="110"/>
    </row>
    <row r="57" spans="2:9" ht="15.75" thickBot="1">
      <c r="B57" s="111"/>
      <c r="C57" s="112"/>
      <c r="D57" s="112"/>
      <c r="E57" s="113"/>
      <c r="F57" s="111"/>
      <c r="G57" s="112"/>
      <c r="H57" s="112"/>
      <c r="I57" s="113"/>
    </row>
    <row r="58" spans="2:9">
      <c r="B58" s="80" t="s">
        <v>240</v>
      </c>
      <c r="C58" s="81"/>
      <c r="D58" s="81"/>
      <c r="E58" s="81"/>
      <c r="F58" s="81"/>
      <c r="G58" s="81"/>
      <c r="H58" s="81"/>
      <c r="I58" s="82"/>
    </row>
    <row r="59" spans="2:9">
      <c r="B59" s="33" t="s">
        <v>51</v>
      </c>
      <c r="C59" s="34" t="s">
        <v>52</v>
      </c>
      <c r="D59" s="34" t="s">
        <v>53</v>
      </c>
      <c r="E59" s="34" t="s">
        <v>54</v>
      </c>
      <c r="F59" s="34" t="s">
        <v>55</v>
      </c>
      <c r="G59" s="104" t="s">
        <v>56</v>
      </c>
      <c r="H59" s="104"/>
      <c r="I59" s="105"/>
    </row>
    <row r="60" spans="2:9" ht="30">
      <c r="B60" s="38" cm="1">
        <f t="array" ref="B60">_xlfn.XLOOKUP($H$9,Tabla1[[Nombre Unidad de Estudios]:[Nombre Unidad de Estudios]],Tabla1['# versión],"",0)</f>
        <v>1</v>
      </c>
      <c r="C60" s="41" cm="1">
        <f t="array" ref="C60">_xlfn.XLOOKUP($H$9,Tabla1[[Nombre Unidad de Estudios]:[Nombre Unidad de Estudios]],Tabla1[Fecha],"",0)</f>
        <v>46083</v>
      </c>
      <c r="D60" s="35" t="str" cm="1">
        <f t="array" ref="D60">_xlfn.XLOOKUP($H$9,Tabla1[[Nombre Unidad de Estudios]:[Nombre Unidad de Estudios]],Tabla1[Elaboró],"",0)</f>
        <v>Omar Patiño</v>
      </c>
      <c r="E60" s="35" t="str" cm="1">
        <f t="array" ref="E60">_xlfn.XLOOKUP($H$9,Tabla1[[Nombre Unidad de Estudios]:[Nombre Unidad de Estudios]],Tabla1[Revisó],"",0)</f>
        <v>Juan Carlos Rentería</v>
      </c>
      <c r="F60" s="35" t="str" cm="1">
        <f t="array" ref="F60">_xlfn.XLOOKUP($H$9,Tabla1[[Nombre Unidad de Estudios]:[Nombre Unidad de Estudios]],Tabla1[Aprobó],"",0)</f>
        <v>Comité Curricular</v>
      </c>
      <c r="G60" s="106" t="str" cm="1">
        <f t="array" ref="G60">_xlfn.XLOOKUP($H$9,Tabla1[[Nombre Unidad de Estudios]:[Nombre Unidad de Estudios]],Tabla1[Descripción del cambio],"",0)</f>
        <v>Creación syllabus en nuevo formato</v>
      </c>
      <c r="H60" s="106"/>
      <c r="I60" s="107"/>
    </row>
    <row r="61" spans="2:9">
      <c r="B61" s="38"/>
      <c r="C61" s="35"/>
      <c r="D61" s="35"/>
      <c r="E61" s="35"/>
      <c r="F61" s="35"/>
      <c r="G61" s="106"/>
      <c r="H61" s="106"/>
      <c r="I61" s="107"/>
    </row>
    <row r="62" spans="2:9">
      <c r="B62" s="38"/>
      <c r="C62" s="35"/>
      <c r="D62" s="35"/>
      <c r="E62" s="35"/>
      <c r="F62" s="35"/>
      <c r="G62" s="106"/>
      <c r="H62" s="106"/>
      <c r="I62" s="107"/>
    </row>
    <row r="63" spans="2:9">
      <c r="B63" s="38"/>
      <c r="C63" s="35"/>
      <c r="D63" s="35"/>
      <c r="E63" s="35"/>
      <c r="F63" s="35"/>
      <c r="G63" s="106"/>
      <c r="H63" s="106"/>
      <c r="I63" s="107"/>
    </row>
    <row r="64" spans="2:9">
      <c r="B64" s="38"/>
      <c r="C64" s="35"/>
      <c r="D64" s="35"/>
      <c r="E64" s="35"/>
      <c r="F64" s="35"/>
      <c r="G64" s="106"/>
      <c r="H64" s="106"/>
      <c r="I64" s="107"/>
    </row>
    <row r="65" spans="2:9" ht="15.75" thickBot="1">
      <c r="B65" s="39"/>
      <c r="C65" s="40"/>
      <c r="D65" s="40"/>
      <c r="E65" s="40"/>
      <c r="F65" s="40"/>
      <c r="G65" s="141"/>
      <c r="H65" s="141"/>
      <c r="I65" s="142"/>
    </row>
  </sheetData>
  <mergeCells count="41">
    <mergeCell ref="G65:I65"/>
    <mergeCell ref="G59:I59"/>
    <mergeCell ref="G60:I60"/>
    <mergeCell ref="G61:I61"/>
    <mergeCell ref="G62:I62"/>
    <mergeCell ref="G63:I63"/>
    <mergeCell ref="G64:I64"/>
    <mergeCell ref="B58:I58"/>
    <mergeCell ref="B34:I34"/>
    <mergeCell ref="B35:I36"/>
    <mergeCell ref="B37:I39"/>
    <mergeCell ref="B40:E40"/>
    <mergeCell ref="F40:I40"/>
    <mergeCell ref="B41:E41"/>
    <mergeCell ref="F41:G41"/>
    <mergeCell ref="B42:I42"/>
    <mergeCell ref="B43:E43"/>
    <mergeCell ref="F43:I43"/>
    <mergeCell ref="B44:E57"/>
    <mergeCell ref="F44:I57"/>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K2" display="Menu principal" xr:uid="{00000000-0004-0000-0A00-000000000000}"/>
  </hyperlinks>
  <pageMargins left="0.25" right="0.25" top="0.75" bottom="0.75" header="0.3" footer="0.3"/>
  <pageSetup paperSize="9" scale="72"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Tabla!$H$2:$H$22</xm:f>
          </x14:formula1>
          <xm:sqref>H9:I9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F6A71-9CAC-48A0-BB89-D0F03898C7DA}">
  <sheetPr>
    <pageSetUpPr fitToPage="1"/>
  </sheetPr>
  <dimension ref="B1:K65"/>
  <sheetViews>
    <sheetView workbookViewId="0">
      <selection activeCell="F44" sqref="F44:I57"/>
    </sheetView>
  </sheetViews>
  <sheetFormatPr defaultColWidth="10.85546875" defaultRowHeight="15"/>
  <cols>
    <col min="1" max="1" width="3.140625" style="16" customWidth="1"/>
    <col min="2" max="2" width="14.28515625" style="16" customWidth="1"/>
    <col min="3" max="3" width="11.28515625" style="16" bestFit="1" customWidth="1"/>
    <col min="4" max="4" width="12.28515625" style="16" customWidth="1"/>
    <col min="5" max="5" width="16.28515625" style="16" customWidth="1"/>
    <col min="6" max="6" width="18.42578125" style="16" customWidth="1"/>
    <col min="7" max="7" width="10.85546875" style="16" customWidth="1"/>
    <col min="8" max="8" width="9.85546875" style="16" customWidth="1"/>
    <col min="9" max="9" width="16.7109375" style="16" customWidth="1"/>
    <col min="10" max="10" width="10.85546875" style="16"/>
    <col min="11" max="11" width="16.42578125" style="16" customWidth="1"/>
    <col min="12" max="16384" width="10.85546875" style="16"/>
  </cols>
  <sheetData>
    <row r="1" spans="2:11" ht="15.75" thickBot="1">
      <c r="C1" s="17"/>
      <c r="D1" s="17"/>
      <c r="E1" s="17"/>
      <c r="F1" s="17"/>
      <c r="G1" s="17"/>
      <c r="H1" s="17"/>
    </row>
    <row r="2" spans="2:11" ht="22.5" customHeight="1" thickTop="1">
      <c r="B2" s="10"/>
      <c r="C2" s="8" t="s">
        <v>204</v>
      </c>
      <c r="D2" s="8"/>
      <c r="E2" s="8"/>
      <c r="F2" s="8"/>
      <c r="G2" s="8"/>
      <c r="H2" s="8"/>
      <c r="I2" s="18" t="s">
        <v>205</v>
      </c>
      <c r="K2" s="46" t="s">
        <v>206</v>
      </c>
    </row>
    <row r="3" spans="2:11" ht="20.25" customHeight="1">
      <c r="B3" s="9"/>
      <c r="C3" s="7"/>
      <c r="D3" s="7"/>
      <c r="E3" s="7"/>
      <c r="F3" s="7"/>
      <c r="G3" s="7"/>
      <c r="H3" s="7"/>
      <c r="I3" s="19" t="s">
        <v>207</v>
      </c>
    </row>
    <row r="4" spans="2:11" ht="21" customHeight="1" thickBot="1">
      <c r="B4" s="6" t="s">
        <v>208</v>
      </c>
      <c r="C4" s="5"/>
      <c r="D4" s="5"/>
      <c r="E4" s="5"/>
      <c r="F4" s="5"/>
      <c r="G4" s="5"/>
      <c r="H4" s="5"/>
      <c r="I4" s="20" t="s">
        <v>209</v>
      </c>
    </row>
    <row r="5" spans="2:11" ht="16.5" thickTop="1" thickBot="1">
      <c r="B5" s="4"/>
      <c r="C5" s="4"/>
      <c r="D5" s="4"/>
      <c r="E5" s="4"/>
      <c r="F5" s="4"/>
      <c r="G5" s="4"/>
      <c r="H5" s="4"/>
      <c r="I5" s="4"/>
    </row>
    <row r="6" spans="2:11">
      <c r="B6" s="3" t="s">
        <v>210</v>
      </c>
      <c r="C6" s="2"/>
      <c r="D6" s="2"/>
      <c r="E6" s="2"/>
      <c r="F6" s="2"/>
      <c r="G6" s="2"/>
      <c r="H6" s="2"/>
      <c r="I6" s="1"/>
    </row>
    <row r="7" spans="2:11" ht="60">
      <c r="B7" s="22" t="s">
        <v>29</v>
      </c>
      <c r="C7" s="23" cm="1">
        <f t="array" ref="C7">_xlfn.XLOOKUP($H$9,Tabla1[[Nombre Unidad de Estudios]:[Nombre Unidad de Estudios]],Tabla1[Año],"",0)</f>
        <v>2026</v>
      </c>
      <c r="D7" s="24" t="s">
        <v>211</v>
      </c>
      <c r="E7" s="23" t="str" cm="1">
        <f t="array" ref="E7">_xlfn.XLOOKUP($H$9,Tabla1[[Nombre Unidad de Estudios]:[Nombre Unidad de Estudios]],Tabla1[Código Plan de Estudios],"",0)</f>
        <v>DTPGESBOG002</v>
      </c>
      <c r="F7" s="24" t="s">
        <v>212</v>
      </c>
      <c r="G7" s="23" t="str" cm="1">
        <f t="array" ref="G7">_xlfn.XLOOKUP($H$9,Tabla1[[Nombre Unidad de Estudios]:[Nombre Unidad de Estudios]],Tabla1[Código Unidad de Estudios],"",0)</f>
        <v>ADA01422</v>
      </c>
      <c r="H7" s="24" t="s">
        <v>213</v>
      </c>
      <c r="I7" s="23" t="str" cm="1">
        <f t="array" ref="I7">_xlfn.XLOOKUP($H$9,Tabla1[[Nombre Unidad de Estudios]:[Nombre Unidad de Estudios]],Tabla1[Tipo Unidad de Estudios],"",0)</f>
        <v>Nuclear</v>
      </c>
    </row>
    <row r="8" spans="2:11" ht="30">
      <c r="B8" s="22" t="s">
        <v>33</v>
      </c>
      <c r="C8" s="25" t="s">
        <v>60</v>
      </c>
      <c r="D8" s="35" t="s">
        <v>214</v>
      </c>
      <c r="E8" s="25" t="s">
        <v>215</v>
      </c>
      <c r="F8" s="24"/>
      <c r="G8" s="24" t="s">
        <v>216</v>
      </c>
      <c r="H8" s="12"/>
      <c r="I8" s="11"/>
    </row>
    <row r="9" spans="2:11" ht="45">
      <c r="B9" s="26" t="s">
        <v>217</v>
      </c>
      <c r="C9" s="23" t="str" cm="1">
        <f t="array" ref="C9">_xlfn.XLOOKUP($H$9,Tabla1[[Nombre Unidad de Estudios]:[Nombre Unidad de Estudios]],Tabla1[Nivel],"",0)</f>
        <v>Doctorado</v>
      </c>
      <c r="D9" s="25" t="s">
        <v>218</v>
      </c>
      <c r="E9" s="78" t="str" cm="1">
        <f t="array" ref="E9">_xlfn.XLOOKUP($H$9,Tabla1[[Nombre Unidad de Estudios]:[Nombre Unidad de Estudios]],Tabla1[Programa],"",0)</f>
        <v>Doctorado En Gestión</v>
      </c>
      <c r="F9" s="78"/>
      <c r="G9" s="24" t="s">
        <v>219</v>
      </c>
      <c r="H9" s="78" t="s">
        <v>9</v>
      </c>
      <c r="I9" s="79"/>
    </row>
    <row r="10" spans="2:11" ht="30.75" thickBot="1">
      <c r="B10" s="27" t="s">
        <v>37</v>
      </c>
      <c r="C10" s="28" cm="1">
        <f t="array" ref="C10">_xlfn.XLOOKUP($H$9,Tabla1[[Nombre Unidad de Estudios]:[Nombre Unidad de Estudios]],Tabla1[Créditos Académicos],"",0)</f>
        <v>2</v>
      </c>
      <c r="D10" s="29" t="s">
        <v>220</v>
      </c>
      <c r="E10" s="28" cm="1">
        <f t="array" ref="E10">_xlfn.XLOOKUP($H$9,Tabla1[[Nombre Unidad de Estudios]:[Nombre Unidad de Estudios]],Tabla1[Horas de Acompañamiento Directo '[HAD']],"",0)</f>
        <v>24</v>
      </c>
      <c r="F10" s="29" t="s">
        <v>221</v>
      </c>
      <c r="G10" s="28" cm="1">
        <f t="array" ref="G10">_xlfn.XLOOKUP($H$9,Tabla1[[Nombre Unidad de Estudios]:[Nombre Unidad de Estudios]],Tabla1[Horas de Trabajo Autónomo '[HTA']],"",0)</f>
        <v>72</v>
      </c>
      <c r="H10" s="29" t="s">
        <v>222</v>
      </c>
      <c r="I10" s="30">
        <f>E10+G10</f>
        <v>96</v>
      </c>
    </row>
    <row r="11" spans="2:11">
      <c r="B11" s="80" t="s">
        <v>223</v>
      </c>
      <c r="C11" s="81"/>
      <c r="D11" s="81"/>
      <c r="E11" s="81"/>
      <c r="F11" s="81"/>
      <c r="G11" s="81"/>
      <c r="H11" s="81"/>
      <c r="I11" s="82"/>
    </row>
    <row r="12" spans="2:11" ht="76.5" customHeight="1">
      <c r="B12" s="83" t="s">
        <v>224</v>
      </c>
      <c r="C12" s="84"/>
      <c r="D12" s="85" t="str" cm="1">
        <f t="array" ref="D12">_xlfn.XLOOKUP($H$9,Tabla1[[Nombre Unidad de Estudios]:[Nombre Unidad de Estudios]],Tabla1[Descripción de la Unidad de Estudios],"",0)</f>
        <v>Entender los retos fundamentales de los negocios requiere de una visión práctica de la gestión financiera eficaz, que logre desarrollar capacidades y habilidades para analizar las finanzas corporativas como insumo para las líneas de investigación aplicada.</v>
      </c>
      <c r="E12" s="86"/>
      <c r="F12" s="86"/>
      <c r="G12" s="86"/>
      <c r="H12" s="86"/>
      <c r="I12" s="87"/>
    </row>
    <row r="13" spans="2:11" ht="66" customHeight="1" thickBot="1">
      <c r="B13" s="88" t="s">
        <v>225</v>
      </c>
      <c r="C13" s="89"/>
      <c r="D13" s="90" t="str" cm="1">
        <f t="array" ref="D13">_xlfn.XLOOKUP($H$9,Tabla1[[Nombre Unidad de Estudios]:[Nombre Unidad de Estudios]],Tabla1[Resultado de Aprendizaje de la Unidad de Estudios],"",0)</f>
        <v>Analiza el estado de las finanzas corporativas como insumo para las distintas líneas de investigación aplicada, lo cual le permitirá comprender el impacto de la gestión directiva de las organizaciones en estudio.</v>
      </c>
      <c r="E13" s="91"/>
      <c r="F13" s="91"/>
      <c r="G13" s="91"/>
      <c r="H13" s="91"/>
      <c r="I13" s="92"/>
    </row>
    <row r="14" spans="2:11">
      <c r="B14" s="80" t="s">
        <v>226</v>
      </c>
      <c r="C14" s="81"/>
      <c r="D14" s="81"/>
      <c r="E14" s="81"/>
      <c r="F14" s="81"/>
      <c r="G14" s="81"/>
      <c r="H14" s="81"/>
      <c r="I14" s="82"/>
    </row>
    <row r="15" spans="2:11">
      <c r="B15" s="93" t="s">
        <v>227</v>
      </c>
      <c r="C15" s="78"/>
      <c r="D15" s="78"/>
      <c r="E15" s="78"/>
      <c r="F15" s="78"/>
      <c r="G15" s="78"/>
      <c r="H15" s="78"/>
      <c r="I15" s="79"/>
    </row>
    <row r="16" spans="2:11">
      <c r="B16" s="93"/>
      <c r="C16" s="78"/>
      <c r="D16" s="78"/>
      <c r="E16" s="78"/>
      <c r="F16" s="78"/>
      <c r="G16" s="78"/>
      <c r="H16" s="78"/>
      <c r="I16" s="79"/>
    </row>
    <row r="17" spans="2:9" ht="15.75" thickBot="1">
      <c r="B17" s="94"/>
      <c r="C17" s="95"/>
      <c r="D17" s="95"/>
      <c r="E17" s="95"/>
      <c r="F17" s="95"/>
      <c r="G17" s="95"/>
      <c r="H17" s="95"/>
      <c r="I17" s="96"/>
    </row>
    <row r="18" spans="2:9" ht="15.75" thickBot="1">
      <c r="B18" s="97" t="s">
        <v>228</v>
      </c>
      <c r="C18" s="98"/>
      <c r="D18" s="98"/>
      <c r="E18" s="98"/>
      <c r="F18" s="98"/>
      <c r="G18" s="98"/>
      <c r="H18" s="98"/>
      <c r="I18" s="99"/>
    </row>
    <row r="19" spans="2:9">
      <c r="B19" s="21" t="s">
        <v>44</v>
      </c>
      <c r="C19" s="43" t="str" cm="1">
        <f t="array" ref="C19">_xlfn.XLOOKUP($H$9,Tabla1[[Nombre Unidad de Estudios]:[Nombre Unidad de Estudios]],Tabla1[Módulo],"",0)</f>
        <v>4 semanas</v>
      </c>
      <c r="D19" s="21" t="s">
        <v>229</v>
      </c>
      <c r="E19" s="143" t="s">
        <v>230</v>
      </c>
      <c r="F19" s="144"/>
      <c r="G19" s="31" t="s">
        <v>231</v>
      </c>
      <c r="H19" s="145" t="s">
        <v>232</v>
      </c>
      <c r="I19" s="146"/>
    </row>
    <row r="20" spans="2:9">
      <c r="B20" s="13" t="str" cm="1">
        <f t="array" ref="B20">_xlfn.XLOOKUP($H$9,Tabla1[[Nombre Unidad de Estudios]:[Nombre Unidad de Estudios]],Tabla1[Contenidos Unidad de Estudios],"",0)</f>
        <v>El valor del dinero en el tiempo.
Interpretación de los estados financieros.
Valoración de empresas.
Evaluación de proyectos, bonos y acciones.
Riesgo.
Costo del capital propio.
Estructura del capital.
Gobierno corporativo.</v>
      </c>
      <c r="C20" s="55"/>
      <c r="D20" s="60"/>
      <c r="E20" s="61"/>
      <c r="F20" s="62"/>
      <c r="G20" s="69"/>
      <c r="H20" s="70"/>
      <c r="I20" s="71"/>
    </row>
    <row r="21" spans="2:9">
      <c r="B21" s="56"/>
      <c r="C21" s="57"/>
      <c r="D21" s="63"/>
      <c r="E21" s="64"/>
      <c r="F21" s="65"/>
      <c r="G21" s="72"/>
      <c r="H21" s="73"/>
      <c r="I21" s="74"/>
    </row>
    <row r="22" spans="2:9">
      <c r="B22" s="56"/>
      <c r="C22" s="57"/>
      <c r="D22" s="63"/>
      <c r="E22" s="64"/>
      <c r="F22" s="65"/>
      <c r="G22" s="72"/>
      <c r="H22" s="73"/>
      <c r="I22" s="74"/>
    </row>
    <row r="23" spans="2:9">
      <c r="B23" s="56"/>
      <c r="C23" s="57"/>
      <c r="D23" s="63"/>
      <c r="E23" s="64"/>
      <c r="F23" s="65"/>
      <c r="G23" s="72"/>
      <c r="H23" s="73"/>
      <c r="I23" s="74"/>
    </row>
    <row r="24" spans="2:9">
      <c r="B24" s="56"/>
      <c r="C24" s="57"/>
      <c r="D24" s="63"/>
      <c r="E24" s="64"/>
      <c r="F24" s="65"/>
      <c r="G24" s="72"/>
      <c r="H24" s="73"/>
      <c r="I24" s="74"/>
    </row>
    <row r="25" spans="2:9">
      <c r="B25" s="56"/>
      <c r="C25" s="57"/>
      <c r="D25" s="63"/>
      <c r="E25" s="64"/>
      <c r="F25" s="65"/>
      <c r="G25" s="72"/>
      <c r="H25" s="73"/>
      <c r="I25" s="74"/>
    </row>
    <row r="26" spans="2:9">
      <c r="B26" s="56"/>
      <c r="C26" s="57"/>
      <c r="D26" s="63"/>
      <c r="E26" s="64"/>
      <c r="F26" s="65"/>
      <c r="G26" s="72"/>
      <c r="H26" s="73"/>
      <c r="I26" s="74"/>
    </row>
    <row r="27" spans="2:9">
      <c r="B27" s="56"/>
      <c r="C27" s="57"/>
      <c r="D27" s="63"/>
      <c r="E27" s="64"/>
      <c r="F27" s="65"/>
      <c r="G27" s="72"/>
      <c r="H27" s="73"/>
      <c r="I27" s="74"/>
    </row>
    <row r="28" spans="2:9">
      <c r="B28" s="56"/>
      <c r="C28" s="57"/>
      <c r="D28" s="63"/>
      <c r="E28" s="64"/>
      <c r="F28" s="65"/>
      <c r="G28" s="72"/>
      <c r="H28" s="73"/>
      <c r="I28" s="74"/>
    </row>
    <row r="29" spans="2:9">
      <c r="B29" s="56"/>
      <c r="C29" s="57"/>
      <c r="D29" s="63"/>
      <c r="E29" s="64"/>
      <c r="F29" s="65"/>
      <c r="G29" s="72"/>
      <c r="H29" s="73"/>
      <c r="I29" s="74"/>
    </row>
    <row r="30" spans="2:9">
      <c r="B30" s="56"/>
      <c r="C30" s="57"/>
      <c r="D30" s="63"/>
      <c r="E30" s="64"/>
      <c r="F30" s="65"/>
      <c r="G30" s="72"/>
      <c r="H30" s="73"/>
      <c r="I30" s="74"/>
    </row>
    <row r="31" spans="2:9">
      <c r="B31" s="56"/>
      <c r="C31" s="57"/>
      <c r="D31" s="63"/>
      <c r="E31" s="64"/>
      <c r="F31" s="65"/>
      <c r="G31" s="72"/>
      <c r="H31" s="73"/>
      <c r="I31" s="74"/>
    </row>
    <row r="32" spans="2:9">
      <c r="B32" s="56"/>
      <c r="C32" s="57"/>
      <c r="D32" s="63"/>
      <c r="E32" s="64"/>
      <c r="F32" s="65"/>
      <c r="G32" s="72"/>
      <c r="H32" s="73"/>
      <c r="I32" s="74"/>
    </row>
    <row r="33" spans="2:9" ht="15.75" thickBot="1">
      <c r="B33" s="58"/>
      <c r="C33" s="59"/>
      <c r="D33" s="66"/>
      <c r="E33" s="67"/>
      <c r="F33" s="68"/>
      <c r="G33" s="75"/>
      <c r="H33" s="76"/>
      <c r="I33" s="77"/>
    </row>
    <row r="34" spans="2:9" ht="15.75" thickBot="1">
      <c r="B34" s="114" t="s">
        <v>233</v>
      </c>
      <c r="C34" s="115"/>
      <c r="D34" s="115"/>
      <c r="E34" s="115"/>
      <c r="F34" s="115"/>
      <c r="G34" s="115"/>
      <c r="H34" s="115"/>
      <c r="I34" s="116"/>
    </row>
    <row r="35" spans="2:9" ht="14.45" customHeight="1">
      <c r="B35" s="126" t="s">
        <v>234</v>
      </c>
      <c r="C35" s="127"/>
      <c r="D35" s="127"/>
      <c r="E35" s="127"/>
      <c r="F35" s="127"/>
      <c r="G35" s="127"/>
      <c r="H35" s="127"/>
      <c r="I35" s="128"/>
    </row>
    <row r="36" spans="2:9">
      <c r="B36" s="129"/>
      <c r="C36" s="130"/>
      <c r="D36" s="130"/>
      <c r="E36" s="130"/>
      <c r="F36" s="130"/>
      <c r="G36" s="130"/>
      <c r="H36" s="130"/>
      <c r="I36" s="131"/>
    </row>
    <row r="37" spans="2:9">
      <c r="B37" s="132" t="str" cm="1">
        <f t="array" ref="B37">_xlfn.XLOOKUP($H$9,Tabla1[[Nombre Unidad de Estudios]:[Nombre Unidad de Estudios]],Tabla1[Esquema de Calificación],"",0)</f>
        <v>30% Participación en clase.
40% Presentación de artículos.
30% Ejercicios.</v>
      </c>
      <c r="C37" s="133"/>
      <c r="D37" s="133"/>
      <c r="E37" s="133"/>
      <c r="F37" s="133"/>
      <c r="G37" s="133"/>
      <c r="H37" s="133"/>
      <c r="I37" s="134"/>
    </row>
    <row r="38" spans="2:9">
      <c r="B38" s="132"/>
      <c r="C38" s="133"/>
      <c r="D38" s="133"/>
      <c r="E38" s="133"/>
      <c r="F38" s="133"/>
      <c r="G38" s="133"/>
      <c r="H38" s="133"/>
      <c r="I38" s="134"/>
    </row>
    <row r="39" spans="2:9" ht="15.75" thickBot="1">
      <c r="B39" s="135"/>
      <c r="C39" s="136"/>
      <c r="D39" s="136"/>
      <c r="E39" s="136"/>
      <c r="F39" s="136"/>
      <c r="G39" s="136"/>
      <c r="H39" s="136"/>
      <c r="I39" s="137"/>
    </row>
    <row r="40" spans="2:9" ht="34.5" customHeight="1" thickBot="1">
      <c r="B40" s="117" t="s">
        <v>235</v>
      </c>
      <c r="C40" s="118"/>
      <c r="D40" s="118"/>
      <c r="E40" s="119"/>
      <c r="F40" s="120" t="str" cm="1">
        <f t="array" ref="F40">_xlfn.XLOOKUP($H$9,Tabla1[[Nombre Unidad de Estudios]:[Nombre Unidad de Estudios]],Tabla1[Recursos Tecnológicos],"",0)</f>
        <v>Base de datos; Material bibliográfico; Plataforma virtual</v>
      </c>
      <c r="G40" s="121"/>
      <c r="H40" s="121"/>
      <c r="I40" s="122"/>
    </row>
    <row r="41" spans="2:9" ht="15.75" thickBot="1">
      <c r="B41" s="123" t="s">
        <v>236</v>
      </c>
      <c r="C41" s="124"/>
      <c r="D41" s="124"/>
      <c r="E41" s="124"/>
      <c r="F41" s="125" t="str" cm="1">
        <f t="array" ref="F41">_xlfn.XLOOKUP($H$9,Tabla1[[Nombre Unidad de Estudios]:[Nombre Unidad de Estudios]],Tabla1[Componente de Lengua Extranjera '[Idioma']],"",0)</f>
        <v>Inglés</v>
      </c>
      <c r="G41" s="125"/>
      <c r="H41" s="32" t="s">
        <v>237</v>
      </c>
      <c r="I41" s="36" cm="1">
        <f t="array" ref="I41">_xlfn.XLOOKUP($H$9,Tabla1[[Nombre Unidad de Estudios]:[Nombre Unidad de Estudios]],Tabla1[Componente de Lengua Extranjera '[%']],"",0)</f>
        <v>0.4</v>
      </c>
    </row>
    <row r="42" spans="2:9">
      <c r="B42" s="80" t="s">
        <v>238</v>
      </c>
      <c r="C42" s="81"/>
      <c r="D42" s="81"/>
      <c r="E42" s="81"/>
      <c r="F42" s="81"/>
      <c r="G42" s="81"/>
      <c r="H42" s="81"/>
      <c r="I42" s="82"/>
    </row>
    <row r="43" spans="2:9" ht="14.45" customHeight="1">
      <c r="B43" s="138" t="s">
        <v>49</v>
      </c>
      <c r="C43" s="139"/>
      <c r="D43" s="139"/>
      <c r="E43" s="140"/>
      <c r="F43" s="138" t="s">
        <v>239</v>
      </c>
      <c r="G43" s="139"/>
      <c r="H43" s="139"/>
      <c r="I43" s="140"/>
    </row>
    <row r="44" spans="2:9">
      <c r="B44" s="108" t="str" cm="1">
        <f t="array" ref="B44">_xlfn.XLOOKUP($H$9,Tabla1[[Nombre Unidad de Estudios]:[Nombre Unidad de Estudios]],Tabla1[Bibliografía Obligatoria],"",0)</f>
        <v>Berk, J. (2017). Corporate finance (4a. ed.). Pearson Educación. https://www-ebooks7-24-com.bdbiblioteca.universidadean.edu.co/?il=5388
Vera-Colina, M. A. (2012). Metodología para el análisis de la gestión financiera en Pymes. SSRN. https://ssrn.com/abstract=2591117
Bonet-Morón, J. y Pérez-Valbuena, G. J. [Estudio sobre finanzas regionales].</v>
      </c>
      <c r="C44" s="109"/>
      <c r="D44" s="109"/>
      <c r="E44" s="110"/>
      <c r="F44" s="108" t="str" cm="1">
        <f t="array" ref="F44">_xlfn.XLOOKUP($H$9,Tabla1[[Nombre Unidad de Estudios]:[Nombre Unidad de Estudios]],Tabla1[Bibliografia Complementaria],"",0)</f>
        <v>Mejia-Escobar, J. C., González-Ruiz, J. D. y Duque-Grisales, E. (2020). Sustainable financial products in the latin america banking industry. Sustainability, 12(14). https://doi.org/10.3390/su12145648
BVC (2014). Guía del Mercado de Valores. https://www.bvc.com.co
IIRC (2013). The International Integrated Reporting Framework. https://integratedreporting.org</v>
      </c>
      <c r="G44" s="109"/>
      <c r="H44" s="109"/>
      <c r="I44" s="110"/>
    </row>
    <row r="45" spans="2:9">
      <c r="B45" s="108"/>
      <c r="C45" s="109"/>
      <c r="D45" s="109"/>
      <c r="E45" s="110"/>
      <c r="F45" s="108"/>
      <c r="G45" s="109"/>
      <c r="H45" s="109"/>
      <c r="I45" s="110"/>
    </row>
    <row r="46" spans="2:9">
      <c r="B46" s="108"/>
      <c r="C46" s="109"/>
      <c r="D46" s="109"/>
      <c r="E46" s="110"/>
      <c r="F46" s="108"/>
      <c r="G46" s="109"/>
      <c r="H46" s="109"/>
      <c r="I46" s="110"/>
    </row>
    <row r="47" spans="2:9">
      <c r="B47" s="108"/>
      <c r="C47" s="109"/>
      <c r="D47" s="109"/>
      <c r="E47" s="110"/>
      <c r="F47" s="108"/>
      <c r="G47" s="109"/>
      <c r="H47" s="109"/>
      <c r="I47" s="110"/>
    </row>
    <row r="48" spans="2:9">
      <c r="B48" s="108"/>
      <c r="C48" s="109"/>
      <c r="D48" s="109"/>
      <c r="E48" s="110"/>
      <c r="F48" s="108"/>
      <c r="G48" s="109"/>
      <c r="H48" s="109"/>
      <c r="I48" s="110"/>
    </row>
    <row r="49" spans="2:9">
      <c r="B49" s="108"/>
      <c r="C49" s="109"/>
      <c r="D49" s="109"/>
      <c r="E49" s="110"/>
      <c r="F49" s="108"/>
      <c r="G49" s="109"/>
      <c r="H49" s="109"/>
      <c r="I49" s="110"/>
    </row>
    <row r="50" spans="2:9">
      <c r="B50" s="108"/>
      <c r="C50" s="109"/>
      <c r="D50" s="109"/>
      <c r="E50" s="110"/>
      <c r="F50" s="108"/>
      <c r="G50" s="109"/>
      <c r="H50" s="109"/>
      <c r="I50" s="110"/>
    </row>
    <row r="51" spans="2:9">
      <c r="B51" s="108"/>
      <c r="C51" s="109"/>
      <c r="D51" s="109"/>
      <c r="E51" s="110"/>
      <c r="F51" s="108"/>
      <c r="G51" s="109"/>
      <c r="H51" s="109"/>
      <c r="I51" s="110"/>
    </row>
    <row r="52" spans="2:9">
      <c r="B52" s="108"/>
      <c r="C52" s="109"/>
      <c r="D52" s="109"/>
      <c r="E52" s="110"/>
      <c r="F52" s="108"/>
      <c r="G52" s="109"/>
      <c r="H52" s="109"/>
      <c r="I52" s="110"/>
    </row>
    <row r="53" spans="2:9">
      <c r="B53" s="108"/>
      <c r="C53" s="109"/>
      <c r="D53" s="109"/>
      <c r="E53" s="110"/>
      <c r="F53" s="108"/>
      <c r="G53" s="109"/>
      <c r="H53" s="109"/>
      <c r="I53" s="110"/>
    </row>
    <row r="54" spans="2:9">
      <c r="B54" s="108"/>
      <c r="C54" s="109"/>
      <c r="D54" s="109"/>
      <c r="E54" s="110"/>
      <c r="F54" s="108"/>
      <c r="G54" s="109"/>
      <c r="H54" s="109"/>
      <c r="I54" s="110"/>
    </row>
    <row r="55" spans="2:9">
      <c r="B55" s="108"/>
      <c r="C55" s="109"/>
      <c r="D55" s="109"/>
      <c r="E55" s="110"/>
      <c r="F55" s="108"/>
      <c r="G55" s="109"/>
      <c r="H55" s="109"/>
      <c r="I55" s="110"/>
    </row>
    <row r="56" spans="2:9">
      <c r="B56" s="108"/>
      <c r="C56" s="109"/>
      <c r="D56" s="109"/>
      <c r="E56" s="110"/>
      <c r="F56" s="108"/>
      <c r="G56" s="109"/>
      <c r="H56" s="109"/>
      <c r="I56" s="110"/>
    </row>
    <row r="57" spans="2:9" ht="15.75" thickBot="1">
      <c r="B57" s="111"/>
      <c r="C57" s="112"/>
      <c r="D57" s="112"/>
      <c r="E57" s="113"/>
      <c r="F57" s="111"/>
      <c r="G57" s="112"/>
      <c r="H57" s="112"/>
      <c r="I57" s="113"/>
    </row>
    <row r="58" spans="2:9">
      <c r="B58" s="80" t="s">
        <v>240</v>
      </c>
      <c r="C58" s="81"/>
      <c r="D58" s="81"/>
      <c r="E58" s="81"/>
      <c r="F58" s="81"/>
      <c r="G58" s="81"/>
      <c r="H58" s="81"/>
      <c r="I58" s="82"/>
    </row>
    <row r="59" spans="2:9">
      <c r="B59" s="33" t="s">
        <v>51</v>
      </c>
      <c r="C59" s="34" t="s">
        <v>52</v>
      </c>
      <c r="D59" s="34" t="s">
        <v>53</v>
      </c>
      <c r="E59" s="34" t="s">
        <v>54</v>
      </c>
      <c r="F59" s="34" t="s">
        <v>55</v>
      </c>
      <c r="G59" s="104" t="s">
        <v>56</v>
      </c>
      <c r="H59" s="104"/>
      <c r="I59" s="105"/>
    </row>
    <row r="60" spans="2:9" ht="30">
      <c r="B60" s="38" cm="1">
        <f t="array" ref="B60">_xlfn.XLOOKUP($H$9,Tabla1[[Nombre Unidad de Estudios]:[Nombre Unidad de Estudios]],Tabla1['# versión],"",0)</f>
        <v>1</v>
      </c>
      <c r="C60" s="41" cm="1">
        <f t="array" ref="C60">_xlfn.XLOOKUP($H$9,Tabla1[[Nombre Unidad de Estudios]:[Nombre Unidad de Estudios]],Tabla1[Fecha],"",0)</f>
        <v>46083</v>
      </c>
      <c r="D60" s="35" t="str" cm="1">
        <f t="array" ref="D60">_xlfn.XLOOKUP($H$9,Tabla1[[Nombre Unidad de Estudios]:[Nombre Unidad de Estudios]],Tabla1[Elaboró],"",0)</f>
        <v>Omar Patiño</v>
      </c>
      <c r="E60" s="35" t="str" cm="1">
        <f t="array" ref="E60">_xlfn.XLOOKUP($H$9,Tabla1[[Nombre Unidad de Estudios]:[Nombre Unidad de Estudios]],Tabla1[Revisó],"",0)</f>
        <v>Juan Carlos Rentería</v>
      </c>
      <c r="F60" s="35" t="str" cm="1">
        <f t="array" ref="F60">_xlfn.XLOOKUP($H$9,Tabla1[[Nombre Unidad de Estudios]:[Nombre Unidad de Estudios]],Tabla1[Aprobó],"",0)</f>
        <v>Comité Curricular</v>
      </c>
      <c r="G60" s="106" t="str" cm="1">
        <f t="array" ref="G60">_xlfn.XLOOKUP($H$9,Tabla1[[Nombre Unidad de Estudios]:[Nombre Unidad de Estudios]],Tabla1[Descripción del cambio],"",0)</f>
        <v>Creación syllabus en nuevo formato</v>
      </c>
      <c r="H60" s="106"/>
      <c r="I60" s="107"/>
    </row>
    <row r="61" spans="2:9">
      <c r="B61" s="38"/>
      <c r="C61" s="35"/>
      <c r="D61" s="35"/>
      <c r="E61" s="35"/>
      <c r="F61" s="35"/>
      <c r="G61" s="106"/>
      <c r="H61" s="106"/>
      <c r="I61" s="107"/>
    </row>
    <row r="62" spans="2:9">
      <c r="B62" s="38"/>
      <c r="C62" s="35"/>
      <c r="D62" s="35"/>
      <c r="E62" s="35"/>
      <c r="F62" s="35"/>
      <c r="G62" s="106"/>
      <c r="H62" s="106"/>
      <c r="I62" s="107"/>
    </row>
    <row r="63" spans="2:9">
      <c r="B63" s="38"/>
      <c r="C63" s="35"/>
      <c r="D63" s="35"/>
      <c r="E63" s="35"/>
      <c r="F63" s="35"/>
      <c r="G63" s="106"/>
      <c r="H63" s="106"/>
      <c r="I63" s="107"/>
    </row>
    <row r="64" spans="2:9">
      <c r="B64" s="38"/>
      <c r="C64" s="35"/>
      <c r="D64" s="35"/>
      <c r="E64" s="35"/>
      <c r="F64" s="35"/>
      <c r="G64" s="106"/>
      <c r="H64" s="106"/>
      <c r="I64" s="107"/>
    </row>
    <row r="65" spans="2:9" ht="15.75" thickBot="1">
      <c r="B65" s="39"/>
      <c r="C65" s="40"/>
      <c r="D65" s="40"/>
      <c r="E65" s="40"/>
      <c r="F65" s="40"/>
      <c r="G65" s="141"/>
      <c r="H65" s="141"/>
      <c r="I65" s="142"/>
    </row>
  </sheetData>
  <mergeCells count="41">
    <mergeCell ref="G65:I65"/>
    <mergeCell ref="G59:I59"/>
    <mergeCell ref="G60:I60"/>
    <mergeCell ref="G61:I61"/>
    <mergeCell ref="G62:I62"/>
    <mergeCell ref="G63:I63"/>
    <mergeCell ref="G64:I64"/>
    <mergeCell ref="B58:I58"/>
    <mergeCell ref="B34:I34"/>
    <mergeCell ref="B35:I36"/>
    <mergeCell ref="B37:I39"/>
    <mergeCell ref="B40:E40"/>
    <mergeCell ref="F40:I40"/>
    <mergeCell ref="B41:E41"/>
    <mergeCell ref="F41:G41"/>
    <mergeCell ref="B42:I42"/>
    <mergeCell ref="B43:E43"/>
    <mergeCell ref="F43:I43"/>
    <mergeCell ref="B44:E57"/>
    <mergeCell ref="F44:I57"/>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K2" display="Menu principal" xr:uid="{00000000-0004-0000-0B00-000000000000}"/>
  </hyperlinks>
  <pageMargins left="0.25" right="0.25" top="0.75" bottom="0.75" header="0.3" footer="0.3"/>
  <pageSetup paperSize="9" scale="72"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Tabla!$H$2:$H$22</xm:f>
          </x14:formula1>
          <xm:sqref>H9:I9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42D15-C7E4-451A-B93D-21BF46EE970D}">
  <sheetPr>
    <pageSetUpPr fitToPage="1"/>
  </sheetPr>
  <dimension ref="B1:K65"/>
  <sheetViews>
    <sheetView workbookViewId="0">
      <selection activeCell="F44" sqref="F44:I57"/>
    </sheetView>
  </sheetViews>
  <sheetFormatPr defaultColWidth="10.85546875" defaultRowHeight="15"/>
  <cols>
    <col min="1" max="1" width="3.140625" style="16" customWidth="1"/>
    <col min="2" max="2" width="14.28515625" style="16" customWidth="1"/>
    <col min="3" max="3" width="11.28515625" style="16" bestFit="1" customWidth="1"/>
    <col min="4" max="4" width="12.28515625" style="16" customWidth="1"/>
    <col min="5" max="5" width="16.28515625" style="16" customWidth="1"/>
    <col min="6" max="6" width="18.42578125" style="16" customWidth="1"/>
    <col min="7" max="7" width="10.85546875" style="16" customWidth="1"/>
    <col min="8" max="8" width="9.85546875" style="16" customWidth="1"/>
    <col min="9" max="9" width="16.7109375" style="16" customWidth="1"/>
    <col min="10" max="10" width="10.85546875" style="16"/>
    <col min="11" max="11" width="16.42578125" style="16" customWidth="1"/>
    <col min="12" max="16384" width="10.85546875" style="16"/>
  </cols>
  <sheetData>
    <row r="1" spans="2:11" ht="15.75" thickBot="1">
      <c r="C1" s="17"/>
      <c r="D1" s="17"/>
      <c r="E1" s="17"/>
      <c r="F1" s="17"/>
      <c r="G1" s="17"/>
      <c r="H1" s="17"/>
    </row>
    <row r="2" spans="2:11" ht="22.5" customHeight="1" thickTop="1">
      <c r="B2" s="10"/>
      <c r="C2" s="8" t="s">
        <v>204</v>
      </c>
      <c r="D2" s="8"/>
      <c r="E2" s="8"/>
      <c r="F2" s="8"/>
      <c r="G2" s="8"/>
      <c r="H2" s="8"/>
      <c r="I2" s="18" t="s">
        <v>205</v>
      </c>
      <c r="K2" s="46" t="s">
        <v>206</v>
      </c>
    </row>
    <row r="3" spans="2:11" ht="20.25" customHeight="1">
      <c r="B3" s="9"/>
      <c r="C3" s="7"/>
      <c r="D3" s="7"/>
      <c r="E3" s="7"/>
      <c r="F3" s="7"/>
      <c r="G3" s="7"/>
      <c r="H3" s="7"/>
      <c r="I3" s="19" t="s">
        <v>207</v>
      </c>
    </row>
    <row r="4" spans="2:11" ht="21" customHeight="1" thickBot="1">
      <c r="B4" s="6" t="s">
        <v>208</v>
      </c>
      <c r="C4" s="5"/>
      <c r="D4" s="5"/>
      <c r="E4" s="5"/>
      <c r="F4" s="5"/>
      <c r="G4" s="5"/>
      <c r="H4" s="5"/>
      <c r="I4" s="20" t="s">
        <v>209</v>
      </c>
    </row>
    <row r="5" spans="2:11" ht="16.5" thickTop="1" thickBot="1">
      <c r="B5" s="4"/>
      <c r="C5" s="4"/>
      <c r="D5" s="4"/>
      <c r="E5" s="4"/>
      <c r="F5" s="4"/>
      <c r="G5" s="4"/>
      <c r="H5" s="4"/>
      <c r="I5" s="4"/>
    </row>
    <row r="6" spans="2:11">
      <c r="B6" s="3" t="s">
        <v>210</v>
      </c>
      <c r="C6" s="2"/>
      <c r="D6" s="2"/>
      <c r="E6" s="2"/>
      <c r="F6" s="2"/>
      <c r="G6" s="2"/>
      <c r="H6" s="2"/>
      <c r="I6" s="1"/>
    </row>
    <row r="7" spans="2:11" ht="60">
      <c r="B7" s="22" t="s">
        <v>29</v>
      </c>
      <c r="C7" s="23" cm="1">
        <f t="array" ref="C7">_xlfn.XLOOKUP($H$9,Tabla1[[Nombre Unidad de Estudios]:[Nombre Unidad de Estudios]],Tabla1[Año],"",0)</f>
        <v>2026</v>
      </c>
      <c r="D7" s="24" t="s">
        <v>211</v>
      </c>
      <c r="E7" s="23" t="str" cm="1">
        <f t="array" ref="E7">_xlfn.XLOOKUP($H$9,Tabla1[[Nombre Unidad de Estudios]:[Nombre Unidad de Estudios]],Tabla1[Código Plan de Estudios],"",0)</f>
        <v>DTPGESBOG002</v>
      </c>
      <c r="F7" s="24" t="s">
        <v>212</v>
      </c>
      <c r="G7" s="23" t="str" cm="1">
        <f t="array" ref="G7">_xlfn.XLOOKUP($H$9,Tabla1[[Nombre Unidad de Estudios]:[Nombre Unidad de Estudios]],Tabla1[Código Unidad de Estudios],"",0)</f>
        <v>ADA01601</v>
      </c>
      <c r="H7" s="24" t="s">
        <v>213</v>
      </c>
      <c r="I7" s="23" t="str" cm="1">
        <f t="array" ref="I7">_xlfn.XLOOKUP($H$9,Tabla1[[Nombre Unidad de Estudios]:[Nombre Unidad de Estudios]],Tabla1[Tipo Unidad de Estudios],"",0)</f>
        <v>Nuclear</v>
      </c>
    </row>
    <row r="8" spans="2:11" ht="30">
      <c r="B8" s="22" t="s">
        <v>33</v>
      </c>
      <c r="C8" s="25" t="s">
        <v>60</v>
      </c>
      <c r="D8" s="35" t="s">
        <v>214</v>
      </c>
      <c r="E8" s="25" t="s">
        <v>215</v>
      </c>
      <c r="F8" s="24"/>
      <c r="G8" s="24" t="s">
        <v>216</v>
      </c>
      <c r="H8" s="12"/>
      <c r="I8" s="11"/>
    </row>
    <row r="9" spans="2:11" ht="45">
      <c r="B9" s="26" t="s">
        <v>217</v>
      </c>
      <c r="C9" s="23" t="str" cm="1">
        <f t="array" ref="C9">_xlfn.XLOOKUP($H$9,Tabla1[[Nombre Unidad de Estudios]:[Nombre Unidad de Estudios]],Tabla1[Nivel],"",0)</f>
        <v>Doctorado</v>
      </c>
      <c r="D9" s="25" t="s">
        <v>218</v>
      </c>
      <c r="E9" s="78" t="str" cm="1">
        <f t="array" ref="E9">_xlfn.XLOOKUP($H$9,Tabla1[[Nombre Unidad de Estudios]:[Nombre Unidad de Estudios]],Tabla1[Programa],"",0)</f>
        <v>Doctorado En Gestión</v>
      </c>
      <c r="F9" s="78"/>
      <c r="G9" s="24" t="s">
        <v>219</v>
      </c>
      <c r="H9" s="78" t="s">
        <v>12</v>
      </c>
      <c r="I9" s="79"/>
    </row>
    <row r="10" spans="2:11" ht="30.75" thickBot="1">
      <c r="B10" s="27" t="s">
        <v>37</v>
      </c>
      <c r="C10" s="28" cm="1">
        <f t="array" ref="C10">_xlfn.XLOOKUP($H$9,Tabla1[[Nombre Unidad de Estudios]:[Nombre Unidad de Estudios]],Tabla1[Créditos Académicos],"",0)</f>
        <v>2</v>
      </c>
      <c r="D10" s="29" t="s">
        <v>220</v>
      </c>
      <c r="E10" s="28" cm="1">
        <f t="array" ref="E10">_xlfn.XLOOKUP($H$9,Tabla1[[Nombre Unidad de Estudios]:[Nombre Unidad de Estudios]],Tabla1[Horas de Acompañamiento Directo '[HAD']],"",0)</f>
        <v>24</v>
      </c>
      <c r="F10" s="29" t="s">
        <v>221</v>
      </c>
      <c r="G10" s="28" cm="1">
        <f t="array" ref="G10">_xlfn.XLOOKUP($H$9,Tabla1[[Nombre Unidad de Estudios]:[Nombre Unidad de Estudios]],Tabla1[Horas de Trabajo Autónomo '[HTA']],"",0)</f>
        <v>72</v>
      </c>
      <c r="H10" s="29" t="s">
        <v>222</v>
      </c>
      <c r="I10" s="30">
        <f>E10+G10</f>
        <v>96</v>
      </c>
    </row>
    <row r="11" spans="2:11">
      <c r="B11" s="80" t="s">
        <v>223</v>
      </c>
      <c r="C11" s="81"/>
      <c r="D11" s="81"/>
      <c r="E11" s="81"/>
      <c r="F11" s="81"/>
      <c r="G11" s="81"/>
      <c r="H11" s="81"/>
      <c r="I11" s="82"/>
    </row>
    <row r="12" spans="2:11" ht="76.5" customHeight="1">
      <c r="B12" s="83" t="s">
        <v>224</v>
      </c>
      <c r="C12" s="84"/>
      <c r="D12" s="85" t="str" cm="1">
        <f t="array" ref="D12">_xlfn.XLOOKUP($H$9,Tabla1[[Nombre Unidad de Estudios]:[Nombre Unidad de Estudios]],Tabla1[Descripción de la Unidad de Estudios],"",0)</f>
        <v>Los desafíos del planeta siguen en aumento año tras año. Los problemas ambientales, la inclusión social y el equilibrio entre las fuerzas del entorno plantean la necesidad de integrar los nuevos paradigmas del marketing estratégico en la gestión de organizaciones más sostenibles.</v>
      </c>
      <c r="E12" s="86"/>
      <c r="F12" s="86"/>
      <c r="G12" s="86"/>
      <c r="H12" s="86"/>
      <c r="I12" s="87"/>
    </row>
    <row r="13" spans="2:11" ht="66" customHeight="1" thickBot="1">
      <c r="B13" s="88" t="s">
        <v>225</v>
      </c>
      <c r="C13" s="89"/>
      <c r="D13" s="90" t="str" cm="1">
        <f t="array" ref="D13">_xlfn.XLOOKUP($H$9,Tabla1[[Nombre Unidad de Estudios]:[Nombre Unidad de Estudios]],Tabla1[Resultado de Aprendizaje de la Unidad de Estudios],"",0)</f>
        <v>Integra los nuevos paradigmas de marketing estratégico en la creación de nuevo conocimiento para la gestión de organizaciones más sostenibles.</v>
      </c>
      <c r="E13" s="91"/>
      <c r="F13" s="91"/>
      <c r="G13" s="91"/>
      <c r="H13" s="91"/>
      <c r="I13" s="92"/>
    </row>
    <row r="14" spans="2:11">
      <c r="B14" s="80" t="s">
        <v>226</v>
      </c>
      <c r="C14" s="81"/>
      <c r="D14" s="81"/>
      <c r="E14" s="81"/>
      <c r="F14" s="81"/>
      <c r="G14" s="81"/>
      <c r="H14" s="81"/>
      <c r="I14" s="82"/>
    </row>
    <row r="15" spans="2:11">
      <c r="B15" s="93" t="s">
        <v>227</v>
      </c>
      <c r="C15" s="78"/>
      <c r="D15" s="78"/>
      <c r="E15" s="78"/>
      <c r="F15" s="78"/>
      <c r="G15" s="78"/>
      <c r="H15" s="78"/>
      <c r="I15" s="79"/>
    </row>
    <row r="16" spans="2:11">
      <c r="B16" s="93"/>
      <c r="C16" s="78"/>
      <c r="D16" s="78"/>
      <c r="E16" s="78"/>
      <c r="F16" s="78"/>
      <c r="G16" s="78"/>
      <c r="H16" s="78"/>
      <c r="I16" s="79"/>
    </row>
    <row r="17" spans="2:9" ht="15.75" thickBot="1">
      <c r="B17" s="94"/>
      <c r="C17" s="95"/>
      <c r="D17" s="95"/>
      <c r="E17" s="95"/>
      <c r="F17" s="95"/>
      <c r="G17" s="95"/>
      <c r="H17" s="95"/>
      <c r="I17" s="96"/>
    </row>
    <row r="18" spans="2:9" ht="15.75" thickBot="1">
      <c r="B18" s="97" t="s">
        <v>228</v>
      </c>
      <c r="C18" s="98"/>
      <c r="D18" s="98"/>
      <c r="E18" s="98"/>
      <c r="F18" s="98"/>
      <c r="G18" s="98"/>
      <c r="H18" s="98"/>
      <c r="I18" s="99"/>
    </row>
    <row r="19" spans="2:9">
      <c r="B19" s="21" t="s">
        <v>44</v>
      </c>
      <c r="C19" s="43" t="str" cm="1">
        <f t="array" ref="C19">_xlfn.XLOOKUP($H$9,Tabla1[[Nombre Unidad de Estudios]:[Nombre Unidad de Estudios]],Tabla1[Módulo],"",0)</f>
        <v>4 semanas</v>
      </c>
      <c r="D19" s="21" t="s">
        <v>229</v>
      </c>
      <c r="E19" s="143" t="s">
        <v>230</v>
      </c>
      <c r="F19" s="144"/>
      <c r="G19" s="31" t="s">
        <v>231</v>
      </c>
      <c r="H19" s="145" t="s">
        <v>232</v>
      </c>
      <c r="I19" s="146"/>
    </row>
    <row r="20" spans="2:9">
      <c r="B20" s="13" t="str" cm="1">
        <f t="array" ref="B20">_xlfn.XLOOKUP($H$9,Tabla1[[Nombre Unidad de Estudios]:[Nombre Unidad de Estudios]],Tabla1[Contenidos Unidad de Estudios],"",0)</f>
        <v>Fundamentos de mercadeo.
Comportamiento del Consumidor.
Marketing Mix.
Comunicaciones integradas de Marketing.
Marketing en la Era Digital.
Mercadeo estratégico.
Análisis de la Necesidad.</v>
      </c>
      <c r="C20" s="55"/>
      <c r="D20" s="60"/>
      <c r="E20" s="61"/>
      <c r="F20" s="62"/>
      <c r="G20" s="69"/>
      <c r="H20" s="70"/>
      <c r="I20" s="71"/>
    </row>
    <row r="21" spans="2:9">
      <c r="B21" s="56"/>
      <c r="C21" s="57"/>
      <c r="D21" s="63"/>
      <c r="E21" s="64"/>
      <c r="F21" s="65"/>
      <c r="G21" s="72"/>
      <c r="H21" s="73"/>
      <c r="I21" s="74"/>
    </row>
    <row r="22" spans="2:9">
      <c r="B22" s="56"/>
      <c r="C22" s="57"/>
      <c r="D22" s="63"/>
      <c r="E22" s="64"/>
      <c r="F22" s="65"/>
      <c r="G22" s="72"/>
      <c r="H22" s="73"/>
      <c r="I22" s="74"/>
    </row>
    <row r="23" spans="2:9">
      <c r="B23" s="56"/>
      <c r="C23" s="57"/>
      <c r="D23" s="63"/>
      <c r="E23" s="64"/>
      <c r="F23" s="65"/>
      <c r="G23" s="72"/>
      <c r="H23" s="73"/>
      <c r="I23" s="74"/>
    </row>
    <row r="24" spans="2:9">
      <c r="B24" s="56"/>
      <c r="C24" s="57"/>
      <c r="D24" s="63"/>
      <c r="E24" s="64"/>
      <c r="F24" s="65"/>
      <c r="G24" s="72"/>
      <c r="H24" s="73"/>
      <c r="I24" s="74"/>
    </row>
    <row r="25" spans="2:9">
      <c r="B25" s="56"/>
      <c r="C25" s="57"/>
      <c r="D25" s="63"/>
      <c r="E25" s="64"/>
      <c r="F25" s="65"/>
      <c r="G25" s="72"/>
      <c r="H25" s="73"/>
      <c r="I25" s="74"/>
    </row>
    <row r="26" spans="2:9">
      <c r="B26" s="56"/>
      <c r="C26" s="57"/>
      <c r="D26" s="63"/>
      <c r="E26" s="64"/>
      <c r="F26" s="65"/>
      <c r="G26" s="72"/>
      <c r="H26" s="73"/>
      <c r="I26" s="74"/>
    </row>
    <row r="27" spans="2:9">
      <c r="B27" s="56"/>
      <c r="C27" s="57"/>
      <c r="D27" s="63"/>
      <c r="E27" s="64"/>
      <c r="F27" s="65"/>
      <c r="G27" s="72"/>
      <c r="H27" s="73"/>
      <c r="I27" s="74"/>
    </row>
    <row r="28" spans="2:9">
      <c r="B28" s="56"/>
      <c r="C28" s="57"/>
      <c r="D28" s="63"/>
      <c r="E28" s="64"/>
      <c r="F28" s="65"/>
      <c r="G28" s="72"/>
      <c r="H28" s="73"/>
      <c r="I28" s="74"/>
    </row>
    <row r="29" spans="2:9">
      <c r="B29" s="56"/>
      <c r="C29" s="57"/>
      <c r="D29" s="63"/>
      <c r="E29" s="64"/>
      <c r="F29" s="65"/>
      <c r="G29" s="72"/>
      <c r="H29" s="73"/>
      <c r="I29" s="74"/>
    </row>
    <row r="30" spans="2:9">
      <c r="B30" s="56"/>
      <c r="C30" s="57"/>
      <c r="D30" s="63"/>
      <c r="E30" s="64"/>
      <c r="F30" s="65"/>
      <c r="G30" s="72"/>
      <c r="H30" s="73"/>
      <c r="I30" s="74"/>
    </row>
    <row r="31" spans="2:9">
      <c r="B31" s="56"/>
      <c r="C31" s="57"/>
      <c r="D31" s="63"/>
      <c r="E31" s="64"/>
      <c r="F31" s="65"/>
      <c r="G31" s="72"/>
      <c r="H31" s="73"/>
      <c r="I31" s="74"/>
    </row>
    <row r="32" spans="2:9">
      <c r="B32" s="56"/>
      <c r="C32" s="57"/>
      <c r="D32" s="63"/>
      <c r="E32" s="64"/>
      <c r="F32" s="65"/>
      <c r="G32" s="72"/>
      <c r="H32" s="73"/>
      <c r="I32" s="74"/>
    </row>
    <row r="33" spans="2:9" ht="15.75" thickBot="1">
      <c r="B33" s="58"/>
      <c r="C33" s="59"/>
      <c r="D33" s="66"/>
      <c r="E33" s="67"/>
      <c r="F33" s="68"/>
      <c r="G33" s="75"/>
      <c r="H33" s="76"/>
      <c r="I33" s="77"/>
    </row>
    <row r="34" spans="2:9" ht="15.75" thickBot="1">
      <c r="B34" s="114" t="s">
        <v>233</v>
      </c>
      <c r="C34" s="115"/>
      <c r="D34" s="115"/>
      <c r="E34" s="115"/>
      <c r="F34" s="115"/>
      <c r="G34" s="115"/>
      <c r="H34" s="115"/>
      <c r="I34" s="116"/>
    </row>
    <row r="35" spans="2:9" ht="14.45" customHeight="1">
      <c r="B35" s="126" t="s">
        <v>234</v>
      </c>
      <c r="C35" s="127"/>
      <c r="D35" s="127"/>
      <c r="E35" s="127"/>
      <c r="F35" s="127"/>
      <c r="G35" s="127"/>
      <c r="H35" s="127"/>
      <c r="I35" s="128"/>
    </row>
    <row r="36" spans="2:9">
      <c r="B36" s="129"/>
      <c r="C36" s="130"/>
      <c r="D36" s="130"/>
      <c r="E36" s="130"/>
      <c r="F36" s="130"/>
      <c r="G36" s="130"/>
      <c r="H36" s="130"/>
      <c r="I36" s="131"/>
    </row>
    <row r="37" spans="2:9">
      <c r="B37" s="132" t="str" cm="1">
        <f t="array" ref="B37">_xlfn.XLOOKUP($H$9,Tabla1[[Nombre Unidad de Estudios]:[Nombre Unidad de Estudios]],Tabla1[Esquema de Calificación],"",0)</f>
        <v>50% Working Paper - Individual o en Parejas (15 referencias académicas por integrante).
25% Tipificación de Artículos (antes del módulo).
25% Exposición de artículo de la literatura académica.</v>
      </c>
      <c r="C37" s="133"/>
      <c r="D37" s="133"/>
      <c r="E37" s="133"/>
      <c r="F37" s="133"/>
      <c r="G37" s="133"/>
      <c r="H37" s="133"/>
      <c r="I37" s="134"/>
    </row>
    <row r="38" spans="2:9">
      <c r="B38" s="132"/>
      <c r="C38" s="133"/>
      <c r="D38" s="133"/>
      <c r="E38" s="133"/>
      <c r="F38" s="133"/>
      <c r="G38" s="133"/>
      <c r="H38" s="133"/>
      <c r="I38" s="134"/>
    </row>
    <row r="39" spans="2:9" ht="15.75" thickBot="1">
      <c r="B39" s="135"/>
      <c r="C39" s="136"/>
      <c r="D39" s="136"/>
      <c r="E39" s="136"/>
      <c r="F39" s="136"/>
      <c r="G39" s="136"/>
      <c r="H39" s="136"/>
      <c r="I39" s="137"/>
    </row>
    <row r="40" spans="2:9" ht="34.5" customHeight="1" thickBot="1">
      <c r="B40" s="117" t="s">
        <v>235</v>
      </c>
      <c r="C40" s="118"/>
      <c r="D40" s="118"/>
      <c r="E40" s="119"/>
      <c r="F40" s="120" t="str" cm="1">
        <f t="array" ref="F40">_xlfn.XLOOKUP($H$9,Tabla1[[Nombre Unidad de Estudios]:[Nombre Unidad de Estudios]],Tabla1[Recursos Tecnológicos],"",0)</f>
        <v>Base de datos; Material bibliográfico; Plataforma virtual</v>
      </c>
      <c r="G40" s="121"/>
      <c r="H40" s="121"/>
      <c r="I40" s="122"/>
    </row>
    <row r="41" spans="2:9" ht="15.75" thickBot="1">
      <c r="B41" s="123" t="s">
        <v>236</v>
      </c>
      <c r="C41" s="124"/>
      <c r="D41" s="124"/>
      <c r="E41" s="124"/>
      <c r="F41" s="125" t="str" cm="1">
        <f t="array" ref="F41">_xlfn.XLOOKUP($H$9,Tabla1[[Nombre Unidad de Estudios]:[Nombre Unidad de Estudios]],Tabla1[Componente de Lengua Extranjera '[Idioma']],"",0)</f>
        <v>Inglés</v>
      </c>
      <c r="G41" s="125"/>
      <c r="H41" s="32" t="s">
        <v>237</v>
      </c>
      <c r="I41" s="36" cm="1">
        <f t="array" ref="I41">_xlfn.XLOOKUP($H$9,Tabla1[[Nombre Unidad de Estudios]:[Nombre Unidad de Estudios]],Tabla1[Componente de Lengua Extranjera '[%']],"",0)</f>
        <v>0.5</v>
      </c>
    </row>
    <row r="42" spans="2:9">
      <c r="B42" s="80" t="s">
        <v>238</v>
      </c>
      <c r="C42" s="81"/>
      <c r="D42" s="81"/>
      <c r="E42" s="81"/>
      <c r="F42" s="81"/>
      <c r="G42" s="81"/>
      <c r="H42" s="81"/>
      <c r="I42" s="82"/>
    </row>
    <row r="43" spans="2:9" ht="14.45" customHeight="1">
      <c r="B43" s="138" t="s">
        <v>49</v>
      </c>
      <c r="C43" s="139"/>
      <c r="D43" s="139"/>
      <c r="E43" s="140"/>
      <c r="F43" s="138" t="s">
        <v>239</v>
      </c>
      <c r="G43" s="139"/>
      <c r="H43" s="139"/>
      <c r="I43" s="140"/>
    </row>
    <row r="44" spans="2:9">
      <c r="B44" s="108" t="str" cm="1">
        <f t="array" ref="B44">_xlfn.XLOOKUP($H$9,Tabla1[[Nombre Unidad de Estudios]:[Nombre Unidad de Estudios]],Tabla1[Bibliografía Obligatoria],"",0)</f>
        <v>Amado, A., Cortez, P., Rita, P. y Moro, S. (2018). Research trends on Big Data in Marketing. European Research on Management and Business Economics, 24(1), 1-7. https://doi.org/10.1016/j.iedeen.2017.06.002
De Haan, E., Wiesel, T. y Pauwels, K. (2015). The effectiveness of different forms of online advertising for purchase conversion. International Journal of Research in Marketing, 33(3), 491-507. https://doi.org/10.1016/j.ijresmar.2015.12.001</v>
      </c>
      <c r="C44" s="109"/>
      <c r="D44" s="109"/>
      <c r="E44" s="110"/>
      <c r="F44" s="108" t="str" cm="1">
        <f t="array" ref="F44">_xlfn.XLOOKUP($H$9,Tabla1[[Nombre Unidad de Estudios]:[Nombre Unidad de Estudios]],Tabla1[Bibliografia Complementaria],"",0)</f>
        <v>Cacciolatti, L. y Lee, S. H. (2016). Revisiting the relationship between marketing capabilities and firm performance. Journal of Business Research, 69(12), 5597-5610. https://doi.org/10.1016/j.jbusres.2016.03.067
Daud, S. y Asha'ari, M. J. (2018). Sustainable Marketing and Corporate Sustainability Performance. Global Business and Management Research, 10(8), 919-929.
Eckhardt, G. M., Houston, M. B., Jiang, B., Lamberton, C. [et al.] [Estudio sobre consumo compartido].</v>
      </c>
      <c r="G44" s="109"/>
      <c r="H44" s="109"/>
      <c r="I44" s="110"/>
    </row>
    <row r="45" spans="2:9">
      <c r="B45" s="108"/>
      <c r="C45" s="109"/>
      <c r="D45" s="109"/>
      <c r="E45" s="110"/>
      <c r="F45" s="108"/>
      <c r="G45" s="109"/>
      <c r="H45" s="109"/>
      <c r="I45" s="110"/>
    </row>
    <row r="46" spans="2:9">
      <c r="B46" s="108"/>
      <c r="C46" s="109"/>
      <c r="D46" s="109"/>
      <c r="E46" s="110"/>
      <c r="F46" s="108"/>
      <c r="G46" s="109"/>
      <c r="H46" s="109"/>
      <c r="I46" s="110"/>
    </row>
    <row r="47" spans="2:9">
      <c r="B47" s="108"/>
      <c r="C47" s="109"/>
      <c r="D47" s="109"/>
      <c r="E47" s="110"/>
      <c r="F47" s="108"/>
      <c r="G47" s="109"/>
      <c r="H47" s="109"/>
      <c r="I47" s="110"/>
    </row>
    <row r="48" spans="2:9">
      <c r="B48" s="108"/>
      <c r="C48" s="109"/>
      <c r="D48" s="109"/>
      <c r="E48" s="110"/>
      <c r="F48" s="108"/>
      <c r="G48" s="109"/>
      <c r="H48" s="109"/>
      <c r="I48" s="110"/>
    </row>
    <row r="49" spans="2:9">
      <c r="B49" s="108"/>
      <c r="C49" s="109"/>
      <c r="D49" s="109"/>
      <c r="E49" s="110"/>
      <c r="F49" s="108"/>
      <c r="G49" s="109"/>
      <c r="H49" s="109"/>
      <c r="I49" s="110"/>
    </row>
    <row r="50" spans="2:9">
      <c r="B50" s="108"/>
      <c r="C50" s="109"/>
      <c r="D50" s="109"/>
      <c r="E50" s="110"/>
      <c r="F50" s="108"/>
      <c r="G50" s="109"/>
      <c r="H50" s="109"/>
      <c r="I50" s="110"/>
    </row>
    <row r="51" spans="2:9">
      <c r="B51" s="108"/>
      <c r="C51" s="109"/>
      <c r="D51" s="109"/>
      <c r="E51" s="110"/>
      <c r="F51" s="108"/>
      <c r="G51" s="109"/>
      <c r="H51" s="109"/>
      <c r="I51" s="110"/>
    </row>
    <row r="52" spans="2:9">
      <c r="B52" s="108"/>
      <c r="C52" s="109"/>
      <c r="D52" s="109"/>
      <c r="E52" s="110"/>
      <c r="F52" s="108"/>
      <c r="G52" s="109"/>
      <c r="H52" s="109"/>
      <c r="I52" s="110"/>
    </row>
    <row r="53" spans="2:9">
      <c r="B53" s="108"/>
      <c r="C53" s="109"/>
      <c r="D53" s="109"/>
      <c r="E53" s="110"/>
      <c r="F53" s="108"/>
      <c r="G53" s="109"/>
      <c r="H53" s="109"/>
      <c r="I53" s="110"/>
    </row>
    <row r="54" spans="2:9">
      <c r="B54" s="108"/>
      <c r="C54" s="109"/>
      <c r="D54" s="109"/>
      <c r="E54" s="110"/>
      <c r="F54" s="108"/>
      <c r="G54" s="109"/>
      <c r="H54" s="109"/>
      <c r="I54" s="110"/>
    </row>
    <row r="55" spans="2:9">
      <c r="B55" s="108"/>
      <c r="C55" s="109"/>
      <c r="D55" s="109"/>
      <c r="E55" s="110"/>
      <c r="F55" s="108"/>
      <c r="G55" s="109"/>
      <c r="H55" s="109"/>
      <c r="I55" s="110"/>
    </row>
    <row r="56" spans="2:9">
      <c r="B56" s="108"/>
      <c r="C56" s="109"/>
      <c r="D56" s="109"/>
      <c r="E56" s="110"/>
      <c r="F56" s="108"/>
      <c r="G56" s="109"/>
      <c r="H56" s="109"/>
      <c r="I56" s="110"/>
    </row>
    <row r="57" spans="2:9" ht="15.75" thickBot="1">
      <c r="B57" s="111"/>
      <c r="C57" s="112"/>
      <c r="D57" s="112"/>
      <c r="E57" s="113"/>
      <c r="F57" s="111"/>
      <c r="G57" s="112"/>
      <c r="H57" s="112"/>
      <c r="I57" s="113"/>
    </row>
    <row r="58" spans="2:9">
      <c r="B58" s="80" t="s">
        <v>240</v>
      </c>
      <c r="C58" s="81"/>
      <c r="D58" s="81"/>
      <c r="E58" s="81"/>
      <c r="F58" s="81"/>
      <c r="G58" s="81"/>
      <c r="H58" s="81"/>
      <c r="I58" s="82"/>
    </row>
    <row r="59" spans="2:9">
      <c r="B59" s="33" t="s">
        <v>51</v>
      </c>
      <c r="C59" s="34" t="s">
        <v>52</v>
      </c>
      <c r="D59" s="34" t="s">
        <v>53</v>
      </c>
      <c r="E59" s="34" t="s">
        <v>54</v>
      </c>
      <c r="F59" s="34" t="s">
        <v>55</v>
      </c>
      <c r="G59" s="104" t="s">
        <v>56</v>
      </c>
      <c r="H59" s="104"/>
      <c r="I59" s="105"/>
    </row>
    <row r="60" spans="2:9" ht="30">
      <c r="B60" s="38" cm="1">
        <f t="array" ref="B60">_xlfn.XLOOKUP($H$9,Tabla1[[Nombre Unidad de Estudios]:[Nombre Unidad de Estudios]],Tabla1['# versión],"",0)</f>
        <v>1</v>
      </c>
      <c r="C60" s="41" cm="1">
        <f t="array" ref="C60">_xlfn.XLOOKUP($H$9,Tabla1[[Nombre Unidad de Estudios]:[Nombre Unidad de Estudios]],Tabla1[Fecha],"",0)</f>
        <v>46083</v>
      </c>
      <c r="D60" s="35" t="str" cm="1">
        <f t="array" ref="D60">_xlfn.XLOOKUP($H$9,Tabla1[[Nombre Unidad de Estudios]:[Nombre Unidad de Estudios]],Tabla1[Elaboró],"",0)</f>
        <v>Omar Patiño</v>
      </c>
      <c r="E60" s="35" t="str" cm="1">
        <f t="array" ref="E60">_xlfn.XLOOKUP($H$9,Tabla1[[Nombre Unidad de Estudios]:[Nombre Unidad de Estudios]],Tabla1[Revisó],"",0)</f>
        <v>Juan Carlos Rentería</v>
      </c>
      <c r="F60" s="35" t="str" cm="1">
        <f t="array" ref="F60">_xlfn.XLOOKUP($H$9,Tabla1[[Nombre Unidad de Estudios]:[Nombre Unidad de Estudios]],Tabla1[Aprobó],"",0)</f>
        <v>Comité Curricular</v>
      </c>
      <c r="G60" s="106" t="str" cm="1">
        <f t="array" ref="G60">_xlfn.XLOOKUP($H$9,Tabla1[[Nombre Unidad de Estudios]:[Nombre Unidad de Estudios]],Tabla1[Descripción del cambio],"",0)</f>
        <v>Creación syllabus en nuevo formato</v>
      </c>
      <c r="H60" s="106"/>
      <c r="I60" s="107"/>
    </row>
    <row r="61" spans="2:9">
      <c r="B61" s="38"/>
      <c r="C61" s="35"/>
      <c r="D61" s="35"/>
      <c r="E61" s="35"/>
      <c r="F61" s="35"/>
      <c r="G61" s="106"/>
      <c r="H61" s="106"/>
      <c r="I61" s="107"/>
    </row>
    <row r="62" spans="2:9">
      <c r="B62" s="38"/>
      <c r="C62" s="35"/>
      <c r="D62" s="35"/>
      <c r="E62" s="35"/>
      <c r="F62" s="35"/>
      <c r="G62" s="106"/>
      <c r="H62" s="106"/>
      <c r="I62" s="107"/>
    </row>
    <row r="63" spans="2:9">
      <c r="B63" s="38"/>
      <c r="C63" s="35"/>
      <c r="D63" s="35"/>
      <c r="E63" s="35"/>
      <c r="F63" s="35"/>
      <c r="G63" s="106"/>
      <c r="H63" s="106"/>
      <c r="I63" s="107"/>
    </row>
    <row r="64" spans="2:9">
      <c r="B64" s="38"/>
      <c r="C64" s="35"/>
      <c r="D64" s="35"/>
      <c r="E64" s="35"/>
      <c r="F64" s="35"/>
      <c r="G64" s="106"/>
      <c r="H64" s="106"/>
      <c r="I64" s="107"/>
    </row>
    <row r="65" spans="2:9" ht="15.75" thickBot="1">
      <c r="B65" s="39"/>
      <c r="C65" s="40"/>
      <c r="D65" s="40"/>
      <c r="E65" s="40"/>
      <c r="F65" s="40"/>
      <c r="G65" s="141"/>
      <c r="H65" s="141"/>
      <c r="I65" s="142"/>
    </row>
  </sheetData>
  <mergeCells count="41">
    <mergeCell ref="G65:I65"/>
    <mergeCell ref="G59:I59"/>
    <mergeCell ref="G60:I60"/>
    <mergeCell ref="G61:I61"/>
    <mergeCell ref="G62:I62"/>
    <mergeCell ref="G63:I63"/>
    <mergeCell ref="G64:I64"/>
    <mergeCell ref="B58:I58"/>
    <mergeCell ref="B34:I34"/>
    <mergeCell ref="B35:I36"/>
    <mergeCell ref="B37:I39"/>
    <mergeCell ref="B40:E40"/>
    <mergeCell ref="F40:I40"/>
    <mergeCell ref="B41:E41"/>
    <mergeCell ref="F41:G41"/>
    <mergeCell ref="B42:I42"/>
    <mergeCell ref="B43:E43"/>
    <mergeCell ref="F43:I43"/>
    <mergeCell ref="B44:E57"/>
    <mergeCell ref="F44:I57"/>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K2" display="Menu principal" xr:uid="{00000000-0004-0000-0C00-000000000000}"/>
  </hyperlinks>
  <pageMargins left="0.25" right="0.25" top="0.75" bottom="0.75" header="0.3" footer="0.3"/>
  <pageSetup paperSize="9" scale="72"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Tabla!$H$2:$H$22</xm:f>
          </x14:formula1>
          <xm:sqref>H9:I9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E4143-9BA3-49B5-9100-D59403D6F7CA}">
  <sheetPr>
    <pageSetUpPr fitToPage="1"/>
  </sheetPr>
  <dimension ref="B1:K65"/>
  <sheetViews>
    <sheetView topLeftCell="A12" workbookViewId="0">
      <selection activeCell="P32" sqref="P32"/>
    </sheetView>
  </sheetViews>
  <sheetFormatPr defaultColWidth="10.85546875" defaultRowHeight="15"/>
  <cols>
    <col min="1" max="1" width="3.140625" style="16" customWidth="1"/>
    <col min="2" max="2" width="14.28515625" style="16" customWidth="1"/>
    <col min="3" max="3" width="11.28515625" style="16" bestFit="1" customWidth="1"/>
    <col min="4" max="4" width="12.28515625" style="16" customWidth="1"/>
    <col min="5" max="5" width="16.28515625" style="16" customWidth="1"/>
    <col min="6" max="6" width="18.42578125" style="16" customWidth="1"/>
    <col min="7" max="7" width="10.85546875" style="16" customWidth="1"/>
    <col min="8" max="8" width="9.85546875" style="16" customWidth="1"/>
    <col min="9" max="9" width="16.7109375" style="16" customWidth="1"/>
    <col min="10" max="10" width="10.85546875" style="16"/>
    <col min="11" max="11" width="16.42578125" style="16" customWidth="1"/>
    <col min="12" max="16384" width="10.85546875" style="16"/>
  </cols>
  <sheetData>
    <row r="1" spans="2:11" ht="15.75" thickBot="1">
      <c r="C1" s="17"/>
      <c r="D1" s="17"/>
      <c r="E1" s="17"/>
      <c r="F1" s="17"/>
      <c r="G1" s="17"/>
      <c r="H1" s="17"/>
    </row>
    <row r="2" spans="2:11" ht="22.5" customHeight="1" thickTop="1">
      <c r="B2" s="10"/>
      <c r="C2" s="8" t="s">
        <v>204</v>
      </c>
      <c r="D2" s="8"/>
      <c r="E2" s="8"/>
      <c r="F2" s="8"/>
      <c r="G2" s="8"/>
      <c r="H2" s="8"/>
      <c r="I2" s="18" t="s">
        <v>205</v>
      </c>
      <c r="K2" s="46" t="s">
        <v>206</v>
      </c>
    </row>
    <row r="3" spans="2:11" ht="20.25" customHeight="1">
      <c r="B3" s="9"/>
      <c r="C3" s="7"/>
      <c r="D3" s="7"/>
      <c r="E3" s="7"/>
      <c r="F3" s="7"/>
      <c r="G3" s="7"/>
      <c r="H3" s="7"/>
      <c r="I3" s="19" t="s">
        <v>207</v>
      </c>
    </row>
    <row r="4" spans="2:11" ht="21" customHeight="1" thickBot="1">
      <c r="B4" s="6" t="s">
        <v>208</v>
      </c>
      <c r="C4" s="5"/>
      <c r="D4" s="5"/>
      <c r="E4" s="5"/>
      <c r="F4" s="5"/>
      <c r="G4" s="5"/>
      <c r="H4" s="5"/>
      <c r="I4" s="20" t="s">
        <v>209</v>
      </c>
    </row>
    <row r="5" spans="2:11" ht="16.5" thickTop="1" thickBot="1">
      <c r="B5" s="4"/>
      <c r="C5" s="4"/>
      <c r="D5" s="4"/>
      <c r="E5" s="4"/>
      <c r="F5" s="4"/>
      <c r="G5" s="4"/>
      <c r="H5" s="4"/>
      <c r="I5" s="4"/>
    </row>
    <row r="6" spans="2:11">
      <c r="B6" s="3" t="s">
        <v>210</v>
      </c>
      <c r="C6" s="2"/>
      <c r="D6" s="2"/>
      <c r="E6" s="2"/>
      <c r="F6" s="2"/>
      <c r="G6" s="2"/>
      <c r="H6" s="2"/>
      <c r="I6" s="1"/>
    </row>
    <row r="7" spans="2:11" ht="60">
      <c r="B7" s="22" t="s">
        <v>29</v>
      </c>
      <c r="C7" s="23" cm="1">
        <f t="array" ref="C7">_xlfn.XLOOKUP($H$9,Tabla1[[Nombre Unidad de Estudios]:[Nombre Unidad de Estudios]],Tabla1[Año],"",0)</f>
        <v>2026</v>
      </c>
      <c r="D7" s="24" t="s">
        <v>211</v>
      </c>
      <c r="E7" s="23" t="str" cm="1">
        <f t="array" ref="E7">_xlfn.XLOOKUP($H$9,Tabla1[[Nombre Unidad de Estudios]:[Nombre Unidad de Estudios]],Tabla1[Código Plan de Estudios],"",0)</f>
        <v>DTPGESBOG002</v>
      </c>
      <c r="F7" s="24" t="s">
        <v>212</v>
      </c>
      <c r="G7" s="23" t="str" cm="1">
        <f t="array" ref="G7">_xlfn.XLOOKUP($H$9,Tabla1[[Nombre Unidad de Estudios]:[Nombre Unidad de Estudios]],Tabla1[Código Unidad de Estudios],"",0)</f>
        <v>ADA01607</v>
      </c>
      <c r="H7" s="24" t="s">
        <v>213</v>
      </c>
      <c r="I7" s="23" t="str" cm="1">
        <f t="array" ref="I7">_xlfn.XLOOKUP($H$9,Tabla1[[Nombre Unidad de Estudios]:[Nombre Unidad de Estudios]],Tabla1[Tipo Unidad de Estudios],"",0)</f>
        <v>Nuclear</v>
      </c>
    </row>
    <row r="8" spans="2:11" ht="30">
      <c r="B8" s="22" t="s">
        <v>33</v>
      </c>
      <c r="C8" s="25" t="s">
        <v>60</v>
      </c>
      <c r="D8" s="35" t="s">
        <v>214</v>
      </c>
      <c r="E8" s="25" t="s">
        <v>215</v>
      </c>
      <c r="F8" s="24"/>
      <c r="G8" s="24" t="s">
        <v>216</v>
      </c>
      <c r="H8" s="12"/>
      <c r="I8" s="11"/>
    </row>
    <row r="9" spans="2:11" ht="45">
      <c r="B9" s="26" t="s">
        <v>217</v>
      </c>
      <c r="C9" s="23" t="str" cm="1">
        <f t="array" ref="C9">_xlfn.XLOOKUP($H$9,Tabla1[[Nombre Unidad de Estudios]:[Nombre Unidad de Estudios]],Tabla1[Nivel],"",0)</f>
        <v>Doctorado</v>
      </c>
      <c r="D9" s="25" t="s">
        <v>218</v>
      </c>
      <c r="E9" s="78" t="str" cm="1">
        <f t="array" ref="E9">_xlfn.XLOOKUP($H$9,Tabla1[[Nombre Unidad de Estudios]:[Nombre Unidad de Estudios]],Tabla1[Programa],"",0)</f>
        <v>Doctorado En Gestión</v>
      </c>
      <c r="F9" s="78"/>
      <c r="G9" s="24" t="s">
        <v>219</v>
      </c>
      <c r="H9" s="78" t="s">
        <v>13</v>
      </c>
      <c r="I9" s="79"/>
    </row>
    <row r="10" spans="2:11" ht="30.75" thickBot="1">
      <c r="B10" s="27" t="s">
        <v>37</v>
      </c>
      <c r="C10" s="28" cm="1">
        <f t="array" ref="C10">_xlfn.XLOOKUP($H$9,Tabla1[[Nombre Unidad de Estudios]:[Nombre Unidad de Estudios]],Tabla1[Créditos Académicos],"",0)</f>
        <v>3</v>
      </c>
      <c r="D10" s="29" t="s">
        <v>220</v>
      </c>
      <c r="E10" s="28" cm="1">
        <f t="array" ref="E10">_xlfn.XLOOKUP($H$9,Tabla1[[Nombre Unidad de Estudios]:[Nombre Unidad de Estudios]],Tabla1[Horas de Acompañamiento Directo '[HAD']],"",0)</f>
        <v>48</v>
      </c>
      <c r="F10" s="29" t="s">
        <v>221</v>
      </c>
      <c r="G10" s="28" cm="1">
        <f t="array" ref="G10">_xlfn.XLOOKUP($H$9,Tabla1[[Nombre Unidad de Estudios]:[Nombre Unidad de Estudios]],Tabla1[Horas de Trabajo Autónomo '[HTA']],"",0)</f>
        <v>144</v>
      </c>
      <c r="H10" s="29" t="s">
        <v>222</v>
      </c>
      <c r="I10" s="30">
        <f>E10+G10</f>
        <v>192</v>
      </c>
    </row>
    <row r="11" spans="2:11">
      <c r="B11" s="80" t="s">
        <v>223</v>
      </c>
      <c r="C11" s="81"/>
      <c r="D11" s="81"/>
      <c r="E11" s="81"/>
      <c r="F11" s="81"/>
      <c r="G11" s="81"/>
      <c r="H11" s="81"/>
      <c r="I11" s="82"/>
    </row>
    <row r="12" spans="2:11" ht="76.5" customHeight="1">
      <c r="B12" s="83" t="s">
        <v>224</v>
      </c>
      <c r="C12" s="84"/>
      <c r="D12" s="85" t="str" cm="1">
        <f t="array" ref="D12">_xlfn.XLOOKUP($H$9,Tabla1[[Nombre Unidad de Estudios]:[Nombre Unidad de Estudios]],Tabla1[Descripción de la Unidad de Estudios],"",0)</f>
        <v>La validación de hipótesis y su posterior uso en la generación de nueva teoría alrededor del ejercicio gerencial es uno de los objetivos fundamentales de los programas doctorales. Esta unidad desarrolla la investigación desde una perspectiva cuantitativa con software especializado.</v>
      </c>
      <c r="E12" s="86"/>
      <c r="F12" s="86"/>
      <c r="G12" s="86"/>
      <c r="H12" s="86"/>
      <c r="I12" s="87"/>
    </row>
    <row r="13" spans="2:11" ht="66" customHeight="1" thickBot="1">
      <c r="B13" s="88" t="s">
        <v>225</v>
      </c>
      <c r="C13" s="89"/>
      <c r="D13" s="90" t="str" cm="1">
        <f t="array" ref="D13">_xlfn.XLOOKUP($H$9,Tabla1[[Nombre Unidad de Estudios]:[Nombre Unidad de Estudios]],Tabla1[Resultado de Aprendizaje de la Unidad de Estudios],"",0)</f>
        <v>Desarrolla la investigación desde una perspectiva cuantitativa, con el uso de herramientas metodológicas y software especializado para la interpretación y análisis de datos estadísticos levantados a partir de la investigación de campo.</v>
      </c>
      <c r="E13" s="91"/>
      <c r="F13" s="91"/>
      <c r="G13" s="91"/>
      <c r="H13" s="91"/>
      <c r="I13" s="92"/>
    </row>
    <row r="14" spans="2:11">
      <c r="B14" s="80" t="s">
        <v>226</v>
      </c>
      <c r="C14" s="81"/>
      <c r="D14" s="81"/>
      <c r="E14" s="81"/>
      <c r="F14" s="81"/>
      <c r="G14" s="81"/>
      <c r="H14" s="81"/>
      <c r="I14" s="82"/>
    </row>
    <row r="15" spans="2:11">
      <c r="B15" s="93" t="s">
        <v>227</v>
      </c>
      <c r="C15" s="78"/>
      <c r="D15" s="78"/>
      <c r="E15" s="78"/>
      <c r="F15" s="78"/>
      <c r="G15" s="78"/>
      <c r="H15" s="78"/>
      <c r="I15" s="79"/>
    </row>
    <row r="16" spans="2:11">
      <c r="B16" s="93"/>
      <c r="C16" s="78"/>
      <c r="D16" s="78"/>
      <c r="E16" s="78"/>
      <c r="F16" s="78"/>
      <c r="G16" s="78"/>
      <c r="H16" s="78"/>
      <c r="I16" s="79"/>
    </row>
    <row r="17" spans="2:9" ht="15.75" thickBot="1">
      <c r="B17" s="94"/>
      <c r="C17" s="95"/>
      <c r="D17" s="95"/>
      <c r="E17" s="95"/>
      <c r="F17" s="95"/>
      <c r="G17" s="95"/>
      <c r="H17" s="95"/>
      <c r="I17" s="96"/>
    </row>
    <row r="18" spans="2:9" ht="15.75" thickBot="1">
      <c r="B18" s="97" t="s">
        <v>228</v>
      </c>
      <c r="C18" s="98"/>
      <c r="D18" s="98"/>
      <c r="E18" s="98"/>
      <c r="F18" s="98"/>
      <c r="G18" s="98"/>
      <c r="H18" s="98"/>
      <c r="I18" s="99"/>
    </row>
    <row r="19" spans="2:9">
      <c r="B19" s="21" t="s">
        <v>44</v>
      </c>
      <c r="C19" s="43" t="e" cm="1">
        <f t="array" ref="C19">_xlfn.XLOOKUP($H$9,Tabla1[[Nombre Unidad de Estudios]:[Nombre Unidad de Estudios]],Tabla1[Módulo],"",0)</f>
        <v>#N/A</v>
      </c>
      <c r="D19" s="21" t="s">
        <v>229</v>
      </c>
      <c r="E19" s="143" t="s">
        <v>230</v>
      </c>
      <c r="F19" s="144"/>
      <c r="G19" s="31" t="s">
        <v>231</v>
      </c>
      <c r="H19" s="145" t="s">
        <v>232</v>
      </c>
      <c r="I19" s="146"/>
    </row>
    <row r="20" spans="2:9">
      <c r="B20" s="13" t="str" cm="1">
        <f t="array" ref="B20">_xlfn.XLOOKUP($H$9,Tabla1[[Nombre Unidad de Estudios]:[Nombre Unidad de Estudios]],Tabla1[Contenidos Unidad de Estudios],"",0)</f>
        <v>Determinación de la población objeto de estudio y determinación de la muestra.
Métodos para la selección de la muestra.
Elaboración de instrumentos de medición.
Determinación de las escalas de medición.</v>
      </c>
      <c r="C20" s="55"/>
      <c r="D20" s="60"/>
      <c r="E20" s="61"/>
      <c r="F20" s="62"/>
      <c r="G20" s="69"/>
      <c r="H20" s="70"/>
      <c r="I20" s="71"/>
    </row>
    <row r="21" spans="2:9">
      <c r="B21" s="56"/>
      <c r="C21" s="57"/>
      <c r="D21" s="63"/>
      <c r="E21" s="64"/>
      <c r="F21" s="65"/>
      <c r="G21" s="72"/>
      <c r="H21" s="73"/>
      <c r="I21" s="74"/>
    </row>
    <row r="22" spans="2:9">
      <c r="B22" s="56"/>
      <c r="C22" s="57"/>
      <c r="D22" s="63"/>
      <c r="E22" s="64"/>
      <c r="F22" s="65"/>
      <c r="G22" s="72"/>
      <c r="H22" s="73"/>
      <c r="I22" s="74"/>
    </row>
    <row r="23" spans="2:9">
      <c r="B23" s="56"/>
      <c r="C23" s="57"/>
      <c r="D23" s="63"/>
      <c r="E23" s="64"/>
      <c r="F23" s="65"/>
      <c r="G23" s="72"/>
      <c r="H23" s="73"/>
      <c r="I23" s="74"/>
    </row>
    <row r="24" spans="2:9">
      <c r="B24" s="56"/>
      <c r="C24" s="57"/>
      <c r="D24" s="63"/>
      <c r="E24" s="64"/>
      <c r="F24" s="65"/>
      <c r="G24" s="72"/>
      <c r="H24" s="73"/>
      <c r="I24" s="74"/>
    </row>
    <row r="25" spans="2:9">
      <c r="B25" s="56"/>
      <c r="C25" s="57"/>
      <c r="D25" s="63"/>
      <c r="E25" s="64"/>
      <c r="F25" s="65"/>
      <c r="G25" s="72"/>
      <c r="H25" s="73"/>
      <c r="I25" s="74"/>
    </row>
    <row r="26" spans="2:9">
      <c r="B26" s="56"/>
      <c r="C26" s="57"/>
      <c r="D26" s="63"/>
      <c r="E26" s="64"/>
      <c r="F26" s="65"/>
      <c r="G26" s="72"/>
      <c r="H26" s="73"/>
      <c r="I26" s="74"/>
    </row>
    <row r="27" spans="2:9">
      <c r="B27" s="56"/>
      <c r="C27" s="57"/>
      <c r="D27" s="63"/>
      <c r="E27" s="64"/>
      <c r="F27" s="65"/>
      <c r="G27" s="72"/>
      <c r="H27" s="73"/>
      <c r="I27" s="74"/>
    </row>
    <row r="28" spans="2:9">
      <c r="B28" s="56"/>
      <c r="C28" s="57"/>
      <c r="D28" s="63"/>
      <c r="E28" s="64"/>
      <c r="F28" s="65"/>
      <c r="G28" s="72"/>
      <c r="H28" s="73"/>
      <c r="I28" s="74"/>
    </row>
    <row r="29" spans="2:9">
      <c r="B29" s="56"/>
      <c r="C29" s="57"/>
      <c r="D29" s="63"/>
      <c r="E29" s="64"/>
      <c r="F29" s="65"/>
      <c r="G29" s="72"/>
      <c r="H29" s="73"/>
      <c r="I29" s="74"/>
    </row>
    <row r="30" spans="2:9">
      <c r="B30" s="56"/>
      <c r="C30" s="57"/>
      <c r="D30" s="63"/>
      <c r="E30" s="64"/>
      <c r="F30" s="65"/>
      <c r="G30" s="72"/>
      <c r="H30" s="73"/>
      <c r="I30" s="74"/>
    </row>
    <row r="31" spans="2:9">
      <c r="B31" s="56"/>
      <c r="C31" s="57"/>
      <c r="D31" s="63"/>
      <c r="E31" s="64"/>
      <c r="F31" s="65"/>
      <c r="G31" s="72"/>
      <c r="H31" s="73"/>
      <c r="I31" s="74"/>
    </row>
    <row r="32" spans="2:9">
      <c r="B32" s="56"/>
      <c r="C32" s="57"/>
      <c r="D32" s="63"/>
      <c r="E32" s="64"/>
      <c r="F32" s="65"/>
      <c r="G32" s="72"/>
      <c r="H32" s="73"/>
      <c r="I32" s="74"/>
    </row>
    <row r="33" spans="2:9" ht="15.75" thickBot="1">
      <c r="B33" s="58"/>
      <c r="C33" s="59"/>
      <c r="D33" s="66"/>
      <c r="E33" s="67"/>
      <c r="F33" s="68"/>
      <c r="G33" s="75"/>
      <c r="H33" s="76"/>
      <c r="I33" s="77"/>
    </row>
    <row r="34" spans="2:9" ht="15.75" thickBot="1">
      <c r="B34" s="114" t="s">
        <v>233</v>
      </c>
      <c r="C34" s="115"/>
      <c r="D34" s="115"/>
      <c r="E34" s="115"/>
      <c r="F34" s="115"/>
      <c r="G34" s="115"/>
      <c r="H34" s="115"/>
      <c r="I34" s="116"/>
    </row>
    <row r="35" spans="2:9" ht="14.45" customHeight="1">
      <c r="B35" s="126" t="s">
        <v>234</v>
      </c>
      <c r="C35" s="127"/>
      <c r="D35" s="127"/>
      <c r="E35" s="127"/>
      <c r="F35" s="127"/>
      <c r="G35" s="127"/>
      <c r="H35" s="127"/>
      <c r="I35" s="128"/>
    </row>
    <row r="36" spans="2:9">
      <c r="B36" s="129"/>
      <c r="C36" s="130"/>
      <c r="D36" s="130"/>
      <c r="E36" s="130"/>
      <c r="F36" s="130"/>
      <c r="G36" s="130"/>
      <c r="H36" s="130"/>
      <c r="I36" s="131"/>
    </row>
    <row r="37" spans="2:9">
      <c r="B37" s="132" t="str" cm="1">
        <f t="array" ref="B37">_xlfn.XLOOKUP($H$9,Tabla1[[Nombre Unidad de Estudios]:[Nombre Unidad de Estudios]],Tabla1[Esquema de Calificación],"",0)</f>
        <v>20% Participación en clase.
20% Presentaciones de artículos.
30% Elaboración de ensayos.
30% Elaboración de revisiones de literatura.</v>
      </c>
      <c r="C37" s="133"/>
      <c r="D37" s="133"/>
      <c r="E37" s="133"/>
      <c r="F37" s="133"/>
      <c r="G37" s="133"/>
      <c r="H37" s="133"/>
      <c r="I37" s="134"/>
    </row>
    <row r="38" spans="2:9">
      <c r="B38" s="132"/>
      <c r="C38" s="133"/>
      <c r="D38" s="133"/>
      <c r="E38" s="133"/>
      <c r="F38" s="133"/>
      <c r="G38" s="133"/>
      <c r="H38" s="133"/>
      <c r="I38" s="134"/>
    </row>
    <row r="39" spans="2:9" ht="15.75" thickBot="1">
      <c r="B39" s="135"/>
      <c r="C39" s="136"/>
      <c r="D39" s="136"/>
      <c r="E39" s="136"/>
      <c r="F39" s="136"/>
      <c r="G39" s="136"/>
      <c r="H39" s="136"/>
      <c r="I39" s="137"/>
    </row>
    <row r="40" spans="2:9" ht="34.5" customHeight="1" thickBot="1">
      <c r="B40" s="117" t="s">
        <v>235</v>
      </c>
      <c r="C40" s="118"/>
      <c r="D40" s="118"/>
      <c r="E40" s="119"/>
      <c r="F40" s="120" t="str" cm="1">
        <f t="array" ref="F40">_xlfn.XLOOKUP($H$9,Tabla1[[Nombre Unidad de Estudios]:[Nombre Unidad de Estudios]],Tabla1[Recursos Tecnológicos],"",0)</f>
        <v>Base de datos; Material bibliográfico; Plataforma virtual; Excel; SPSS; Eviews</v>
      </c>
      <c r="G40" s="121"/>
      <c r="H40" s="121"/>
      <c r="I40" s="122"/>
    </row>
    <row r="41" spans="2:9" ht="15.75" thickBot="1">
      <c r="B41" s="123" t="s">
        <v>236</v>
      </c>
      <c r="C41" s="124"/>
      <c r="D41" s="124"/>
      <c r="E41" s="124"/>
      <c r="F41" s="125" t="str" cm="1">
        <f t="array" ref="F41">_xlfn.XLOOKUP($H$9,Tabla1[[Nombre Unidad de Estudios]:[Nombre Unidad de Estudios]],Tabla1[Componente de Lengua Extranjera '[Idioma']],"",0)</f>
        <v>Inglés</v>
      </c>
      <c r="G41" s="125"/>
      <c r="H41" s="32" t="s">
        <v>237</v>
      </c>
      <c r="I41" s="36" cm="1">
        <f t="array" ref="I41">_xlfn.XLOOKUP($H$9,Tabla1[[Nombre Unidad de Estudios]:[Nombre Unidad de Estudios]],Tabla1[Componente de Lengua Extranjera '[%']],"",0)</f>
        <v>0.3</v>
      </c>
    </row>
    <row r="42" spans="2:9">
      <c r="B42" s="80" t="s">
        <v>238</v>
      </c>
      <c r="C42" s="81"/>
      <c r="D42" s="81"/>
      <c r="E42" s="81"/>
      <c r="F42" s="81"/>
      <c r="G42" s="81"/>
      <c r="H42" s="81"/>
      <c r="I42" s="82"/>
    </row>
    <row r="43" spans="2:9" ht="14.45" customHeight="1">
      <c r="B43" s="138" t="s">
        <v>49</v>
      </c>
      <c r="C43" s="139"/>
      <c r="D43" s="139"/>
      <c r="E43" s="140"/>
      <c r="F43" s="138" t="s">
        <v>239</v>
      </c>
      <c r="G43" s="139"/>
      <c r="H43" s="139"/>
      <c r="I43" s="140"/>
    </row>
    <row r="44" spans="2:9">
      <c r="B44" s="108" t="str" cm="1">
        <f t="array" ref="B44">_xlfn.XLOOKUP($H$9,Tabla1[[Nombre Unidad de Estudios]:[Nombre Unidad de Estudios]],Tabla1[Bibliografía Obligatoria],"",0)</f>
        <v>Bell, C. y French, W. (1995). Desarrollo Organizacional. Prentice-Hall Hispanoamericana.
Bernal Torres, C. A. (2000). Metodología de la Investigación para Administración y Economía. Pearson.
Bejarano A., J. A. (1996). Sobre la Investigación y la Consultoría Económica: Fragmentos de un Proyecto. Innovar, (8).</v>
      </c>
      <c r="C44" s="109"/>
      <c r="D44" s="109"/>
      <c r="E44" s="110"/>
      <c r="F44" s="108" t="str" cm="1">
        <f t="array" ref="F44">_xlfn.XLOOKUP($H$9,Tabla1[[Nombre Unidad de Estudios]:[Nombre Unidad de Estudios]],Tabla1[Bibliografia Complementaria],"",0)</f>
        <v>Jordan, P. J. y Troth, A. C. (2020). Common method bias in applied settings. Australian Journal of Management, 45(1), 3-14. https://doi.org/10.1177/0312896219871976
Kuhn, T. S. (2005). La estructura de las revoluciones científicas. Fondo de Cultura Económica.
Lakatos, I. (1993). La metodología de los Programas de investigación científica. Alianza.</v>
      </c>
      <c r="G44" s="109"/>
      <c r="H44" s="109"/>
      <c r="I44" s="110"/>
    </row>
    <row r="45" spans="2:9">
      <c r="B45" s="108"/>
      <c r="C45" s="109"/>
      <c r="D45" s="109"/>
      <c r="E45" s="110"/>
      <c r="F45" s="108"/>
      <c r="G45" s="109"/>
      <c r="H45" s="109"/>
      <c r="I45" s="110"/>
    </row>
    <row r="46" spans="2:9">
      <c r="B46" s="108"/>
      <c r="C46" s="109"/>
      <c r="D46" s="109"/>
      <c r="E46" s="110"/>
      <c r="F46" s="108"/>
      <c r="G46" s="109"/>
      <c r="H46" s="109"/>
      <c r="I46" s="110"/>
    </row>
    <row r="47" spans="2:9">
      <c r="B47" s="108"/>
      <c r="C47" s="109"/>
      <c r="D47" s="109"/>
      <c r="E47" s="110"/>
      <c r="F47" s="108"/>
      <c r="G47" s="109"/>
      <c r="H47" s="109"/>
      <c r="I47" s="110"/>
    </row>
    <row r="48" spans="2:9">
      <c r="B48" s="108"/>
      <c r="C48" s="109"/>
      <c r="D48" s="109"/>
      <c r="E48" s="110"/>
      <c r="F48" s="108"/>
      <c r="G48" s="109"/>
      <c r="H48" s="109"/>
      <c r="I48" s="110"/>
    </row>
    <row r="49" spans="2:9">
      <c r="B49" s="108"/>
      <c r="C49" s="109"/>
      <c r="D49" s="109"/>
      <c r="E49" s="110"/>
      <c r="F49" s="108"/>
      <c r="G49" s="109"/>
      <c r="H49" s="109"/>
      <c r="I49" s="110"/>
    </row>
    <row r="50" spans="2:9">
      <c r="B50" s="108"/>
      <c r="C50" s="109"/>
      <c r="D50" s="109"/>
      <c r="E50" s="110"/>
      <c r="F50" s="108"/>
      <c r="G50" s="109"/>
      <c r="H50" s="109"/>
      <c r="I50" s="110"/>
    </row>
    <row r="51" spans="2:9">
      <c r="B51" s="108"/>
      <c r="C51" s="109"/>
      <c r="D51" s="109"/>
      <c r="E51" s="110"/>
      <c r="F51" s="108"/>
      <c r="G51" s="109"/>
      <c r="H51" s="109"/>
      <c r="I51" s="110"/>
    </row>
    <row r="52" spans="2:9">
      <c r="B52" s="108"/>
      <c r="C52" s="109"/>
      <c r="D52" s="109"/>
      <c r="E52" s="110"/>
      <c r="F52" s="108"/>
      <c r="G52" s="109"/>
      <c r="H52" s="109"/>
      <c r="I52" s="110"/>
    </row>
    <row r="53" spans="2:9">
      <c r="B53" s="108"/>
      <c r="C53" s="109"/>
      <c r="D53" s="109"/>
      <c r="E53" s="110"/>
      <c r="F53" s="108"/>
      <c r="G53" s="109"/>
      <c r="H53" s="109"/>
      <c r="I53" s="110"/>
    </row>
    <row r="54" spans="2:9">
      <c r="B54" s="108"/>
      <c r="C54" s="109"/>
      <c r="D54" s="109"/>
      <c r="E54" s="110"/>
      <c r="F54" s="108"/>
      <c r="G54" s="109"/>
      <c r="H54" s="109"/>
      <c r="I54" s="110"/>
    </row>
    <row r="55" spans="2:9">
      <c r="B55" s="108"/>
      <c r="C55" s="109"/>
      <c r="D55" s="109"/>
      <c r="E55" s="110"/>
      <c r="F55" s="108"/>
      <c r="G55" s="109"/>
      <c r="H55" s="109"/>
      <c r="I55" s="110"/>
    </row>
    <row r="56" spans="2:9">
      <c r="B56" s="108"/>
      <c r="C56" s="109"/>
      <c r="D56" s="109"/>
      <c r="E56" s="110"/>
      <c r="F56" s="108"/>
      <c r="G56" s="109"/>
      <c r="H56" s="109"/>
      <c r="I56" s="110"/>
    </row>
    <row r="57" spans="2:9" ht="15.75" thickBot="1">
      <c r="B57" s="111"/>
      <c r="C57" s="112"/>
      <c r="D57" s="112"/>
      <c r="E57" s="113"/>
      <c r="F57" s="111"/>
      <c r="G57" s="112"/>
      <c r="H57" s="112"/>
      <c r="I57" s="113"/>
    </row>
    <row r="58" spans="2:9">
      <c r="B58" s="80" t="s">
        <v>240</v>
      </c>
      <c r="C58" s="81"/>
      <c r="D58" s="81"/>
      <c r="E58" s="81"/>
      <c r="F58" s="81"/>
      <c r="G58" s="81"/>
      <c r="H58" s="81"/>
      <c r="I58" s="82"/>
    </row>
    <row r="59" spans="2:9">
      <c r="B59" s="33" t="s">
        <v>51</v>
      </c>
      <c r="C59" s="34" t="s">
        <v>52</v>
      </c>
      <c r="D59" s="34" t="s">
        <v>53</v>
      </c>
      <c r="E59" s="34" t="s">
        <v>54</v>
      </c>
      <c r="F59" s="34" t="s">
        <v>55</v>
      </c>
      <c r="G59" s="104" t="s">
        <v>56</v>
      </c>
      <c r="H59" s="104"/>
      <c r="I59" s="105"/>
    </row>
    <row r="60" spans="2:9" ht="30">
      <c r="B60" s="38" cm="1">
        <f t="array" ref="B60">_xlfn.XLOOKUP($H$9,Tabla1[[Nombre Unidad de Estudios]:[Nombre Unidad de Estudios]],Tabla1['# versión],"",0)</f>
        <v>1</v>
      </c>
      <c r="C60" s="41" cm="1">
        <f t="array" ref="C60">_xlfn.XLOOKUP($H$9,Tabla1[[Nombre Unidad de Estudios]:[Nombre Unidad de Estudios]],Tabla1[Fecha],"",0)</f>
        <v>46083</v>
      </c>
      <c r="D60" s="35" t="str" cm="1">
        <f t="array" ref="D60">_xlfn.XLOOKUP($H$9,Tabla1[[Nombre Unidad de Estudios]:[Nombre Unidad de Estudios]],Tabla1[Elaboró],"",0)</f>
        <v>Omar Patiño</v>
      </c>
      <c r="E60" s="35" t="str" cm="1">
        <f t="array" ref="E60">_xlfn.XLOOKUP($H$9,Tabla1[[Nombre Unidad de Estudios]:[Nombre Unidad de Estudios]],Tabla1[Revisó],"",0)</f>
        <v>Juan Carlos Rentería</v>
      </c>
      <c r="F60" s="35" t="str" cm="1">
        <f t="array" ref="F60">_xlfn.XLOOKUP($H$9,Tabla1[[Nombre Unidad de Estudios]:[Nombre Unidad de Estudios]],Tabla1[Aprobó],"",0)</f>
        <v>Comité Curricular</v>
      </c>
      <c r="G60" s="106" t="str" cm="1">
        <f t="array" ref="G60">_xlfn.XLOOKUP($H$9,Tabla1[[Nombre Unidad de Estudios]:[Nombre Unidad de Estudios]],Tabla1[Descripción del cambio],"",0)</f>
        <v>Creación syllabus en nuevo formato</v>
      </c>
      <c r="H60" s="106"/>
      <c r="I60" s="107"/>
    </row>
    <row r="61" spans="2:9">
      <c r="B61" s="38"/>
      <c r="C61" s="35"/>
      <c r="D61" s="35"/>
      <c r="E61" s="35"/>
      <c r="F61" s="35"/>
      <c r="G61" s="106"/>
      <c r="H61" s="106"/>
      <c r="I61" s="107"/>
    </row>
    <row r="62" spans="2:9">
      <c r="B62" s="38"/>
      <c r="C62" s="35"/>
      <c r="D62" s="35"/>
      <c r="E62" s="35"/>
      <c r="F62" s="35"/>
      <c r="G62" s="106"/>
      <c r="H62" s="106"/>
      <c r="I62" s="107"/>
    </row>
    <row r="63" spans="2:9">
      <c r="B63" s="38"/>
      <c r="C63" s="35"/>
      <c r="D63" s="35"/>
      <c r="E63" s="35"/>
      <c r="F63" s="35"/>
      <c r="G63" s="106"/>
      <c r="H63" s="106"/>
      <c r="I63" s="107"/>
    </row>
    <row r="64" spans="2:9">
      <c r="B64" s="38"/>
      <c r="C64" s="35"/>
      <c r="D64" s="35"/>
      <c r="E64" s="35"/>
      <c r="F64" s="35"/>
      <c r="G64" s="106"/>
      <c r="H64" s="106"/>
      <c r="I64" s="107"/>
    </row>
    <row r="65" spans="2:9" ht="15.75" thickBot="1">
      <c r="B65" s="39"/>
      <c r="C65" s="40"/>
      <c r="D65" s="40"/>
      <c r="E65" s="40"/>
      <c r="F65" s="40"/>
      <c r="G65" s="141"/>
      <c r="H65" s="141"/>
      <c r="I65" s="142"/>
    </row>
  </sheetData>
  <mergeCells count="41">
    <mergeCell ref="G65:I65"/>
    <mergeCell ref="G59:I59"/>
    <mergeCell ref="G60:I60"/>
    <mergeCell ref="G61:I61"/>
    <mergeCell ref="G62:I62"/>
    <mergeCell ref="G63:I63"/>
    <mergeCell ref="G64:I64"/>
    <mergeCell ref="B58:I58"/>
    <mergeCell ref="B34:I34"/>
    <mergeCell ref="B35:I36"/>
    <mergeCell ref="B37:I39"/>
    <mergeCell ref="B40:E40"/>
    <mergeCell ref="F40:I40"/>
    <mergeCell ref="B41:E41"/>
    <mergeCell ref="F41:G41"/>
    <mergeCell ref="B42:I42"/>
    <mergeCell ref="B43:E43"/>
    <mergeCell ref="F43:I43"/>
    <mergeCell ref="B44:E57"/>
    <mergeCell ref="F44:I57"/>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K2" display="Menu principal" xr:uid="{00000000-0004-0000-0D00-000000000000}"/>
  </hyperlinks>
  <pageMargins left="0.25" right="0.25" top="0.75" bottom="0.75" header="0.3" footer="0.3"/>
  <pageSetup paperSize="9" scale="72"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Tabla!$H$2:$H$22</xm:f>
          </x14:formula1>
          <xm:sqref>H9:I9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1B5B7-3138-47E9-A22F-E60A60464691}">
  <sheetPr>
    <pageSetUpPr fitToPage="1"/>
  </sheetPr>
  <dimension ref="B1:K65"/>
  <sheetViews>
    <sheetView topLeftCell="A12" workbookViewId="0">
      <selection activeCell="B20" sqref="B20:C33"/>
    </sheetView>
  </sheetViews>
  <sheetFormatPr defaultColWidth="10.85546875" defaultRowHeight="15"/>
  <cols>
    <col min="1" max="1" width="3.140625" style="16" customWidth="1"/>
    <col min="2" max="2" width="14.28515625" style="16" customWidth="1"/>
    <col min="3" max="3" width="11.28515625" style="16" bestFit="1" customWidth="1"/>
    <col min="4" max="4" width="12.28515625" style="16" customWidth="1"/>
    <col min="5" max="5" width="16.28515625" style="16" customWidth="1"/>
    <col min="6" max="6" width="18.42578125" style="16" customWidth="1"/>
    <col min="7" max="7" width="10.85546875" style="16" customWidth="1"/>
    <col min="8" max="8" width="9.85546875" style="16" customWidth="1"/>
    <col min="9" max="9" width="16.7109375" style="16" customWidth="1"/>
    <col min="10" max="10" width="10.85546875" style="16"/>
    <col min="11" max="11" width="16.42578125" style="16" customWidth="1"/>
    <col min="12" max="16384" width="10.85546875" style="16"/>
  </cols>
  <sheetData>
    <row r="1" spans="2:11" ht="15.75" thickBot="1">
      <c r="C1" s="17"/>
      <c r="D1" s="17"/>
      <c r="E1" s="17"/>
      <c r="F1" s="17"/>
      <c r="G1" s="17"/>
      <c r="H1" s="17"/>
    </row>
    <row r="2" spans="2:11" ht="22.5" customHeight="1" thickTop="1">
      <c r="B2" s="10"/>
      <c r="C2" s="8" t="s">
        <v>204</v>
      </c>
      <c r="D2" s="8"/>
      <c r="E2" s="8"/>
      <c r="F2" s="8"/>
      <c r="G2" s="8"/>
      <c r="H2" s="8"/>
      <c r="I2" s="18" t="s">
        <v>205</v>
      </c>
      <c r="K2" s="46" t="s">
        <v>206</v>
      </c>
    </row>
    <row r="3" spans="2:11" ht="20.25" customHeight="1">
      <c r="B3" s="9"/>
      <c r="C3" s="7"/>
      <c r="D3" s="7"/>
      <c r="E3" s="7"/>
      <c r="F3" s="7"/>
      <c r="G3" s="7"/>
      <c r="H3" s="7"/>
      <c r="I3" s="19" t="s">
        <v>207</v>
      </c>
    </row>
    <row r="4" spans="2:11" ht="21" customHeight="1" thickBot="1">
      <c r="B4" s="6" t="s">
        <v>208</v>
      </c>
      <c r="C4" s="5"/>
      <c r="D4" s="5"/>
      <c r="E4" s="5"/>
      <c r="F4" s="5"/>
      <c r="G4" s="5"/>
      <c r="H4" s="5"/>
      <c r="I4" s="20" t="s">
        <v>209</v>
      </c>
    </row>
    <row r="5" spans="2:11" ht="16.5" thickTop="1" thickBot="1">
      <c r="B5" s="4"/>
      <c r="C5" s="4"/>
      <c r="D5" s="4"/>
      <c r="E5" s="4"/>
      <c r="F5" s="4"/>
      <c r="G5" s="4"/>
      <c r="H5" s="4"/>
      <c r="I5" s="4"/>
    </row>
    <row r="6" spans="2:11">
      <c r="B6" s="3" t="s">
        <v>210</v>
      </c>
      <c r="C6" s="2"/>
      <c r="D6" s="2"/>
      <c r="E6" s="2"/>
      <c r="F6" s="2"/>
      <c r="G6" s="2"/>
      <c r="H6" s="2"/>
      <c r="I6" s="1"/>
    </row>
    <row r="7" spans="2:11" ht="60">
      <c r="B7" s="22" t="s">
        <v>29</v>
      </c>
      <c r="C7" s="23" cm="1">
        <f t="array" ref="C7">_xlfn.XLOOKUP($H$9,Tabla1[[Nombre Unidad de Estudios]:[Nombre Unidad de Estudios]],Tabla1[Año],"",0)</f>
        <v>2026</v>
      </c>
      <c r="D7" s="24" t="s">
        <v>211</v>
      </c>
      <c r="E7" s="23" t="str" cm="1">
        <f t="array" ref="E7">_xlfn.XLOOKUP($H$9,Tabla1[[Nombre Unidad de Estudios]:[Nombre Unidad de Estudios]],Tabla1[Código Plan de Estudios],"",0)</f>
        <v>DTPGESBOG002</v>
      </c>
      <c r="F7" s="24" t="s">
        <v>212</v>
      </c>
      <c r="G7" s="23" t="str" cm="1">
        <f t="array" ref="G7">_xlfn.XLOOKUP($H$9,Tabla1[[Nombre Unidad de Estudios]:[Nombre Unidad de Estudios]],Tabla1[Código Unidad de Estudios],"",0)</f>
        <v>ADA01612</v>
      </c>
      <c r="H7" s="24" t="s">
        <v>213</v>
      </c>
      <c r="I7" s="23" t="str" cm="1">
        <f t="array" ref="I7">_xlfn.XLOOKUP($H$9,Tabla1[[Nombre Unidad de Estudios]:[Nombre Unidad de Estudios]],Tabla1[Tipo Unidad de Estudios],"",0)</f>
        <v>Nuclear</v>
      </c>
    </row>
    <row r="8" spans="2:11" ht="30">
      <c r="B8" s="22" t="s">
        <v>33</v>
      </c>
      <c r="C8" s="25" t="s">
        <v>60</v>
      </c>
      <c r="D8" s="35" t="s">
        <v>214</v>
      </c>
      <c r="E8" s="25" t="s">
        <v>215</v>
      </c>
      <c r="F8" s="24"/>
      <c r="G8" s="24" t="s">
        <v>216</v>
      </c>
      <c r="H8" s="12"/>
      <c r="I8" s="11"/>
    </row>
    <row r="9" spans="2:11" ht="45">
      <c r="B9" s="26" t="s">
        <v>217</v>
      </c>
      <c r="C9" s="23" t="str" cm="1">
        <f t="array" ref="C9">_xlfn.XLOOKUP($H$9,Tabla1[[Nombre Unidad de Estudios]:[Nombre Unidad de Estudios]],Tabla1[Nivel],"",0)</f>
        <v>Doctorado</v>
      </c>
      <c r="D9" s="25" t="s">
        <v>218</v>
      </c>
      <c r="E9" s="78" t="str" cm="1">
        <f t="array" ref="E9">_xlfn.XLOOKUP($H$9,Tabla1[[Nombre Unidad de Estudios]:[Nombre Unidad de Estudios]],Tabla1[Programa],"",0)</f>
        <v>Doctorado En Gestión</v>
      </c>
      <c r="F9" s="78"/>
      <c r="G9" s="24" t="s">
        <v>219</v>
      </c>
      <c r="H9" s="78" t="s">
        <v>14</v>
      </c>
      <c r="I9" s="79"/>
    </row>
    <row r="10" spans="2:11" ht="30.75" thickBot="1">
      <c r="B10" s="27" t="s">
        <v>37</v>
      </c>
      <c r="C10" s="28" cm="1">
        <f t="array" ref="C10">_xlfn.XLOOKUP($H$9,Tabla1[[Nombre Unidad de Estudios]:[Nombre Unidad de Estudios]],Tabla1[Créditos Académicos],"",0)</f>
        <v>3</v>
      </c>
      <c r="D10" s="29" t="s">
        <v>220</v>
      </c>
      <c r="E10" s="28" cm="1">
        <f t="array" ref="E10">_xlfn.XLOOKUP($H$9,Tabla1[[Nombre Unidad de Estudios]:[Nombre Unidad de Estudios]],Tabla1[Horas de Acompañamiento Directo '[HAD']],"",0)</f>
        <v>36</v>
      </c>
      <c r="F10" s="29" t="s">
        <v>221</v>
      </c>
      <c r="G10" s="28" cm="1">
        <f t="array" ref="G10">_xlfn.XLOOKUP($H$9,Tabla1[[Nombre Unidad de Estudios]:[Nombre Unidad de Estudios]],Tabla1[Horas de Trabajo Autónomo '[HTA']],"",0)</f>
        <v>108</v>
      </c>
      <c r="H10" s="29" t="s">
        <v>222</v>
      </c>
      <c r="I10" s="30">
        <f>E10+G10</f>
        <v>144</v>
      </c>
    </row>
    <row r="11" spans="2:11">
      <c r="B11" s="80" t="s">
        <v>223</v>
      </c>
      <c r="C11" s="81"/>
      <c r="D11" s="81"/>
      <c r="E11" s="81"/>
      <c r="F11" s="81"/>
      <c r="G11" s="81"/>
      <c r="H11" s="81"/>
      <c r="I11" s="82"/>
    </row>
    <row r="12" spans="2:11" ht="76.5" customHeight="1">
      <c r="B12" s="83" t="s">
        <v>224</v>
      </c>
      <c r="C12" s="84"/>
      <c r="D12" s="85" t="str" cm="1">
        <f t="array" ref="D12">_xlfn.XLOOKUP($H$9,Tabla1[[Nombre Unidad de Estudios]:[Nombre Unidad de Estudios]],Tabla1[Descripción de la Unidad de Estudios],"",0)</f>
        <v>La investigación se divide en diferentes áreas y una de ellas es la planeación del proyecto, incluyendo la identificación de los sujetos de la investigación, el tipo de muestra y la herramienta de obtención de datos más adecuada.</v>
      </c>
      <c r="E12" s="86"/>
      <c r="F12" s="86"/>
      <c r="G12" s="86"/>
      <c r="H12" s="86"/>
      <c r="I12" s="87"/>
    </row>
    <row r="13" spans="2:11" ht="66" customHeight="1" thickBot="1">
      <c r="B13" s="88" t="s">
        <v>225</v>
      </c>
      <c r="C13" s="89"/>
      <c r="D13" s="90" t="str" cm="1">
        <f t="array" ref="D13">_xlfn.XLOOKUP($H$9,Tabla1[[Nombre Unidad de Estudios]:[Nombre Unidad de Estudios]],Tabla1[Resultado de Aprendizaje de la Unidad de Estudios],"",0)</f>
        <v>Desarrolla competencias investigativas en lo relacionado con los métodos cualitativos y cuantitativos aplicados al proyecto de tesis doctoral, para identificar qué tipo de muestra y qué herramienta de obtención de datos deberá emplear en su investigación.</v>
      </c>
      <c r="E13" s="91"/>
      <c r="F13" s="91"/>
      <c r="G13" s="91"/>
      <c r="H13" s="91"/>
      <c r="I13" s="92"/>
    </row>
    <row r="14" spans="2:11">
      <c r="B14" s="80" t="s">
        <v>226</v>
      </c>
      <c r="C14" s="81"/>
      <c r="D14" s="81"/>
      <c r="E14" s="81"/>
      <c r="F14" s="81"/>
      <c r="G14" s="81"/>
      <c r="H14" s="81"/>
      <c r="I14" s="82"/>
    </row>
    <row r="15" spans="2:11">
      <c r="B15" s="93" t="s">
        <v>227</v>
      </c>
      <c r="C15" s="78"/>
      <c r="D15" s="78"/>
      <c r="E15" s="78"/>
      <c r="F15" s="78"/>
      <c r="G15" s="78"/>
      <c r="H15" s="78"/>
      <c r="I15" s="79"/>
    </row>
    <row r="16" spans="2:11">
      <c r="B16" s="93"/>
      <c r="C16" s="78"/>
      <c r="D16" s="78"/>
      <c r="E16" s="78"/>
      <c r="F16" s="78"/>
      <c r="G16" s="78"/>
      <c r="H16" s="78"/>
      <c r="I16" s="79"/>
    </row>
    <row r="17" spans="2:9" ht="15.75" thickBot="1">
      <c r="B17" s="94"/>
      <c r="C17" s="95"/>
      <c r="D17" s="95"/>
      <c r="E17" s="95"/>
      <c r="F17" s="95"/>
      <c r="G17" s="95"/>
      <c r="H17" s="95"/>
      <c r="I17" s="96"/>
    </row>
    <row r="18" spans="2:9" ht="15.75" thickBot="1">
      <c r="B18" s="97" t="s">
        <v>228</v>
      </c>
      <c r="C18" s="98"/>
      <c r="D18" s="98"/>
      <c r="E18" s="98"/>
      <c r="F18" s="98"/>
      <c r="G18" s="98"/>
      <c r="H18" s="98"/>
      <c r="I18" s="99"/>
    </row>
    <row r="19" spans="2:9">
      <c r="B19" s="21" t="s">
        <v>44</v>
      </c>
      <c r="C19" s="43" t="str" cm="1">
        <f t="array" ref="C19">_xlfn.XLOOKUP($H$9,Tabla1[[Nombre Unidad de Estudios]:[Nombre Unidad de Estudios]],Tabla1[Módulo],"",0)</f>
        <v>6 semanas</v>
      </c>
      <c r="D19" s="21" t="s">
        <v>229</v>
      </c>
      <c r="E19" s="143" t="s">
        <v>230</v>
      </c>
      <c r="F19" s="144"/>
      <c r="G19" s="31" t="s">
        <v>231</v>
      </c>
      <c r="H19" s="145" t="s">
        <v>232</v>
      </c>
      <c r="I19" s="146"/>
    </row>
    <row r="20" spans="2:9">
      <c r="B20" s="13" t="str" cm="1">
        <f t="array" ref="B20">_xlfn.XLOOKUP($H$9,Tabla1[[Nombre Unidad de Estudios]:[Nombre Unidad de Estudios]],Tabla1[Contenidos Unidad de Estudios],"",0)</f>
        <v>Introducción a los métodos de investigación.
Fundamentos epistemológicos, ontológicos y axiológicos para la investigación científica en ciencias de la gestión.
La importancia de las decisiones relacionadas con los métodos de investigación.</v>
      </c>
      <c r="C20" s="55"/>
      <c r="D20" s="60"/>
      <c r="E20" s="61"/>
      <c r="F20" s="62"/>
      <c r="G20" s="69"/>
      <c r="H20" s="70"/>
      <c r="I20" s="71"/>
    </row>
    <row r="21" spans="2:9">
      <c r="B21" s="56"/>
      <c r="C21" s="57"/>
      <c r="D21" s="63"/>
      <c r="E21" s="64"/>
      <c r="F21" s="65"/>
      <c r="G21" s="72"/>
      <c r="H21" s="73"/>
      <c r="I21" s="74"/>
    </row>
    <row r="22" spans="2:9">
      <c r="B22" s="56"/>
      <c r="C22" s="57"/>
      <c r="D22" s="63"/>
      <c r="E22" s="64"/>
      <c r="F22" s="65"/>
      <c r="G22" s="72"/>
      <c r="H22" s="73"/>
      <c r="I22" s="74"/>
    </row>
    <row r="23" spans="2:9">
      <c r="B23" s="56"/>
      <c r="C23" s="57"/>
      <c r="D23" s="63"/>
      <c r="E23" s="64"/>
      <c r="F23" s="65"/>
      <c r="G23" s="72"/>
      <c r="H23" s="73"/>
      <c r="I23" s="74"/>
    </row>
    <row r="24" spans="2:9">
      <c r="B24" s="56"/>
      <c r="C24" s="57"/>
      <c r="D24" s="63"/>
      <c r="E24" s="64"/>
      <c r="F24" s="65"/>
      <c r="G24" s="72"/>
      <c r="H24" s="73"/>
      <c r="I24" s="74"/>
    </row>
    <row r="25" spans="2:9">
      <c r="B25" s="56"/>
      <c r="C25" s="57"/>
      <c r="D25" s="63"/>
      <c r="E25" s="64"/>
      <c r="F25" s="65"/>
      <c r="G25" s="72"/>
      <c r="H25" s="73"/>
      <c r="I25" s="74"/>
    </row>
    <row r="26" spans="2:9">
      <c r="B26" s="56"/>
      <c r="C26" s="57"/>
      <c r="D26" s="63"/>
      <c r="E26" s="64"/>
      <c r="F26" s="65"/>
      <c r="G26" s="72"/>
      <c r="H26" s="73"/>
      <c r="I26" s="74"/>
    </row>
    <row r="27" spans="2:9">
      <c r="B27" s="56"/>
      <c r="C27" s="57"/>
      <c r="D27" s="63"/>
      <c r="E27" s="64"/>
      <c r="F27" s="65"/>
      <c r="G27" s="72"/>
      <c r="H27" s="73"/>
      <c r="I27" s="74"/>
    </row>
    <row r="28" spans="2:9">
      <c r="B28" s="56"/>
      <c r="C28" s="57"/>
      <c r="D28" s="63"/>
      <c r="E28" s="64"/>
      <c r="F28" s="65"/>
      <c r="G28" s="72"/>
      <c r="H28" s="73"/>
      <c r="I28" s="74"/>
    </row>
    <row r="29" spans="2:9">
      <c r="B29" s="56"/>
      <c r="C29" s="57"/>
      <c r="D29" s="63"/>
      <c r="E29" s="64"/>
      <c r="F29" s="65"/>
      <c r="G29" s="72"/>
      <c r="H29" s="73"/>
      <c r="I29" s="74"/>
    </row>
    <row r="30" spans="2:9">
      <c r="B30" s="56"/>
      <c r="C30" s="57"/>
      <c r="D30" s="63"/>
      <c r="E30" s="64"/>
      <c r="F30" s="65"/>
      <c r="G30" s="72"/>
      <c r="H30" s="73"/>
      <c r="I30" s="74"/>
    </row>
    <row r="31" spans="2:9">
      <c r="B31" s="56"/>
      <c r="C31" s="57"/>
      <c r="D31" s="63"/>
      <c r="E31" s="64"/>
      <c r="F31" s="65"/>
      <c r="G31" s="72"/>
      <c r="H31" s="73"/>
      <c r="I31" s="74"/>
    </row>
    <row r="32" spans="2:9">
      <c r="B32" s="56"/>
      <c r="C32" s="57"/>
      <c r="D32" s="63"/>
      <c r="E32" s="64"/>
      <c r="F32" s="65"/>
      <c r="G32" s="72"/>
      <c r="H32" s="73"/>
      <c r="I32" s="74"/>
    </row>
    <row r="33" spans="2:9" ht="15.75" thickBot="1">
      <c r="B33" s="58"/>
      <c r="C33" s="59"/>
      <c r="D33" s="66"/>
      <c r="E33" s="67"/>
      <c r="F33" s="68"/>
      <c r="G33" s="75"/>
      <c r="H33" s="76"/>
      <c r="I33" s="77"/>
    </row>
    <row r="34" spans="2:9" ht="15.75" thickBot="1">
      <c r="B34" s="114" t="s">
        <v>233</v>
      </c>
      <c r="C34" s="115"/>
      <c r="D34" s="115"/>
      <c r="E34" s="115"/>
      <c r="F34" s="115"/>
      <c r="G34" s="115"/>
      <c r="H34" s="115"/>
      <c r="I34" s="116"/>
    </row>
    <row r="35" spans="2:9" ht="14.45" customHeight="1">
      <c r="B35" s="126" t="s">
        <v>234</v>
      </c>
      <c r="C35" s="127"/>
      <c r="D35" s="127"/>
      <c r="E35" s="127"/>
      <c r="F35" s="127"/>
      <c r="G35" s="127"/>
      <c r="H35" s="127"/>
      <c r="I35" s="128"/>
    </row>
    <row r="36" spans="2:9">
      <c r="B36" s="129"/>
      <c r="C36" s="130"/>
      <c r="D36" s="130"/>
      <c r="E36" s="130"/>
      <c r="F36" s="130"/>
      <c r="G36" s="130"/>
      <c r="H36" s="130"/>
      <c r="I36" s="131"/>
    </row>
    <row r="37" spans="2:9">
      <c r="B37" s="132" t="str" cm="1">
        <f t="array" ref="B37">_xlfn.XLOOKUP($H$9,Tabla1[[Nombre Unidad de Estudios]:[Nombre Unidad de Estudios]],Tabla1[Esquema de Calificación],"",0)</f>
        <v>30% Taller 1.
30% Taller 2.
40% Plan metodológico para la tesis.</v>
      </c>
      <c r="C37" s="133"/>
      <c r="D37" s="133"/>
      <c r="E37" s="133"/>
      <c r="F37" s="133"/>
      <c r="G37" s="133"/>
      <c r="H37" s="133"/>
      <c r="I37" s="134"/>
    </row>
    <row r="38" spans="2:9">
      <c r="B38" s="132"/>
      <c r="C38" s="133"/>
      <c r="D38" s="133"/>
      <c r="E38" s="133"/>
      <c r="F38" s="133"/>
      <c r="G38" s="133"/>
      <c r="H38" s="133"/>
      <c r="I38" s="134"/>
    </row>
    <row r="39" spans="2:9" ht="15.75" thickBot="1">
      <c r="B39" s="135"/>
      <c r="C39" s="136"/>
      <c r="D39" s="136"/>
      <c r="E39" s="136"/>
      <c r="F39" s="136"/>
      <c r="G39" s="136"/>
      <c r="H39" s="136"/>
      <c r="I39" s="137"/>
    </row>
    <row r="40" spans="2:9" ht="34.5" customHeight="1" thickBot="1">
      <c r="B40" s="117" t="s">
        <v>235</v>
      </c>
      <c r="C40" s="118"/>
      <c r="D40" s="118"/>
      <c r="E40" s="119"/>
      <c r="F40" s="120" t="str" cm="1">
        <f t="array" ref="F40">_xlfn.XLOOKUP($H$9,Tabla1[[Nombre Unidad de Estudios]:[Nombre Unidad de Estudios]],Tabla1[Recursos Tecnológicos],"",0)</f>
        <v>Base de datos; Material bibliográfico; Plataforma virtual; Software SPSS / Nvivo</v>
      </c>
      <c r="G40" s="121"/>
      <c r="H40" s="121"/>
      <c r="I40" s="122"/>
    </row>
    <row r="41" spans="2:9" ht="15.75" thickBot="1">
      <c r="B41" s="123" t="s">
        <v>236</v>
      </c>
      <c r="C41" s="124"/>
      <c r="D41" s="124"/>
      <c r="E41" s="124"/>
      <c r="F41" s="125" t="str" cm="1">
        <f t="array" ref="F41">_xlfn.XLOOKUP($H$9,Tabla1[[Nombre Unidad de Estudios]:[Nombre Unidad de Estudios]],Tabla1[Componente de Lengua Extranjera '[Idioma']],"",0)</f>
        <v>Inglés</v>
      </c>
      <c r="G41" s="125"/>
      <c r="H41" s="32" t="s">
        <v>237</v>
      </c>
      <c r="I41" s="36" cm="1">
        <f t="array" ref="I41">_xlfn.XLOOKUP($H$9,Tabla1[[Nombre Unidad de Estudios]:[Nombre Unidad de Estudios]],Tabla1[Componente de Lengua Extranjera '[%']],"",0)</f>
        <v>0.5</v>
      </c>
    </row>
    <row r="42" spans="2:9">
      <c r="B42" s="80" t="s">
        <v>238</v>
      </c>
      <c r="C42" s="81"/>
      <c r="D42" s="81"/>
      <c r="E42" s="81"/>
      <c r="F42" s="81"/>
      <c r="G42" s="81"/>
      <c r="H42" s="81"/>
      <c r="I42" s="82"/>
    </row>
    <row r="43" spans="2:9" ht="14.45" customHeight="1">
      <c r="B43" s="138" t="s">
        <v>49</v>
      </c>
      <c r="C43" s="139"/>
      <c r="D43" s="139"/>
      <c r="E43" s="140"/>
      <c r="F43" s="138" t="s">
        <v>239</v>
      </c>
      <c r="G43" s="139"/>
      <c r="H43" s="139"/>
      <c r="I43" s="140"/>
    </row>
    <row r="44" spans="2:9">
      <c r="B44" s="108" t="str" cm="1">
        <f t="array" ref="B44">_xlfn.XLOOKUP($H$9,Tabla1[[Nombre Unidad de Estudios]:[Nombre Unidad de Estudios]],Tabla1[Bibliografía Obligatoria],"",0)</f>
        <v>Bell, C. y French, W. (1995). Desarrollo Organizacional. Prentice-Hall Hispanoamericana.
Bernal Torres, C. A. (2000). Metodología de la Investigación para Administración y Economía. Pearson.
Bejarano A., J. A. (1996). Sobre la Investigación y la Consultoría Económica: Fragmentos de un Proyecto. Innovar, (8).</v>
      </c>
      <c r="C44" s="109"/>
      <c r="D44" s="109"/>
      <c r="E44" s="110"/>
      <c r="F44" s="108" t="str" cm="1">
        <f t="array" ref="F44">_xlfn.XLOOKUP($H$9,Tabla1[[Nombre Unidad de Estudios]:[Nombre Unidad de Estudios]],Tabla1[Bibliografia Complementaria],"",0)</f>
        <v>Jordan, P. J. y Troth, A. C. (2020). Common method bias in applied settings. Australian Journal of Management, 45(1), 3-14. https://doi.org/10.1177/0312896219871976
Kuhn, T. S. (2005). La estructura de las revoluciones científicas. Fondo de Cultura Económica.
Lakatos, I. (1993). La metodología de los Programas de investigación científica. Alianza.</v>
      </c>
      <c r="G44" s="109"/>
      <c r="H44" s="109"/>
      <c r="I44" s="110"/>
    </row>
    <row r="45" spans="2:9">
      <c r="B45" s="108"/>
      <c r="C45" s="109"/>
      <c r="D45" s="109"/>
      <c r="E45" s="110"/>
      <c r="F45" s="108"/>
      <c r="G45" s="109"/>
      <c r="H45" s="109"/>
      <c r="I45" s="110"/>
    </row>
    <row r="46" spans="2:9">
      <c r="B46" s="108"/>
      <c r="C46" s="109"/>
      <c r="D46" s="109"/>
      <c r="E46" s="110"/>
      <c r="F46" s="108"/>
      <c r="G46" s="109"/>
      <c r="H46" s="109"/>
      <c r="I46" s="110"/>
    </row>
    <row r="47" spans="2:9">
      <c r="B47" s="108"/>
      <c r="C47" s="109"/>
      <c r="D47" s="109"/>
      <c r="E47" s="110"/>
      <c r="F47" s="108"/>
      <c r="G47" s="109"/>
      <c r="H47" s="109"/>
      <c r="I47" s="110"/>
    </row>
    <row r="48" spans="2:9">
      <c r="B48" s="108"/>
      <c r="C48" s="109"/>
      <c r="D48" s="109"/>
      <c r="E48" s="110"/>
      <c r="F48" s="108"/>
      <c r="G48" s="109"/>
      <c r="H48" s="109"/>
      <c r="I48" s="110"/>
    </row>
    <row r="49" spans="2:9">
      <c r="B49" s="108"/>
      <c r="C49" s="109"/>
      <c r="D49" s="109"/>
      <c r="E49" s="110"/>
      <c r="F49" s="108"/>
      <c r="G49" s="109"/>
      <c r="H49" s="109"/>
      <c r="I49" s="110"/>
    </row>
    <row r="50" spans="2:9">
      <c r="B50" s="108"/>
      <c r="C50" s="109"/>
      <c r="D50" s="109"/>
      <c r="E50" s="110"/>
      <c r="F50" s="108"/>
      <c r="G50" s="109"/>
      <c r="H50" s="109"/>
      <c r="I50" s="110"/>
    </row>
    <row r="51" spans="2:9">
      <c r="B51" s="108"/>
      <c r="C51" s="109"/>
      <c r="D51" s="109"/>
      <c r="E51" s="110"/>
      <c r="F51" s="108"/>
      <c r="G51" s="109"/>
      <c r="H51" s="109"/>
      <c r="I51" s="110"/>
    </row>
    <row r="52" spans="2:9">
      <c r="B52" s="108"/>
      <c r="C52" s="109"/>
      <c r="D52" s="109"/>
      <c r="E52" s="110"/>
      <c r="F52" s="108"/>
      <c r="G52" s="109"/>
      <c r="H52" s="109"/>
      <c r="I52" s="110"/>
    </row>
    <row r="53" spans="2:9">
      <c r="B53" s="108"/>
      <c r="C53" s="109"/>
      <c r="D53" s="109"/>
      <c r="E53" s="110"/>
      <c r="F53" s="108"/>
      <c r="G53" s="109"/>
      <c r="H53" s="109"/>
      <c r="I53" s="110"/>
    </row>
    <row r="54" spans="2:9">
      <c r="B54" s="108"/>
      <c r="C54" s="109"/>
      <c r="D54" s="109"/>
      <c r="E54" s="110"/>
      <c r="F54" s="108"/>
      <c r="G54" s="109"/>
      <c r="H54" s="109"/>
      <c r="I54" s="110"/>
    </row>
    <row r="55" spans="2:9">
      <c r="B55" s="108"/>
      <c r="C55" s="109"/>
      <c r="D55" s="109"/>
      <c r="E55" s="110"/>
      <c r="F55" s="108"/>
      <c r="G55" s="109"/>
      <c r="H55" s="109"/>
      <c r="I55" s="110"/>
    </row>
    <row r="56" spans="2:9">
      <c r="B56" s="108"/>
      <c r="C56" s="109"/>
      <c r="D56" s="109"/>
      <c r="E56" s="110"/>
      <c r="F56" s="108"/>
      <c r="G56" s="109"/>
      <c r="H56" s="109"/>
      <c r="I56" s="110"/>
    </row>
    <row r="57" spans="2:9" ht="15.75" thickBot="1">
      <c r="B57" s="111"/>
      <c r="C57" s="112"/>
      <c r="D57" s="112"/>
      <c r="E57" s="113"/>
      <c r="F57" s="111"/>
      <c r="G57" s="112"/>
      <c r="H57" s="112"/>
      <c r="I57" s="113"/>
    </row>
    <row r="58" spans="2:9">
      <c r="B58" s="80" t="s">
        <v>240</v>
      </c>
      <c r="C58" s="81"/>
      <c r="D58" s="81"/>
      <c r="E58" s="81"/>
      <c r="F58" s="81"/>
      <c r="G58" s="81"/>
      <c r="H58" s="81"/>
      <c r="I58" s="82"/>
    </row>
    <row r="59" spans="2:9">
      <c r="B59" s="33" t="s">
        <v>51</v>
      </c>
      <c r="C59" s="34" t="s">
        <v>52</v>
      </c>
      <c r="D59" s="34" t="s">
        <v>53</v>
      </c>
      <c r="E59" s="34" t="s">
        <v>54</v>
      </c>
      <c r="F59" s="34" t="s">
        <v>55</v>
      </c>
      <c r="G59" s="104" t="s">
        <v>56</v>
      </c>
      <c r="H59" s="104"/>
      <c r="I59" s="105"/>
    </row>
    <row r="60" spans="2:9" ht="30">
      <c r="B60" s="38" cm="1">
        <f t="array" ref="B60">_xlfn.XLOOKUP($H$9,Tabla1[[Nombre Unidad de Estudios]:[Nombre Unidad de Estudios]],Tabla1['# versión],"",0)</f>
        <v>1</v>
      </c>
      <c r="C60" s="41" cm="1">
        <f t="array" ref="C60">_xlfn.XLOOKUP($H$9,Tabla1[[Nombre Unidad de Estudios]:[Nombre Unidad de Estudios]],Tabla1[Fecha],"",0)</f>
        <v>46083</v>
      </c>
      <c r="D60" s="35" t="str" cm="1">
        <f t="array" ref="D60">_xlfn.XLOOKUP($H$9,Tabla1[[Nombre Unidad de Estudios]:[Nombre Unidad de Estudios]],Tabla1[Elaboró],"",0)</f>
        <v>Omar Patiño</v>
      </c>
      <c r="E60" s="35" t="str" cm="1">
        <f t="array" ref="E60">_xlfn.XLOOKUP($H$9,Tabla1[[Nombre Unidad de Estudios]:[Nombre Unidad de Estudios]],Tabla1[Revisó],"",0)</f>
        <v>Juan Carlos Rentería</v>
      </c>
      <c r="F60" s="35" t="str" cm="1">
        <f t="array" ref="F60">_xlfn.XLOOKUP($H$9,Tabla1[[Nombre Unidad de Estudios]:[Nombre Unidad de Estudios]],Tabla1[Aprobó],"",0)</f>
        <v>Comité Curricular</v>
      </c>
      <c r="G60" s="106" t="str" cm="1">
        <f t="array" ref="G60">_xlfn.XLOOKUP($H$9,Tabla1[[Nombre Unidad de Estudios]:[Nombre Unidad de Estudios]],Tabla1[Descripción del cambio],"",0)</f>
        <v>Creación syllabus en nuevo formato</v>
      </c>
      <c r="H60" s="106"/>
      <c r="I60" s="107"/>
    </row>
    <row r="61" spans="2:9">
      <c r="B61" s="38"/>
      <c r="C61" s="35"/>
      <c r="D61" s="35"/>
      <c r="E61" s="35"/>
      <c r="F61" s="35"/>
      <c r="G61" s="106"/>
      <c r="H61" s="106"/>
      <c r="I61" s="107"/>
    </row>
    <row r="62" spans="2:9">
      <c r="B62" s="38"/>
      <c r="C62" s="35"/>
      <c r="D62" s="35"/>
      <c r="E62" s="35"/>
      <c r="F62" s="35"/>
      <c r="G62" s="106"/>
      <c r="H62" s="106"/>
      <c r="I62" s="107"/>
    </row>
    <row r="63" spans="2:9">
      <c r="B63" s="38"/>
      <c r="C63" s="35"/>
      <c r="D63" s="35"/>
      <c r="E63" s="35"/>
      <c r="F63" s="35"/>
      <c r="G63" s="106"/>
      <c r="H63" s="106"/>
      <c r="I63" s="107"/>
    </row>
    <row r="64" spans="2:9">
      <c r="B64" s="38"/>
      <c r="C64" s="35"/>
      <c r="D64" s="35"/>
      <c r="E64" s="35"/>
      <c r="F64" s="35"/>
      <c r="G64" s="106"/>
      <c r="H64" s="106"/>
      <c r="I64" s="107"/>
    </row>
    <row r="65" spans="2:9" ht="15.75" thickBot="1">
      <c r="B65" s="39"/>
      <c r="C65" s="40"/>
      <c r="D65" s="40"/>
      <c r="E65" s="40"/>
      <c r="F65" s="40"/>
      <c r="G65" s="141"/>
      <c r="H65" s="141"/>
      <c r="I65" s="142"/>
    </row>
  </sheetData>
  <mergeCells count="41">
    <mergeCell ref="G65:I65"/>
    <mergeCell ref="G59:I59"/>
    <mergeCell ref="G60:I60"/>
    <mergeCell ref="G61:I61"/>
    <mergeCell ref="G62:I62"/>
    <mergeCell ref="G63:I63"/>
    <mergeCell ref="G64:I64"/>
    <mergeCell ref="B58:I58"/>
    <mergeCell ref="B34:I34"/>
    <mergeCell ref="B35:I36"/>
    <mergeCell ref="B37:I39"/>
    <mergeCell ref="B40:E40"/>
    <mergeCell ref="F40:I40"/>
    <mergeCell ref="B41:E41"/>
    <mergeCell ref="F41:G41"/>
    <mergeCell ref="B42:I42"/>
    <mergeCell ref="B43:E43"/>
    <mergeCell ref="F43:I43"/>
    <mergeCell ref="B44:E57"/>
    <mergeCell ref="F44:I57"/>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K2" display="Menu principal" xr:uid="{00000000-0004-0000-0E00-000000000000}"/>
  </hyperlinks>
  <pageMargins left="0.25" right="0.25" top="0.75" bottom="0.75" header="0.3" footer="0.3"/>
  <pageSetup paperSize="9" scale="72"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Tabla!$H$2:$H$22</xm:f>
          </x14:formula1>
          <xm:sqref>H9:I9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C3AD7-585E-44F3-BB6E-D292B21B83FD}">
  <sheetPr>
    <pageSetUpPr fitToPage="1"/>
  </sheetPr>
  <dimension ref="B1:K65"/>
  <sheetViews>
    <sheetView workbookViewId="0">
      <selection activeCell="F44" sqref="F44:I57"/>
    </sheetView>
  </sheetViews>
  <sheetFormatPr defaultColWidth="10.85546875" defaultRowHeight="15"/>
  <cols>
    <col min="1" max="1" width="3.140625" style="16" customWidth="1"/>
    <col min="2" max="2" width="14.28515625" style="16" customWidth="1"/>
    <col min="3" max="3" width="11.28515625" style="16" bestFit="1" customWidth="1"/>
    <col min="4" max="4" width="12.28515625" style="16" customWidth="1"/>
    <col min="5" max="5" width="16.28515625" style="16" customWidth="1"/>
    <col min="6" max="6" width="18.42578125" style="16" customWidth="1"/>
    <col min="7" max="7" width="10.85546875" style="16" customWidth="1"/>
    <col min="8" max="8" width="9.85546875" style="16" customWidth="1"/>
    <col min="9" max="9" width="16.7109375" style="16" customWidth="1"/>
    <col min="10" max="10" width="10.85546875" style="16"/>
    <col min="11" max="11" width="16.42578125" style="16" customWidth="1"/>
    <col min="12" max="16384" width="10.85546875" style="16"/>
  </cols>
  <sheetData>
    <row r="1" spans="2:11" ht="15.75" thickBot="1">
      <c r="C1" s="17"/>
      <c r="D1" s="17"/>
      <c r="E1" s="17"/>
      <c r="F1" s="17"/>
      <c r="G1" s="17"/>
      <c r="H1" s="17"/>
    </row>
    <row r="2" spans="2:11" ht="22.5" customHeight="1" thickTop="1">
      <c r="B2" s="10"/>
      <c r="C2" s="8" t="s">
        <v>204</v>
      </c>
      <c r="D2" s="8"/>
      <c r="E2" s="8"/>
      <c r="F2" s="8"/>
      <c r="G2" s="8"/>
      <c r="H2" s="8"/>
      <c r="I2" s="18" t="s">
        <v>205</v>
      </c>
      <c r="K2" s="46" t="s">
        <v>206</v>
      </c>
    </row>
    <row r="3" spans="2:11" ht="20.25" customHeight="1">
      <c r="B3" s="9"/>
      <c r="C3" s="7"/>
      <c r="D3" s="7"/>
      <c r="E3" s="7"/>
      <c r="F3" s="7"/>
      <c r="G3" s="7"/>
      <c r="H3" s="7"/>
      <c r="I3" s="19" t="s">
        <v>207</v>
      </c>
    </row>
    <row r="4" spans="2:11" ht="21" customHeight="1" thickBot="1">
      <c r="B4" s="6" t="s">
        <v>208</v>
      </c>
      <c r="C4" s="5"/>
      <c r="D4" s="5"/>
      <c r="E4" s="5"/>
      <c r="F4" s="5"/>
      <c r="G4" s="5"/>
      <c r="H4" s="5"/>
      <c r="I4" s="20" t="s">
        <v>209</v>
      </c>
    </row>
    <row r="5" spans="2:11" ht="16.5" thickTop="1" thickBot="1">
      <c r="B5" s="4"/>
      <c r="C5" s="4"/>
      <c r="D5" s="4"/>
      <c r="E5" s="4"/>
      <c r="F5" s="4"/>
      <c r="G5" s="4"/>
      <c r="H5" s="4"/>
      <c r="I5" s="4"/>
    </row>
    <row r="6" spans="2:11">
      <c r="B6" s="3" t="s">
        <v>210</v>
      </c>
      <c r="C6" s="2"/>
      <c r="D6" s="2"/>
      <c r="E6" s="2"/>
      <c r="F6" s="2"/>
      <c r="G6" s="2"/>
      <c r="H6" s="2"/>
      <c r="I6" s="1"/>
    </row>
    <row r="7" spans="2:11" ht="60">
      <c r="B7" s="22" t="s">
        <v>29</v>
      </c>
      <c r="C7" s="23" cm="1">
        <f t="array" ref="C7">_xlfn.XLOOKUP($H$9,Tabla1[[Nombre Unidad de Estudios]:[Nombre Unidad de Estudios]],Tabla1[Año],"",0)</f>
        <v>2026</v>
      </c>
      <c r="D7" s="24" t="s">
        <v>211</v>
      </c>
      <c r="E7" s="23" t="str" cm="1">
        <f t="array" ref="E7">_xlfn.XLOOKUP($H$9,Tabla1[[Nombre Unidad de Estudios]:[Nombre Unidad de Estudios]],Tabla1[Código Plan de Estudios],"",0)</f>
        <v>DTPGESBOG002</v>
      </c>
      <c r="F7" s="24" t="s">
        <v>212</v>
      </c>
      <c r="G7" s="23" t="str" cm="1">
        <f t="array" ref="G7">_xlfn.XLOOKUP($H$9,Tabla1[[Nombre Unidad de Estudios]:[Nombre Unidad de Estudios]],Tabla1[Código Unidad de Estudios],"",0)</f>
        <v>ADA01620</v>
      </c>
      <c r="H7" s="24" t="s">
        <v>213</v>
      </c>
      <c r="I7" s="23" t="str" cm="1">
        <f t="array" ref="I7">_xlfn.XLOOKUP($H$9,Tabla1[[Nombre Unidad de Estudios]:[Nombre Unidad de Estudios]],Tabla1[Tipo Unidad de Estudios],"",0)</f>
        <v>Nuclear</v>
      </c>
    </row>
    <row r="8" spans="2:11" ht="30">
      <c r="B8" s="22" t="s">
        <v>33</v>
      </c>
      <c r="C8" s="25" t="s">
        <v>60</v>
      </c>
      <c r="D8" s="35" t="s">
        <v>214</v>
      </c>
      <c r="E8" s="25" t="s">
        <v>215</v>
      </c>
      <c r="F8" s="24"/>
      <c r="G8" s="24" t="s">
        <v>216</v>
      </c>
      <c r="H8" s="12"/>
      <c r="I8" s="11"/>
    </row>
    <row r="9" spans="2:11" ht="45">
      <c r="B9" s="26" t="s">
        <v>217</v>
      </c>
      <c r="C9" s="23" t="str" cm="1">
        <f t="array" ref="C9">_xlfn.XLOOKUP($H$9,Tabla1[[Nombre Unidad de Estudios]:[Nombre Unidad de Estudios]],Tabla1[Nivel],"",0)</f>
        <v>Doctorado</v>
      </c>
      <c r="D9" s="25" t="s">
        <v>218</v>
      </c>
      <c r="E9" s="78" t="str" cm="1">
        <f t="array" ref="E9">_xlfn.XLOOKUP($H$9,Tabla1[[Nombre Unidad de Estudios]:[Nombre Unidad de Estudios]],Tabla1[Programa],"",0)</f>
        <v>Doctorado En Gestión</v>
      </c>
      <c r="F9" s="78"/>
      <c r="G9" s="24" t="s">
        <v>219</v>
      </c>
      <c r="H9" s="78" t="s">
        <v>15</v>
      </c>
      <c r="I9" s="79"/>
    </row>
    <row r="10" spans="2:11" ht="30.75" thickBot="1">
      <c r="B10" s="27" t="s">
        <v>37</v>
      </c>
      <c r="C10" s="28" cm="1">
        <f t="array" ref="C10">_xlfn.XLOOKUP($H$9,Tabla1[[Nombre Unidad de Estudios]:[Nombre Unidad de Estudios]],Tabla1[Créditos Académicos],"",0)</f>
        <v>3</v>
      </c>
      <c r="D10" s="29" t="s">
        <v>220</v>
      </c>
      <c r="E10" s="28" cm="1">
        <f t="array" ref="E10">_xlfn.XLOOKUP($H$9,Tabla1[[Nombre Unidad de Estudios]:[Nombre Unidad de Estudios]],Tabla1[Horas de Acompañamiento Directo '[HAD']],"",0)</f>
        <v>36</v>
      </c>
      <c r="F10" s="29" t="s">
        <v>221</v>
      </c>
      <c r="G10" s="28" cm="1">
        <f t="array" ref="G10">_xlfn.XLOOKUP($H$9,Tabla1[[Nombre Unidad de Estudios]:[Nombre Unidad de Estudios]],Tabla1[Horas de Trabajo Autónomo '[HTA']],"",0)</f>
        <v>108</v>
      </c>
      <c r="H10" s="29" t="s">
        <v>222</v>
      </c>
      <c r="I10" s="30">
        <f>E10+G10</f>
        <v>144</v>
      </c>
    </row>
    <row r="11" spans="2:11">
      <c r="B11" s="80" t="s">
        <v>223</v>
      </c>
      <c r="C11" s="81"/>
      <c r="D11" s="81"/>
      <c r="E11" s="81"/>
      <c r="F11" s="81"/>
      <c r="G11" s="81"/>
      <c r="H11" s="81"/>
      <c r="I11" s="82"/>
    </row>
    <row r="12" spans="2:11" ht="76.5" customHeight="1">
      <c r="B12" s="83" t="s">
        <v>224</v>
      </c>
      <c r="C12" s="84"/>
      <c r="D12" s="85" t="str" cm="1">
        <f t="array" ref="D12">_xlfn.XLOOKUP($H$9,Tabla1[[Nombre Unidad de Estudios]:[Nombre Unidad de Estudios]],Tabla1[Descripción de la Unidad de Estudios],"",0)</f>
        <v>Las investigaciones recientes están direccionando a las organizaciones a mejorar sus procesos administrativos y su gestión. Esta unidad busca que el estudiante diseñe sus propios modelos de gestión y management, desarrollando actitudes y habilidades para la toma de decisiones en entornos competitivos.</v>
      </c>
      <c r="E12" s="86"/>
      <c r="F12" s="86"/>
      <c r="G12" s="86"/>
      <c r="H12" s="86"/>
      <c r="I12" s="87"/>
    </row>
    <row r="13" spans="2:11" ht="66" customHeight="1" thickBot="1">
      <c r="B13" s="88" t="s">
        <v>225</v>
      </c>
      <c r="C13" s="89"/>
      <c r="D13" s="90" t="str" cm="1">
        <f t="array" ref="D13">_xlfn.XLOOKUP($H$9,Tabla1[[Nombre Unidad de Estudios]:[Nombre Unidad de Estudios]],Tabla1[Resultado de Aprendizaje de la Unidad de Estudios],"",0)</f>
        <v>Diseña sus propios modelos de gestión y management, desarrollando actitudes, aptitudes y habilidades que requiere el rol de gestor-líder, para la toma de decisiones en entornos organizacionales competitivos.</v>
      </c>
      <c r="E13" s="91"/>
      <c r="F13" s="91"/>
      <c r="G13" s="91"/>
      <c r="H13" s="91"/>
      <c r="I13" s="92"/>
    </row>
    <row r="14" spans="2:11">
      <c r="B14" s="80" t="s">
        <v>226</v>
      </c>
      <c r="C14" s="81"/>
      <c r="D14" s="81"/>
      <c r="E14" s="81"/>
      <c r="F14" s="81"/>
      <c r="G14" s="81"/>
      <c r="H14" s="81"/>
      <c r="I14" s="82"/>
    </row>
    <row r="15" spans="2:11">
      <c r="B15" s="93" t="s">
        <v>227</v>
      </c>
      <c r="C15" s="78"/>
      <c r="D15" s="78"/>
      <c r="E15" s="78"/>
      <c r="F15" s="78"/>
      <c r="G15" s="78"/>
      <c r="H15" s="78"/>
      <c r="I15" s="79"/>
    </row>
    <row r="16" spans="2:11">
      <c r="B16" s="93"/>
      <c r="C16" s="78"/>
      <c r="D16" s="78"/>
      <c r="E16" s="78"/>
      <c r="F16" s="78"/>
      <c r="G16" s="78"/>
      <c r="H16" s="78"/>
      <c r="I16" s="79"/>
    </row>
    <row r="17" spans="2:9" ht="15.75" thickBot="1">
      <c r="B17" s="94"/>
      <c r="C17" s="95"/>
      <c r="D17" s="95"/>
      <c r="E17" s="95"/>
      <c r="F17" s="95"/>
      <c r="G17" s="95"/>
      <c r="H17" s="95"/>
      <c r="I17" s="96"/>
    </row>
    <row r="18" spans="2:9" ht="15.75" thickBot="1">
      <c r="B18" s="97" t="s">
        <v>228</v>
      </c>
      <c r="C18" s="98"/>
      <c r="D18" s="98"/>
      <c r="E18" s="98"/>
      <c r="F18" s="98"/>
      <c r="G18" s="98"/>
      <c r="H18" s="98"/>
      <c r="I18" s="99"/>
    </row>
    <row r="19" spans="2:9">
      <c r="B19" s="21" t="s">
        <v>44</v>
      </c>
      <c r="C19" s="43" t="str" cm="1">
        <f t="array" ref="C19">_xlfn.XLOOKUP($H$9,Tabla1[[Nombre Unidad de Estudios]:[Nombre Unidad de Estudios]],Tabla1[Módulo],"",0)</f>
        <v>6 semanas</v>
      </c>
      <c r="D19" s="21" t="s">
        <v>229</v>
      </c>
      <c r="E19" s="143" t="s">
        <v>230</v>
      </c>
      <c r="F19" s="144"/>
      <c r="G19" s="31" t="s">
        <v>231</v>
      </c>
      <c r="H19" s="145" t="s">
        <v>232</v>
      </c>
      <c r="I19" s="146"/>
    </row>
    <row r="20" spans="2:9">
      <c r="B20" s="13" t="str" cm="1">
        <f t="array" ref="B20">_xlfn.XLOOKUP($H$9,Tabla1[[Nombre Unidad de Estudios]:[Nombre Unidad de Estudios]],Tabla1[Contenidos Unidad de Estudios],"",0)</f>
        <v>Modelos de gestión: Origen y Definición.
Tendencias de los modelos de gestión.
Modelo de Management 3.0.
Total Quality Management systems/standards.
Conceptos Fundamentales de la Calidad y Sistema de Gestión de Calidad.</v>
      </c>
      <c r="C20" s="55"/>
      <c r="D20" s="60"/>
      <c r="E20" s="61"/>
      <c r="F20" s="62"/>
      <c r="G20" s="69"/>
      <c r="H20" s="70"/>
      <c r="I20" s="71"/>
    </row>
    <row r="21" spans="2:9">
      <c r="B21" s="56"/>
      <c r="C21" s="57"/>
      <c r="D21" s="63"/>
      <c r="E21" s="64"/>
      <c r="F21" s="65"/>
      <c r="G21" s="72"/>
      <c r="H21" s="73"/>
      <c r="I21" s="74"/>
    </row>
    <row r="22" spans="2:9">
      <c r="B22" s="56"/>
      <c r="C22" s="57"/>
      <c r="D22" s="63"/>
      <c r="E22" s="64"/>
      <c r="F22" s="65"/>
      <c r="G22" s="72"/>
      <c r="H22" s="73"/>
      <c r="I22" s="74"/>
    </row>
    <row r="23" spans="2:9">
      <c r="B23" s="56"/>
      <c r="C23" s="57"/>
      <c r="D23" s="63"/>
      <c r="E23" s="64"/>
      <c r="F23" s="65"/>
      <c r="G23" s="72"/>
      <c r="H23" s="73"/>
      <c r="I23" s="74"/>
    </row>
    <row r="24" spans="2:9">
      <c r="B24" s="56"/>
      <c r="C24" s="57"/>
      <c r="D24" s="63"/>
      <c r="E24" s="64"/>
      <c r="F24" s="65"/>
      <c r="G24" s="72"/>
      <c r="H24" s="73"/>
      <c r="I24" s="74"/>
    </row>
    <row r="25" spans="2:9">
      <c r="B25" s="56"/>
      <c r="C25" s="57"/>
      <c r="D25" s="63"/>
      <c r="E25" s="64"/>
      <c r="F25" s="65"/>
      <c r="G25" s="72"/>
      <c r="H25" s="73"/>
      <c r="I25" s="74"/>
    </row>
    <row r="26" spans="2:9">
      <c r="B26" s="56"/>
      <c r="C26" s="57"/>
      <c r="D26" s="63"/>
      <c r="E26" s="64"/>
      <c r="F26" s="65"/>
      <c r="G26" s="72"/>
      <c r="H26" s="73"/>
      <c r="I26" s="74"/>
    </row>
    <row r="27" spans="2:9">
      <c r="B27" s="56"/>
      <c r="C27" s="57"/>
      <c r="D27" s="63"/>
      <c r="E27" s="64"/>
      <c r="F27" s="65"/>
      <c r="G27" s="72"/>
      <c r="H27" s="73"/>
      <c r="I27" s="74"/>
    </row>
    <row r="28" spans="2:9">
      <c r="B28" s="56"/>
      <c r="C28" s="57"/>
      <c r="D28" s="63"/>
      <c r="E28" s="64"/>
      <c r="F28" s="65"/>
      <c r="G28" s="72"/>
      <c r="H28" s="73"/>
      <c r="I28" s="74"/>
    </row>
    <row r="29" spans="2:9">
      <c r="B29" s="56"/>
      <c r="C29" s="57"/>
      <c r="D29" s="63"/>
      <c r="E29" s="64"/>
      <c r="F29" s="65"/>
      <c r="G29" s="72"/>
      <c r="H29" s="73"/>
      <c r="I29" s="74"/>
    </row>
    <row r="30" spans="2:9">
      <c r="B30" s="56"/>
      <c r="C30" s="57"/>
      <c r="D30" s="63"/>
      <c r="E30" s="64"/>
      <c r="F30" s="65"/>
      <c r="G30" s="72"/>
      <c r="H30" s="73"/>
      <c r="I30" s="74"/>
    </row>
    <row r="31" spans="2:9">
      <c r="B31" s="56"/>
      <c r="C31" s="57"/>
      <c r="D31" s="63"/>
      <c r="E31" s="64"/>
      <c r="F31" s="65"/>
      <c r="G31" s="72"/>
      <c r="H31" s="73"/>
      <c r="I31" s="74"/>
    </row>
    <row r="32" spans="2:9">
      <c r="B32" s="56"/>
      <c r="C32" s="57"/>
      <c r="D32" s="63"/>
      <c r="E32" s="64"/>
      <c r="F32" s="65"/>
      <c r="G32" s="72"/>
      <c r="H32" s="73"/>
      <c r="I32" s="74"/>
    </row>
    <row r="33" spans="2:9" ht="15.75" thickBot="1">
      <c r="B33" s="58"/>
      <c r="C33" s="59"/>
      <c r="D33" s="66"/>
      <c r="E33" s="67"/>
      <c r="F33" s="68"/>
      <c r="G33" s="75"/>
      <c r="H33" s="76"/>
      <c r="I33" s="77"/>
    </row>
    <row r="34" spans="2:9" ht="15.75" thickBot="1">
      <c r="B34" s="114" t="s">
        <v>233</v>
      </c>
      <c r="C34" s="115"/>
      <c r="D34" s="115"/>
      <c r="E34" s="115"/>
      <c r="F34" s="115"/>
      <c r="G34" s="115"/>
      <c r="H34" s="115"/>
      <c r="I34" s="116"/>
    </row>
    <row r="35" spans="2:9" ht="14.45" customHeight="1">
      <c r="B35" s="126" t="s">
        <v>234</v>
      </c>
      <c r="C35" s="127"/>
      <c r="D35" s="127"/>
      <c r="E35" s="127"/>
      <c r="F35" s="127"/>
      <c r="G35" s="127"/>
      <c r="H35" s="127"/>
      <c r="I35" s="128"/>
    </row>
    <row r="36" spans="2:9">
      <c r="B36" s="129"/>
      <c r="C36" s="130"/>
      <c r="D36" s="130"/>
      <c r="E36" s="130"/>
      <c r="F36" s="130"/>
      <c r="G36" s="130"/>
      <c r="H36" s="130"/>
      <c r="I36" s="131"/>
    </row>
    <row r="37" spans="2:9">
      <c r="B37" s="132" t="str" cm="1">
        <f t="array" ref="B37">_xlfn.XLOOKUP($H$9,Tabla1[[Nombre Unidad de Estudios]:[Nombre Unidad de Estudios]],Tabla1[Esquema de Calificación],"",0)</f>
        <v>50% Actividades en sesiones.
50% Actividad individual.</v>
      </c>
      <c r="C37" s="133"/>
      <c r="D37" s="133"/>
      <c r="E37" s="133"/>
      <c r="F37" s="133"/>
      <c r="G37" s="133"/>
      <c r="H37" s="133"/>
      <c r="I37" s="134"/>
    </row>
    <row r="38" spans="2:9">
      <c r="B38" s="132"/>
      <c r="C38" s="133"/>
      <c r="D38" s="133"/>
      <c r="E38" s="133"/>
      <c r="F38" s="133"/>
      <c r="G38" s="133"/>
      <c r="H38" s="133"/>
      <c r="I38" s="134"/>
    </row>
    <row r="39" spans="2:9" ht="15.75" thickBot="1">
      <c r="B39" s="135"/>
      <c r="C39" s="136"/>
      <c r="D39" s="136"/>
      <c r="E39" s="136"/>
      <c r="F39" s="136"/>
      <c r="G39" s="136"/>
      <c r="H39" s="136"/>
      <c r="I39" s="137"/>
    </row>
    <row r="40" spans="2:9" ht="34.5" customHeight="1" thickBot="1">
      <c r="B40" s="117" t="s">
        <v>235</v>
      </c>
      <c r="C40" s="118"/>
      <c r="D40" s="118"/>
      <c r="E40" s="119"/>
      <c r="F40" s="120" t="str" cm="1">
        <f t="array" ref="F40">_xlfn.XLOOKUP($H$9,Tabla1[[Nombre Unidad de Estudios]:[Nombre Unidad de Estudios]],Tabla1[Recursos Tecnológicos],"",0)</f>
        <v>Base de datos; Material bibliográfico; Plataforma virtual</v>
      </c>
      <c r="G40" s="121"/>
      <c r="H40" s="121"/>
      <c r="I40" s="122"/>
    </row>
    <row r="41" spans="2:9" ht="15.75" thickBot="1">
      <c r="B41" s="123" t="s">
        <v>236</v>
      </c>
      <c r="C41" s="124"/>
      <c r="D41" s="124"/>
      <c r="E41" s="124"/>
      <c r="F41" s="125" t="str" cm="1">
        <f t="array" ref="F41">_xlfn.XLOOKUP($H$9,Tabla1[[Nombre Unidad de Estudios]:[Nombre Unidad de Estudios]],Tabla1[Componente de Lengua Extranjera '[Idioma']],"",0)</f>
        <v>Inglés</v>
      </c>
      <c r="G41" s="125"/>
      <c r="H41" s="32" t="s">
        <v>237</v>
      </c>
      <c r="I41" s="36" cm="1">
        <f t="array" ref="I41">_xlfn.XLOOKUP($H$9,Tabla1[[Nombre Unidad de Estudios]:[Nombre Unidad de Estudios]],Tabla1[Componente de Lengua Extranjera '[%']],"",0)</f>
        <v>0.3</v>
      </c>
    </row>
    <row r="42" spans="2:9">
      <c r="B42" s="80" t="s">
        <v>238</v>
      </c>
      <c r="C42" s="81"/>
      <c r="D42" s="81"/>
      <c r="E42" s="81"/>
      <c r="F42" s="81"/>
      <c r="G42" s="81"/>
      <c r="H42" s="81"/>
      <c r="I42" s="82"/>
    </row>
    <row r="43" spans="2:9" ht="14.45" customHeight="1">
      <c r="B43" s="138" t="s">
        <v>49</v>
      </c>
      <c r="C43" s="139"/>
      <c r="D43" s="139"/>
      <c r="E43" s="140"/>
      <c r="F43" s="138" t="s">
        <v>239</v>
      </c>
      <c r="G43" s="139"/>
      <c r="H43" s="139"/>
      <c r="I43" s="140"/>
    </row>
    <row r="44" spans="2:9">
      <c r="B44" s="108" t="str" cm="1">
        <f t="array" ref="B44">_xlfn.XLOOKUP($H$9,Tabla1[[Nombre Unidad de Estudios]:[Nombre Unidad de Estudios]],Tabla1[Bibliografía Obligatoria],"",0)</f>
        <v>Almeida, F. y Espinheira, E. (2021). Management 3.0: A Systematic Literature Review. International Journal of Human Capital Management, 5(2), 44-57. https://doi.org/10.21009/IJHCM.05.02.5
Bodrozic, Z. y Adler, P. S. (2018). The Evolution of Management Models: A Neo-Schumpeterian Theory. Administrative Science Quarterly, 63(1), 85-129.
Wilson, L. (2019). Chapter 6 Management 1.0, 2.0 and 3.0. In How to Ensure Your Employees Are Motivated.</v>
      </c>
      <c r="C44" s="109"/>
      <c r="D44" s="109"/>
      <c r="E44" s="110"/>
      <c r="F44" s="108" t="str" cm="1">
        <f t="array" ref="F44">_xlfn.XLOOKUP($H$9,Tabla1[[Nombre Unidad de Estudios]:[Nombre Unidad de Estudios]],Tabla1[Bibliografia Complementaria],"",0)</f>
        <v>Lawrence, T. B., Suddaby, R. y Leca, B. (2009). Introduction: theorizing and studying Institutional work. https://thomaslawrence.files.wordpress.com/2008/08/lawrence-et-al-2009-introduction-theorizing-and-studying-institutiona1.pdf
Lundin, M. (2007). Explaining Cooperation: How Resource Interdependence, Goal Congruence, and Trust Affect Joint Actions. Journal of Public Administration Research and Theory, 17(4), 651-672.
Freeman, J. H. y Audia, P. G. (2006). Community ecology and the sociology of organizations.</v>
      </c>
      <c r="G44" s="109"/>
      <c r="H44" s="109"/>
      <c r="I44" s="110"/>
    </row>
    <row r="45" spans="2:9">
      <c r="B45" s="108"/>
      <c r="C45" s="109"/>
      <c r="D45" s="109"/>
      <c r="E45" s="110"/>
      <c r="F45" s="108"/>
      <c r="G45" s="109"/>
      <c r="H45" s="109"/>
      <c r="I45" s="110"/>
    </row>
    <row r="46" spans="2:9">
      <c r="B46" s="108"/>
      <c r="C46" s="109"/>
      <c r="D46" s="109"/>
      <c r="E46" s="110"/>
      <c r="F46" s="108"/>
      <c r="G46" s="109"/>
      <c r="H46" s="109"/>
      <c r="I46" s="110"/>
    </row>
    <row r="47" spans="2:9">
      <c r="B47" s="108"/>
      <c r="C47" s="109"/>
      <c r="D47" s="109"/>
      <c r="E47" s="110"/>
      <c r="F47" s="108"/>
      <c r="G47" s="109"/>
      <c r="H47" s="109"/>
      <c r="I47" s="110"/>
    </row>
    <row r="48" spans="2:9">
      <c r="B48" s="108"/>
      <c r="C48" s="109"/>
      <c r="D48" s="109"/>
      <c r="E48" s="110"/>
      <c r="F48" s="108"/>
      <c r="G48" s="109"/>
      <c r="H48" s="109"/>
      <c r="I48" s="110"/>
    </row>
    <row r="49" spans="2:9">
      <c r="B49" s="108"/>
      <c r="C49" s="109"/>
      <c r="D49" s="109"/>
      <c r="E49" s="110"/>
      <c r="F49" s="108"/>
      <c r="G49" s="109"/>
      <c r="H49" s="109"/>
      <c r="I49" s="110"/>
    </row>
    <row r="50" spans="2:9">
      <c r="B50" s="108"/>
      <c r="C50" s="109"/>
      <c r="D50" s="109"/>
      <c r="E50" s="110"/>
      <c r="F50" s="108"/>
      <c r="G50" s="109"/>
      <c r="H50" s="109"/>
      <c r="I50" s="110"/>
    </row>
    <row r="51" spans="2:9">
      <c r="B51" s="108"/>
      <c r="C51" s="109"/>
      <c r="D51" s="109"/>
      <c r="E51" s="110"/>
      <c r="F51" s="108"/>
      <c r="G51" s="109"/>
      <c r="H51" s="109"/>
      <c r="I51" s="110"/>
    </row>
    <row r="52" spans="2:9">
      <c r="B52" s="108"/>
      <c r="C52" s="109"/>
      <c r="D52" s="109"/>
      <c r="E52" s="110"/>
      <c r="F52" s="108"/>
      <c r="G52" s="109"/>
      <c r="H52" s="109"/>
      <c r="I52" s="110"/>
    </row>
    <row r="53" spans="2:9">
      <c r="B53" s="108"/>
      <c r="C53" s="109"/>
      <c r="D53" s="109"/>
      <c r="E53" s="110"/>
      <c r="F53" s="108"/>
      <c r="G53" s="109"/>
      <c r="H53" s="109"/>
      <c r="I53" s="110"/>
    </row>
    <row r="54" spans="2:9">
      <c r="B54" s="108"/>
      <c r="C54" s="109"/>
      <c r="D54" s="109"/>
      <c r="E54" s="110"/>
      <c r="F54" s="108"/>
      <c r="G54" s="109"/>
      <c r="H54" s="109"/>
      <c r="I54" s="110"/>
    </row>
    <row r="55" spans="2:9">
      <c r="B55" s="108"/>
      <c r="C55" s="109"/>
      <c r="D55" s="109"/>
      <c r="E55" s="110"/>
      <c r="F55" s="108"/>
      <c r="G55" s="109"/>
      <c r="H55" s="109"/>
      <c r="I55" s="110"/>
    </row>
    <row r="56" spans="2:9">
      <c r="B56" s="108"/>
      <c r="C56" s="109"/>
      <c r="D56" s="109"/>
      <c r="E56" s="110"/>
      <c r="F56" s="108"/>
      <c r="G56" s="109"/>
      <c r="H56" s="109"/>
      <c r="I56" s="110"/>
    </row>
    <row r="57" spans="2:9" ht="15.75" thickBot="1">
      <c r="B57" s="111"/>
      <c r="C57" s="112"/>
      <c r="D57" s="112"/>
      <c r="E57" s="113"/>
      <c r="F57" s="111"/>
      <c r="G57" s="112"/>
      <c r="H57" s="112"/>
      <c r="I57" s="113"/>
    </row>
    <row r="58" spans="2:9">
      <c r="B58" s="80" t="s">
        <v>240</v>
      </c>
      <c r="C58" s="81"/>
      <c r="D58" s="81"/>
      <c r="E58" s="81"/>
      <c r="F58" s="81"/>
      <c r="G58" s="81"/>
      <c r="H58" s="81"/>
      <c r="I58" s="82"/>
    </row>
    <row r="59" spans="2:9">
      <c r="B59" s="33" t="s">
        <v>51</v>
      </c>
      <c r="C59" s="34" t="s">
        <v>52</v>
      </c>
      <c r="D59" s="34" t="s">
        <v>53</v>
      </c>
      <c r="E59" s="34" t="s">
        <v>54</v>
      </c>
      <c r="F59" s="34" t="s">
        <v>55</v>
      </c>
      <c r="G59" s="104" t="s">
        <v>56</v>
      </c>
      <c r="H59" s="104"/>
      <c r="I59" s="105"/>
    </row>
    <row r="60" spans="2:9" ht="30">
      <c r="B60" s="38" cm="1">
        <f t="array" ref="B60">_xlfn.XLOOKUP($H$9,Tabla1[[Nombre Unidad de Estudios]:[Nombre Unidad de Estudios]],Tabla1['# versión],"",0)</f>
        <v>1</v>
      </c>
      <c r="C60" s="41" cm="1">
        <f t="array" ref="C60">_xlfn.XLOOKUP($H$9,Tabla1[[Nombre Unidad de Estudios]:[Nombre Unidad de Estudios]],Tabla1[Fecha],"",0)</f>
        <v>46083</v>
      </c>
      <c r="D60" s="35" t="str" cm="1">
        <f t="array" ref="D60">_xlfn.XLOOKUP($H$9,Tabla1[[Nombre Unidad de Estudios]:[Nombre Unidad de Estudios]],Tabla1[Elaboró],"",0)</f>
        <v>Omar Patiño</v>
      </c>
      <c r="E60" s="35" t="str" cm="1">
        <f t="array" ref="E60">_xlfn.XLOOKUP($H$9,Tabla1[[Nombre Unidad de Estudios]:[Nombre Unidad de Estudios]],Tabla1[Revisó],"",0)</f>
        <v>Juan Carlos Rentería</v>
      </c>
      <c r="F60" s="35" t="str" cm="1">
        <f t="array" ref="F60">_xlfn.XLOOKUP($H$9,Tabla1[[Nombre Unidad de Estudios]:[Nombre Unidad de Estudios]],Tabla1[Aprobó],"",0)</f>
        <v>Comité Curricular</v>
      </c>
      <c r="G60" s="106" t="str" cm="1">
        <f t="array" ref="G60">_xlfn.XLOOKUP($H$9,Tabla1[[Nombre Unidad de Estudios]:[Nombre Unidad de Estudios]],Tabla1[Descripción del cambio],"",0)</f>
        <v>Creación syllabus en nuevo formato</v>
      </c>
      <c r="H60" s="106"/>
      <c r="I60" s="107"/>
    </row>
    <row r="61" spans="2:9">
      <c r="B61" s="38"/>
      <c r="C61" s="35"/>
      <c r="D61" s="35"/>
      <c r="E61" s="35"/>
      <c r="F61" s="35"/>
      <c r="G61" s="106"/>
      <c r="H61" s="106"/>
      <c r="I61" s="107"/>
    </row>
    <row r="62" spans="2:9">
      <c r="B62" s="38"/>
      <c r="C62" s="35"/>
      <c r="D62" s="35"/>
      <c r="E62" s="35"/>
      <c r="F62" s="35"/>
      <c r="G62" s="106"/>
      <c r="H62" s="106"/>
      <c r="I62" s="107"/>
    </row>
    <row r="63" spans="2:9">
      <c r="B63" s="38"/>
      <c r="C63" s="35"/>
      <c r="D63" s="35"/>
      <c r="E63" s="35"/>
      <c r="F63" s="35"/>
      <c r="G63" s="106"/>
      <c r="H63" s="106"/>
      <c r="I63" s="107"/>
    </row>
    <row r="64" spans="2:9">
      <c r="B64" s="38"/>
      <c r="C64" s="35"/>
      <c r="D64" s="35"/>
      <c r="E64" s="35"/>
      <c r="F64" s="35"/>
      <c r="G64" s="106"/>
      <c r="H64" s="106"/>
      <c r="I64" s="107"/>
    </row>
    <row r="65" spans="2:9" ht="15.75" thickBot="1">
      <c r="B65" s="39"/>
      <c r="C65" s="40"/>
      <c r="D65" s="40"/>
      <c r="E65" s="40"/>
      <c r="F65" s="40"/>
      <c r="G65" s="141"/>
      <c r="H65" s="141"/>
      <c r="I65" s="142"/>
    </row>
  </sheetData>
  <mergeCells count="41">
    <mergeCell ref="G65:I65"/>
    <mergeCell ref="G59:I59"/>
    <mergeCell ref="G60:I60"/>
    <mergeCell ref="G61:I61"/>
    <mergeCell ref="G62:I62"/>
    <mergeCell ref="G63:I63"/>
    <mergeCell ref="G64:I64"/>
    <mergeCell ref="B58:I58"/>
    <mergeCell ref="B34:I34"/>
    <mergeCell ref="B35:I36"/>
    <mergeCell ref="B37:I39"/>
    <mergeCell ref="B40:E40"/>
    <mergeCell ref="F40:I40"/>
    <mergeCell ref="B41:E41"/>
    <mergeCell ref="F41:G41"/>
    <mergeCell ref="B42:I42"/>
    <mergeCell ref="B43:E43"/>
    <mergeCell ref="F43:I43"/>
    <mergeCell ref="B44:E57"/>
    <mergeCell ref="F44:I57"/>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K2" display="Menu principal" xr:uid="{00000000-0004-0000-0F00-000000000000}"/>
  </hyperlinks>
  <pageMargins left="0.25" right="0.25" top="0.75" bottom="0.75" header="0.3" footer="0.3"/>
  <pageSetup paperSize="9" scale="72"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Tabla!$H$2:$H$22</xm:f>
          </x14:formula1>
          <xm:sqref>H9:I9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47A24-72C8-4C9A-B955-8DBD13286437}">
  <sheetPr>
    <pageSetUpPr fitToPage="1"/>
  </sheetPr>
  <dimension ref="B1:K65"/>
  <sheetViews>
    <sheetView workbookViewId="0">
      <selection activeCell="F44" sqref="F44:I57"/>
    </sheetView>
  </sheetViews>
  <sheetFormatPr defaultColWidth="10.85546875" defaultRowHeight="15"/>
  <cols>
    <col min="1" max="1" width="3.140625" style="16" customWidth="1"/>
    <col min="2" max="2" width="14.28515625" style="16" customWidth="1"/>
    <col min="3" max="3" width="11.28515625" style="16" bestFit="1" customWidth="1"/>
    <col min="4" max="4" width="12.28515625" style="16" customWidth="1"/>
    <col min="5" max="5" width="16.28515625" style="16" customWidth="1"/>
    <col min="6" max="6" width="18.42578125" style="16" customWidth="1"/>
    <col min="7" max="7" width="10.85546875" style="16" customWidth="1"/>
    <col min="8" max="8" width="9.85546875" style="16" customWidth="1"/>
    <col min="9" max="9" width="16.7109375" style="16" customWidth="1"/>
    <col min="10" max="10" width="10.85546875" style="16"/>
    <col min="11" max="11" width="16.42578125" style="16" customWidth="1"/>
    <col min="12" max="16384" width="10.85546875" style="16"/>
  </cols>
  <sheetData>
    <row r="1" spans="2:11" ht="15.75" thickBot="1">
      <c r="C1" s="17"/>
      <c r="D1" s="17"/>
      <c r="E1" s="17"/>
      <c r="F1" s="17"/>
      <c r="G1" s="17"/>
      <c r="H1" s="17"/>
    </row>
    <row r="2" spans="2:11" ht="22.5" customHeight="1" thickTop="1">
      <c r="B2" s="10"/>
      <c r="C2" s="8" t="s">
        <v>204</v>
      </c>
      <c r="D2" s="8"/>
      <c r="E2" s="8"/>
      <c r="F2" s="8"/>
      <c r="G2" s="8"/>
      <c r="H2" s="8"/>
      <c r="I2" s="18" t="s">
        <v>205</v>
      </c>
      <c r="K2" s="46" t="s">
        <v>206</v>
      </c>
    </row>
    <row r="3" spans="2:11" ht="20.25" customHeight="1">
      <c r="B3" s="9"/>
      <c r="C3" s="7"/>
      <c r="D3" s="7"/>
      <c r="E3" s="7"/>
      <c r="F3" s="7"/>
      <c r="G3" s="7"/>
      <c r="H3" s="7"/>
      <c r="I3" s="19" t="s">
        <v>207</v>
      </c>
    </row>
    <row r="4" spans="2:11" ht="21" customHeight="1" thickBot="1">
      <c r="B4" s="6" t="s">
        <v>208</v>
      </c>
      <c r="C4" s="5"/>
      <c r="D4" s="5"/>
      <c r="E4" s="5"/>
      <c r="F4" s="5"/>
      <c r="G4" s="5"/>
      <c r="H4" s="5"/>
      <c r="I4" s="20" t="s">
        <v>209</v>
      </c>
    </row>
    <row r="5" spans="2:11" ht="16.5" thickTop="1" thickBot="1">
      <c r="B5" s="4"/>
      <c r="C5" s="4"/>
      <c r="D5" s="4"/>
      <c r="E5" s="4"/>
      <c r="F5" s="4"/>
      <c r="G5" s="4"/>
      <c r="H5" s="4"/>
      <c r="I5" s="4"/>
    </row>
    <row r="6" spans="2:11">
      <c r="B6" s="3" t="s">
        <v>210</v>
      </c>
      <c r="C6" s="2"/>
      <c r="D6" s="2"/>
      <c r="E6" s="2"/>
      <c r="F6" s="2"/>
      <c r="G6" s="2"/>
      <c r="H6" s="2"/>
      <c r="I6" s="1"/>
    </row>
    <row r="7" spans="2:11" ht="60">
      <c r="B7" s="22" t="s">
        <v>29</v>
      </c>
      <c r="C7" s="23" cm="1">
        <f t="array" ref="C7">_xlfn.XLOOKUP($H$9,Tabla1[[Nombre Unidad de Estudios]:[Nombre Unidad de Estudios]],Tabla1[Año],"",0)</f>
        <v>2026</v>
      </c>
      <c r="D7" s="24" t="s">
        <v>211</v>
      </c>
      <c r="E7" s="23" t="str" cm="1">
        <f t="array" ref="E7">_xlfn.XLOOKUP($H$9,Tabla1[[Nombre Unidad de Estudios]:[Nombre Unidad de Estudios]],Tabla1[Código Plan de Estudios],"",0)</f>
        <v>DTPGESBOG002</v>
      </c>
      <c r="F7" s="24" t="s">
        <v>212</v>
      </c>
      <c r="G7" s="23" t="str" cm="1">
        <f t="array" ref="G7">_xlfn.XLOOKUP($H$9,Tabla1[[Nombre Unidad de Estudios]:[Nombre Unidad de Estudios]],Tabla1[Código Unidad de Estudios],"",0)</f>
        <v>ADA01749</v>
      </c>
      <c r="H7" s="24" t="s">
        <v>213</v>
      </c>
      <c r="I7" s="23" t="str" cm="1">
        <f t="array" ref="I7">_xlfn.XLOOKUP($H$9,Tabla1[[Nombre Unidad de Estudios]:[Nombre Unidad de Estudios]],Tabla1[Tipo Unidad de Estudios],"",0)</f>
        <v>Nuclear</v>
      </c>
    </row>
    <row r="8" spans="2:11" ht="30">
      <c r="B8" s="22" t="s">
        <v>33</v>
      </c>
      <c r="C8" s="25" t="s">
        <v>60</v>
      </c>
      <c r="D8" s="35" t="s">
        <v>214</v>
      </c>
      <c r="E8" s="25" t="s">
        <v>215</v>
      </c>
      <c r="F8" s="24"/>
      <c r="G8" s="24" t="s">
        <v>216</v>
      </c>
      <c r="H8" s="12"/>
      <c r="I8" s="11"/>
    </row>
    <row r="9" spans="2:11" ht="45">
      <c r="B9" s="26" t="s">
        <v>217</v>
      </c>
      <c r="C9" s="23" t="str" cm="1">
        <f t="array" ref="C9">_xlfn.XLOOKUP($H$9,Tabla1[[Nombre Unidad de Estudios]:[Nombre Unidad de Estudios]],Tabla1[Nivel],"",0)</f>
        <v>Doctorado</v>
      </c>
      <c r="D9" s="25" t="s">
        <v>218</v>
      </c>
      <c r="E9" s="78" t="str" cm="1">
        <f t="array" ref="E9">_xlfn.XLOOKUP($H$9,Tabla1[[Nombre Unidad de Estudios]:[Nombre Unidad de Estudios]],Tabla1[Programa],"",0)</f>
        <v>Doctorado En Gestión</v>
      </c>
      <c r="F9" s="78"/>
      <c r="G9" s="24" t="s">
        <v>219</v>
      </c>
      <c r="H9" s="78" t="s">
        <v>20</v>
      </c>
      <c r="I9" s="79"/>
    </row>
    <row r="10" spans="2:11" ht="30.75" thickBot="1">
      <c r="B10" s="27" t="s">
        <v>37</v>
      </c>
      <c r="C10" s="28" cm="1">
        <f t="array" ref="C10">_xlfn.XLOOKUP($H$9,Tabla1[[Nombre Unidad de Estudios]:[Nombre Unidad de Estudios]],Tabla1[Créditos Académicos],"",0)</f>
        <v>3</v>
      </c>
      <c r="D10" s="29" t="s">
        <v>220</v>
      </c>
      <c r="E10" s="28" cm="1">
        <f t="array" ref="E10">_xlfn.XLOOKUP($H$9,Tabla1[[Nombre Unidad de Estudios]:[Nombre Unidad de Estudios]],Tabla1[Horas de Acompañamiento Directo '[HAD']],"",0)</f>
        <v>36</v>
      </c>
      <c r="F10" s="29" t="s">
        <v>221</v>
      </c>
      <c r="G10" s="28" cm="1">
        <f t="array" ref="G10">_xlfn.XLOOKUP($H$9,Tabla1[[Nombre Unidad de Estudios]:[Nombre Unidad de Estudios]],Tabla1[Horas de Trabajo Autónomo '[HTA']],"",0)</f>
        <v>108</v>
      </c>
      <c r="H10" s="29" t="s">
        <v>222</v>
      </c>
      <c r="I10" s="30">
        <f>E10+G10</f>
        <v>144</v>
      </c>
    </row>
    <row r="11" spans="2:11">
      <c r="B11" s="80" t="s">
        <v>223</v>
      </c>
      <c r="C11" s="81"/>
      <c r="D11" s="81"/>
      <c r="E11" s="81"/>
      <c r="F11" s="81"/>
      <c r="G11" s="81"/>
      <c r="H11" s="81"/>
      <c r="I11" s="82"/>
    </row>
    <row r="12" spans="2:11" ht="76.5" customHeight="1">
      <c r="B12" s="83" t="s">
        <v>224</v>
      </c>
      <c r="C12" s="84"/>
      <c r="D12" s="85" t="str" cm="1">
        <f t="array" ref="D12">_xlfn.XLOOKUP($H$9,Tabla1[[Nombre Unidad de Estudios]:[Nombre Unidad de Estudios]],Tabla1[Descripción de la Unidad de Estudios],"",0)</f>
        <v>Las organizaciones operan en entornos dinámicos donde la capacidad de los individuos, grupos y colectivos más grandes para procesar información y tomar decisiones es fundamental. Esta unidad analiza las teorías avanzadas de gestión y su aplicación organizacional.</v>
      </c>
      <c r="E12" s="86"/>
      <c r="F12" s="86"/>
      <c r="G12" s="86"/>
      <c r="H12" s="86"/>
      <c r="I12" s="87"/>
    </row>
    <row r="13" spans="2:11" ht="66" customHeight="1" thickBot="1">
      <c r="B13" s="88" t="s">
        <v>225</v>
      </c>
      <c r="C13" s="89"/>
      <c r="D13" s="90" t="str" cm="1">
        <f t="array" ref="D13">_xlfn.XLOOKUP($H$9,Tabla1[[Nombre Unidad de Estudios]:[Nombre Unidad de Estudios]],Tabla1[Resultado de Aprendizaje de la Unidad de Estudios],"",0)</f>
        <v>Estructura soluciones a los problemas sociales de las regiones con base en el uso de herramientas y teorías administrativas para encontrar una óptima estructura y gestión de las organizaciones.</v>
      </c>
      <c r="E13" s="91"/>
      <c r="F13" s="91"/>
      <c r="G13" s="91"/>
      <c r="H13" s="91"/>
      <c r="I13" s="92"/>
    </row>
    <row r="14" spans="2:11">
      <c r="B14" s="80" t="s">
        <v>226</v>
      </c>
      <c r="C14" s="81"/>
      <c r="D14" s="81"/>
      <c r="E14" s="81"/>
      <c r="F14" s="81"/>
      <c r="G14" s="81"/>
      <c r="H14" s="81"/>
      <c r="I14" s="82"/>
    </row>
    <row r="15" spans="2:11">
      <c r="B15" s="93" t="s">
        <v>227</v>
      </c>
      <c r="C15" s="78"/>
      <c r="D15" s="78"/>
      <c r="E15" s="78"/>
      <c r="F15" s="78"/>
      <c r="G15" s="78"/>
      <c r="H15" s="78"/>
      <c r="I15" s="79"/>
    </row>
    <row r="16" spans="2:11">
      <c r="B16" s="93"/>
      <c r="C16" s="78"/>
      <c r="D16" s="78"/>
      <c r="E16" s="78"/>
      <c r="F16" s="78"/>
      <c r="G16" s="78"/>
      <c r="H16" s="78"/>
      <c r="I16" s="79"/>
    </row>
    <row r="17" spans="2:9" ht="15.75" thickBot="1">
      <c r="B17" s="94"/>
      <c r="C17" s="95"/>
      <c r="D17" s="95"/>
      <c r="E17" s="95"/>
      <c r="F17" s="95"/>
      <c r="G17" s="95"/>
      <c r="H17" s="95"/>
      <c r="I17" s="96"/>
    </row>
    <row r="18" spans="2:9" ht="15.75" thickBot="1">
      <c r="B18" s="97" t="s">
        <v>228</v>
      </c>
      <c r="C18" s="98"/>
      <c r="D18" s="98"/>
      <c r="E18" s="98"/>
      <c r="F18" s="98"/>
      <c r="G18" s="98"/>
      <c r="H18" s="98"/>
      <c r="I18" s="99"/>
    </row>
    <row r="19" spans="2:9">
      <c r="B19" s="21" t="s">
        <v>44</v>
      </c>
      <c r="C19" s="43" t="str" cm="1">
        <f t="array" ref="C19">_xlfn.XLOOKUP($H$9,Tabla1[[Nombre Unidad de Estudios]:[Nombre Unidad de Estudios]],Tabla1[Módulo],"",0)</f>
        <v>6 semanas</v>
      </c>
      <c r="D19" s="21" t="s">
        <v>229</v>
      </c>
      <c r="E19" s="143" t="s">
        <v>230</v>
      </c>
      <c r="F19" s="144"/>
      <c r="G19" s="31" t="s">
        <v>231</v>
      </c>
      <c r="H19" s="145" t="s">
        <v>232</v>
      </c>
      <c r="I19" s="146"/>
    </row>
    <row r="20" spans="2:9">
      <c r="B20" s="13" t="str" cm="1">
        <f t="array" ref="B20">_xlfn.XLOOKUP($H$9,Tabla1[[Nombre Unidad de Estudios]:[Nombre Unidad de Estudios]],Tabla1[Contenidos Unidad de Estudios],"",0)</f>
        <v>Fundamentos teóricos de la Organización.
Teorías administrativas Clásicas.
Teorías Modernas.
Pensamiento sistémico.
Otras Teorías posmodernas.</v>
      </c>
      <c r="C20" s="55"/>
      <c r="D20" s="60"/>
      <c r="E20" s="61"/>
      <c r="F20" s="62"/>
      <c r="G20" s="69"/>
      <c r="H20" s="70"/>
      <c r="I20" s="71"/>
    </row>
    <row r="21" spans="2:9">
      <c r="B21" s="56"/>
      <c r="C21" s="57"/>
      <c r="D21" s="63"/>
      <c r="E21" s="64"/>
      <c r="F21" s="65"/>
      <c r="G21" s="72"/>
      <c r="H21" s="73"/>
      <c r="I21" s="74"/>
    </row>
    <row r="22" spans="2:9">
      <c r="B22" s="56"/>
      <c r="C22" s="57"/>
      <c r="D22" s="63"/>
      <c r="E22" s="64"/>
      <c r="F22" s="65"/>
      <c r="G22" s="72"/>
      <c r="H22" s="73"/>
      <c r="I22" s="74"/>
    </row>
    <row r="23" spans="2:9">
      <c r="B23" s="56"/>
      <c r="C23" s="57"/>
      <c r="D23" s="63"/>
      <c r="E23" s="64"/>
      <c r="F23" s="65"/>
      <c r="G23" s="72"/>
      <c r="H23" s="73"/>
      <c r="I23" s="74"/>
    </row>
    <row r="24" spans="2:9">
      <c r="B24" s="56"/>
      <c r="C24" s="57"/>
      <c r="D24" s="63"/>
      <c r="E24" s="64"/>
      <c r="F24" s="65"/>
      <c r="G24" s="72"/>
      <c r="H24" s="73"/>
      <c r="I24" s="74"/>
    </row>
    <row r="25" spans="2:9">
      <c r="B25" s="56"/>
      <c r="C25" s="57"/>
      <c r="D25" s="63"/>
      <c r="E25" s="64"/>
      <c r="F25" s="65"/>
      <c r="G25" s="72"/>
      <c r="H25" s="73"/>
      <c r="I25" s="74"/>
    </row>
    <row r="26" spans="2:9">
      <c r="B26" s="56"/>
      <c r="C26" s="57"/>
      <c r="D26" s="63"/>
      <c r="E26" s="64"/>
      <c r="F26" s="65"/>
      <c r="G26" s="72"/>
      <c r="H26" s="73"/>
      <c r="I26" s="74"/>
    </row>
    <row r="27" spans="2:9">
      <c r="B27" s="56"/>
      <c r="C27" s="57"/>
      <c r="D27" s="63"/>
      <c r="E27" s="64"/>
      <c r="F27" s="65"/>
      <c r="G27" s="72"/>
      <c r="H27" s="73"/>
      <c r="I27" s="74"/>
    </row>
    <row r="28" spans="2:9">
      <c r="B28" s="56"/>
      <c r="C28" s="57"/>
      <c r="D28" s="63"/>
      <c r="E28" s="64"/>
      <c r="F28" s="65"/>
      <c r="G28" s="72"/>
      <c r="H28" s="73"/>
      <c r="I28" s="74"/>
    </row>
    <row r="29" spans="2:9">
      <c r="B29" s="56"/>
      <c r="C29" s="57"/>
      <c r="D29" s="63"/>
      <c r="E29" s="64"/>
      <c r="F29" s="65"/>
      <c r="G29" s="72"/>
      <c r="H29" s="73"/>
      <c r="I29" s="74"/>
    </row>
    <row r="30" spans="2:9">
      <c r="B30" s="56"/>
      <c r="C30" s="57"/>
      <c r="D30" s="63"/>
      <c r="E30" s="64"/>
      <c r="F30" s="65"/>
      <c r="G30" s="72"/>
      <c r="H30" s="73"/>
      <c r="I30" s="74"/>
    </row>
    <row r="31" spans="2:9">
      <c r="B31" s="56"/>
      <c r="C31" s="57"/>
      <c r="D31" s="63"/>
      <c r="E31" s="64"/>
      <c r="F31" s="65"/>
      <c r="G31" s="72"/>
      <c r="H31" s="73"/>
      <c r="I31" s="74"/>
    </row>
    <row r="32" spans="2:9">
      <c r="B32" s="56"/>
      <c r="C32" s="57"/>
      <c r="D32" s="63"/>
      <c r="E32" s="64"/>
      <c r="F32" s="65"/>
      <c r="G32" s="72"/>
      <c r="H32" s="73"/>
      <c r="I32" s="74"/>
    </row>
    <row r="33" spans="2:9" ht="15.75" thickBot="1">
      <c r="B33" s="58"/>
      <c r="C33" s="59"/>
      <c r="D33" s="66"/>
      <c r="E33" s="67"/>
      <c r="F33" s="68"/>
      <c r="G33" s="75"/>
      <c r="H33" s="76"/>
      <c r="I33" s="77"/>
    </row>
    <row r="34" spans="2:9" ht="15.75" thickBot="1">
      <c r="B34" s="114" t="s">
        <v>233</v>
      </c>
      <c r="C34" s="115"/>
      <c r="D34" s="115"/>
      <c r="E34" s="115"/>
      <c r="F34" s="115"/>
      <c r="G34" s="115"/>
      <c r="H34" s="115"/>
      <c r="I34" s="116"/>
    </row>
    <row r="35" spans="2:9" ht="14.45" customHeight="1">
      <c r="B35" s="126" t="s">
        <v>234</v>
      </c>
      <c r="C35" s="127"/>
      <c r="D35" s="127"/>
      <c r="E35" s="127"/>
      <c r="F35" s="127"/>
      <c r="G35" s="127"/>
      <c r="H35" s="127"/>
      <c r="I35" s="128"/>
    </row>
    <row r="36" spans="2:9">
      <c r="B36" s="129"/>
      <c r="C36" s="130"/>
      <c r="D36" s="130"/>
      <c r="E36" s="130"/>
      <c r="F36" s="130"/>
      <c r="G36" s="130"/>
      <c r="H36" s="130"/>
      <c r="I36" s="131"/>
    </row>
    <row r="37" spans="2:9">
      <c r="B37" s="132" t="str" cm="1">
        <f t="array" ref="B37">_xlfn.XLOOKUP($H$9,Tabla1[[Nombre Unidad de Estudios]:[Nombre Unidad de Estudios]],Tabla1[Esquema de Calificación],"",0)</f>
        <v>25% Dirección de sesión individual/grupal.
25% Desarrollo individual de casos.
40% Redacción final individual de artículos.
10% Participación constructiva en las sesiones.</v>
      </c>
      <c r="C37" s="133"/>
      <c r="D37" s="133"/>
      <c r="E37" s="133"/>
      <c r="F37" s="133"/>
      <c r="G37" s="133"/>
      <c r="H37" s="133"/>
      <c r="I37" s="134"/>
    </row>
    <row r="38" spans="2:9">
      <c r="B38" s="132"/>
      <c r="C38" s="133"/>
      <c r="D38" s="133"/>
      <c r="E38" s="133"/>
      <c r="F38" s="133"/>
      <c r="G38" s="133"/>
      <c r="H38" s="133"/>
      <c r="I38" s="134"/>
    </row>
    <row r="39" spans="2:9" ht="15.75" thickBot="1">
      <c r="B39" s="135"/>
      <c r="C39" s="136"/>
      <c r="D39" s="136"/>
      <c r="E39" s="136"/>
      <c r="F39" s="136"/>
      <c r="G39" s="136"/>
      <c r="H39" s="136"/>
      <c r="I39" s="137"/>
    </row>
    <row r="40" spans="2:9" ht="34.5" customHeight="1" thickBot="1">
      <c r="B40" s="117" t="s">
        <v>235</v>
      </c>
      <c r="C40" s="118"/>
      <c r="D40" s="118"/>
      <c r="E40" s="119"/>
      <c r="F40" s="120" t="str" cm="1">
        <f t="array" ref="F40">_xlfn.XLOOKUP($H$9,Tabla1[[Nombre Unidad de Estudios]:[Nombre Unidad de Estudios]],Tabla1[Recursos Tecnológicos],"",0)</f>
        <v>Base de datos; Material bibliográfico; Plataforma virtual</v>
      </c>
      <c r="G40" s="121"/>
      <c r="H40" s="121"/>
      <c r="I40" s="122"/>
    </row>
    <row r="41" spans="2:9" ht="15.75" thickBot="1">
      <c r="B41" s="123" t="s">
        <v>236</v>
      </c>
      <c r="C41" s="124"/>
      <c r="D41" s="124"/>
      <c r="E41" s="124"/>
      <c r="F41" s="125" t="str" cm="1">
        <f t="array" ref="F41">_xlfn.XLOOKUP($H$9,Tabla1[[Nombre Unidad de Estudios]:[Nombre Unidad de Estudios]],Tabla1[Componente de Lengua Extranjera '[Idioma']],"",0)</f>
        <v>Inglés</v>
      </c>
      <c r="G41" s="125"/>
      <c r="H41" s="32" t="s">
        <v>237</v>
      </c>
      <c r="I41" s="36" cm="1">
        <f t="array" ref="I41">_xlfn.XLOOKUP($H$9,Tabla1[[Nombre Unidad de Estudios]:[Nombre Unidad de Estudios]],Tabla1[Componente de Lengua Extranjera '[%']],"",0)</f>
        <v>0.3</v>
      </c>
    </row>
    <row r="42" spans="2:9">
      <c r="B42" s="80" t="s">
        <v>238</v>
      </c>
      <c r="C42" s="81"/>
      <c r="D42" s="81"/>
      <c r="E42" s="81"/>
      <c r="F42" s="81"/>
      <c r="G42" s="81"/>
      <c r="H42" s="81"/>
      <c r="I42" s="82"/>
    </row>
    <row r="43" spans="2:9" ht="14.45" customHeight="1">
      <c r="B43" s="138" t="s">
        <v>49</v>
      </c>
      <c r="C43" s="139"/>
      <c r="D43" s="139"/>
      <c r="E43" s="140"/>
      <c r="F43" s="138" t="s">
        <v>239</v>
      </c>
      <c r="G43" s="139"/>
      <c r="H43" s="139"/>
      <c r="I43" s="140"/>
    </row>
    <row r="44" spans="2:9">
      <c r="B44" s="108" t="str" cm="1">
        <f t="array" ref="B44">_xlfn.XLOOKUP($H$9,Tabla1[[Nombre Unidad de Estudios]:[Nombre Unidad de Estudios]],Tabla1[Bibliografía Obligatoria],"",0)</f>
        <v>Almeida, F. y Espinheira, E. (2021). Management 3.0: A Systematic Literature Review. International Journal of Human Capital Management, 5(2), 44-57. https://doi.org/10.21009/IJHCM.05.02.5
Bodrozic, Z. y Adler, P. S. (2018). The Evolution of Management Models: A Neo-Schumpeterian Theory. Administrative Science Quarterly, 63(1), 85-129.
Wilson, L. (2019). Chapter 6 Management 1.0, 2.0 and 3.0. In How to Ensure Your Employees Are Motivated.</v>
      </c>
      <c r="C44" s="109"/>
      <c r="D44" s="109"/>
      <c r="E44" s="110"/>
      <c r="F44" s="108" t="str" cm="1">
        <f t="array" ref="F44">_xlfn.XLOOKUP($H$9,Tabla1[[Nombre Unidad de Estudios]:[Nombre Unidad de Estudios]],Tabla1[Bibliografia Complementaria],"",0)</f>
        <v>Lawrence, T. B., Suddaby, R. y Leca, B. (2009). Introduction: theorizing and studying Institutional work. https://thomaslawrence.files.wordpress.com/2008/08/lawrence-et-al-2009-introduction-theorizing-and-studying-institutiona1.pdf
Lundin, M. (2007). Explaining Cooperation: How Resource Interdependence, Goal Congruence, and Trust Affect Joint Actions. Journal of Public Administration Research and Theory, 17(4), 651-672.
Freeman, J. H. y Audia, P. G. (2006). Community ecology and the sociology of organizations.</v>
      </c>
      <c r="G44" s="109"/>
      <c r="H44" s="109"/>
      <c r="I44" s="110"/>
    </row>
    <row r="45" spans="2:9">
      <c r="B45" s="108"/>
      <c r="C45" s="109"/>
      <c r="D45" s="109"/>
      <c r="E45" s="110"/>
      <c r="F45" s="108"/>
      <c r="G45" s="109"/>
      <c r="H45" s="109"/>
      <c r="I45" s="110"/>
    </row>
    <row r="46" spans="2:9">
      <c r="B46" s="108"/>
      <c r="C46" s="109"/>
      <c r="D46" s="109"/>
      <c r="E46" s="110"/>
      <c r="F46" s="108"/>
      <c r="G46" s="109"/>
      <c r="H46" s="109"/>
      <c r="I46" s="110"/>
    </row>
    <row r="47" spans="2:9">
      <c r="B47" s="108"/>
      <c r="C47" s="109"/>
      <c r="D47" s="109"/>
      <c r="E47" s="110"/>
      <c r="F47" s="108"/>
      <c r="G47" s="109"/>
      <c r="H47" s="109"/>
      <c r="I47" s="110"/>
    </row>
    <row r="48" spans="2:9">
      <c r="B48" s="108"/>
      <c r="C48" s="109"/>
      <c r="D48" s="109"/>
      <c r="E48" s="110"/>
      <c r="F48" s="108"/>
      <c r="G48" s="109"/>
      <c r="H48" s="109"/>
      <c r="I48" s="110"/>
    </row>
    <row r="49" spans="2:9">
      <c r="B49" s="108"/>
      <c r="C49" s="109"/>
      <c r="D49" s="109"/>
      <c r="E49" s="110"/>
      <c r="F49" s="108"/>
      <c r="G49" s="109"/>
      <c r="H49" s="109"/>
      <c r="I49" s="110"/>
    </row>
    <row r="50" spans="2:9">
      <c r="B50" s="108"/>
      <c r="C50" s="109"/>
      <c r="D50" s="109"/>
      <c r="E50" s="110"/>
      <c r="F50" s="108"/>
      <c r="G50" s="109"/>
      <c r="H50" s="109"/>
      <c r="I50" s="110"/>
    </row>
    <row r="51" spans="2:9">
      <c r="B51" s="108"/>
      <c r="C51" s="109"/>
      <c r="D51" s="109"/>
      <c r="E51" s="110"/>
      <c r="F51" s="108"/>
      <c r="G51" s="109"/>
      <c r="H51" s="109"/>
      <c r="I51" s="110"/>
    </row>
    <row r="52" spans="2:9">
      <c r="B52" s="108"/>
      <c r="C52" s="109"/>
      <c r="D52" s="109"/>
      <c r="E52" s="110"/>
      <c r="F52" s="108"/>
      <c r="G52" s="109"/>
      <c r="H52" s="109"/>
      <c r="I52" s="110"/>
    </row>
    <row r="53" spans="2:9">
      <c r="B53" s="108"/>
      <c r="C53" s="109"/>
      <c r="D53" s="109"/>
      <c r="E53" s="110"/>
      <c r="F53" s="108"/>
      <c r="G53" s="109"/>
      <c r="H53" s="109"/>
      <c r="I53" s="110"/>
    </row>
    <row r="54" spans="2:9">
      <c r="B54" s="108"/>
      <c r="C54" s="109"/>
      <c r="D54" s="109"/>
      <c r="E54" s="110"/>
      <c r="F54" s="108"/>
      <c r="G54" s="109"/>
      <c r="H54" s="109"/>
      <c r="I54" s="110"/>
    </row>
    <row r="55" spans="2:9">
      <c r="B55" s="108"/>
      <c r="C55" s="109"/>
      <c r="D55" s="109"/>
      <c r="E55" s="110"/>
      <c r="F55" s="108"/>
      <c r="G55" s="109"/>
      <c r="H55" s="109"/>
      <c r="I55" s="110"/>
    </row>
    <row r="56" spans="2:9">
      <c r="B56" s="108"/>
      <c r="C56" s="109"/>
      <c r="D56" s="109"/>
      <c r="E56" s="110"/>
      <c r="F56" s="108"/>
      <c r="G56" s="109"/>
      <c r="H56" s="109"/>
      <c r="I56" s="110"/>
    </row>
    <row r="57" spans="2:9" ht="15.75" thickBot="1">
      <c r="B57" s="111"/>
      <c r="C57" s="112"/>
      <c r="D57" s="112"/>
      <c r="E57" s="113"/>
      <c r="F57" s="111"/>
      <c r="G57" s="112"/>
      <c r="H57" s="112"/>
      <c r="I57" s="113"/>
    </row>
    <row r="58" spans="2:9">
      <c r="B58" s="80" t="s">
        <v>240</v>
      </c>
      <c r="C58" s="81"/>
      <c r="D58" s="81"/>
      <c r="E58" s="81"/>
      <c r="F58" s="81"/>
      <c r="G58" s="81"/>
      <c r="H58" s="81"/>
      <c r="I58" s="82"/>
    </row>
    <row r="59" spans="2:9">
      <c r="B59" s="33" t="s">
        <v>51</v>
      </c>
      <c r="C59" s="34" t="s">
        <v>52</v>
      </c>
      <c r="D59" s="34" t="s">
        <v>53</v>
      </c>
      <c r="E59" s="34" t="s">
        <v>54</v>
      </c>
      <c r="F59" s="34" t="s">
        <v>55</v>
      </c>
      <c r="G59" s="104" t="s">
        <v>56</v>
      </c>
      <c r="H59" s="104"/>
      <c r="I59" s="105"/>
    </row>
    <row r="60" spans="2:9" ht="30">
      <c r="B60" s="38" cm="1">
        <f t="array" ref="B60">_xlfn.XLOOKUP($H$9,Tabla1[[Nombre Unidad de Estudios]:[Nombre Unidad de Estudios]],Tabla1['# versión],"",0)</f>
        <v>1</v>
      </c>
      <c r="C60" s="41" cm="1">
        <f t="array" ref="C60">_xlfn.XLOOKUP($H$9,Tabla1[[Nombre Unidad de Estudios]:[Nombre Unidad de Estudios]],Tabla1[Fecha],"",0)</f>
        <v>46083</v>
      </c>
      <c r="D60" s="35" t="str" cm="1">
        <f t="array" ref="D60">_xlfn.XLOOKUP($H$9,Tabla1[[Nombre Unidad de Estudios]:[Nombre Unidad de Estudios]],Tabla1[Elaboró],"",0)</f>
        <v>Omar Patiño</v>
      </c>
      <c r="E60" s="35" t="str" cm="1">
        <f t="array" ref="E60">_xlfn.XLOOKUP($H$9,Tabla1[[Nombre Unidad de Estudios]:[Nombre Unidad de Estudios]],Tabla1[Revisó],"",0)</f>
        <v>Juan Carlos Rentería</v>
      </c>
      <c r="F60" s="35" t="str" cm="1">
        <f t="array" ref="F60">_xlfn.XLOOKUP($H$9,Tabla1[[Nombre Unidad de Estudios]:[Nombre Unidad de Estudios]],Tabla1[Aprobó],"",0)</f>
        <v>Comité Curricular</v>
      </c>
      <c r="G60" s="106" t="str" cm="1">
        <f t="array" ref="G60">_xlfn.XLOOKUP($H$9,Tabla1[[Nombre Unidad de Estudios]:[Nombre Unidad de Estudios]],Tabla1[Descripción del cambio],"",0)</f>
        <v>Creación syllabus en nuevo formato</v>
      </c>
      <c r="H60" s="106"/>
      <c r="I60" s="107"/>
    </row>
    <row r="61" spans="2:9">
      <c r="B61" s="38"/>
      <c r="C61" s="35"/>
      <c r="D61" s="35"/>
      <c r="E61" s="35"/>
      <c r="F61" s="35"/>
      <c r="G61" s="106"/>
      <c r="H61" s="106"/>
      <c r="I61" s="107"/>
    </row>
    <row r="62" spans="2:9">
      <c r="B62" s="38"/>
      <c r="C62" s="35"/>
      <c r="D62" s="35"/>
      <c r="E62" s="35"/>
      <c r="F62" s="35"/>
      <c r="G62" s="106"/>
      <c r="H62" s="106"/>
      <c r="I62" s="107"/>
    </row>
    <row r="63" spans="2:9">
      <c r="B63" s="38"/>
      <c r="C63" s="35"/>
      <c r="D63" s="35"/>
      <c r="E63" s="35"/>
      <c r="F63" s="35"/>
      <c r="G63" s="106"/>
      <c r="H63" s="106"/>
      <c r="I63" s="107"/>
    </row>
    <row r="64" spans="2:9">
      <c r="B64" s="38"/>
      <c r="C64" s="35"/>
      <c r="D64" s="35"/>
      <c r="E64" s="35"/>
      <c r="F64" s="35"/>
      <c r="G64" s="106"/>
      <c r="H64" s="106"/>
      <c r="I64" s="107"/>
    </row>
    <row r="65" spans="2:9" ht="15.75" thickBot="1">
      <c r="B65" s="39"/>
      <c r="C65" s="40"/>
      <c r="D65" s="40"/>
      <c r="E65" s="40"/>
      <c r="F65" s="40"/>
      <c r="G65" s="141"/>
      <c r="H65" s="141"/>
      <c r="I65" s="142"/>
    </row>
  </sheetData>
  <mergeCells count="41">
    <mergeCell ref="G65:I65"/>
    <mergeCell ref="G59:I59"/>
    <mergeCell ref="G60:I60"/>
    <mergeCell ref="G61:I61"/>
    <mergeCell ref="G62:I62"/>
    <mergeCell ref="G63:I63"/>
    <mergeCell ref="G64:I64"/>
    <mergeCell ref="B58:I58"/>
    <mergeCell ref="B34:I34"/>
    <mergeCell ref="B35:I36"/>
    <mergeCell ref="B37:I39"/>
    <mergeCell ref="B40:E40"/>
    <mergeCell ref="F40:I40"/>
    <mergeCell ref="B41:E41"/>
    <mergeCell ref="F41:G41"/>
    <mergeCell ref="B42:I42"/>
    <mergeCell ref="B43:E43"/>
    <mergeCell ref="F43:I43"/>
    <mergeCell ref="B44:E57"/>
    <mergeCell ref="F44:I57"/>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K2" display="Menu principal" xr:uid="{00000000-0004-0000-1000-000000000000}"/>
  </hyperlinks>
  <pageMargins left="0.25" right="0.25" top="0.75" bottom="0.75" header="0.3" footer="0.3"/>
  <pageSetup paperSize="9" scale="72"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Tabla!$H$2:$H$22</xm:f>
          </x14:formula1>
          <xm:sqref>H9:I9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C4771-2E85-4BBF-BF51-A7D4C70C3980}">
  <sheetPr>
    <pageSetUpPr fitToPage="1"/>
  </sheetPr>
  <dimension ref="B1:K65"/>
  <sheetViews>
    <sheetView topLeftCell="A12" workbookViewId="0">
      <selection activeCell="B20" sqref="B20:C33"/>
    </sheetView>
  </sheetViews>
  <sheetFormatPr defaultColWidth="10.85546875" defaultRowHeight="15"/>
  <cols>
    <col min="1" max="1" width="3.140625" style="16" customWidth="1"/>
    <col min="2" max="2" width="14.28515625" style="16" customWidth="1"/>
    <col min="3" max="3" width="11.28515625" style="16" bestFit="1" customWidth="1"/>
    <col min="4" max="4" width="12.28515625" style="16" customWidth="1"/>
    <col min="5" max="5" width="16.28515625" style="16" customWidth="1"/>
    <col min="6" max="6" width="18.42578125" style="16" customWidth="1"/>
    <col min="7" max="7" width="10.85546875" style="16" customWidth="1"/>
    <col min="8" max="8" width="9.85546875" style="16" customWidth="1"/>
    <col min="9" max="9" width="16.7109375" style="16" customWidth="1"/>
    <col min="10" max="10" width="10.85546875" style="16"/>
    <col min="11" max="11" width="16.42578125" style="16" customWidth="1"/>
    <col min="12" max="16384" width="10.85546875" style="16"/>
  </cols>
  <sheetData>
    <row r="1" spans="2:11" ht="15.75" thickBot="1">
      <c r="C1" s="17"/>
      <c r="D1" s="17"/>
      <c r="E1" s="17"/>
      <c r="F1" s="17"/>
      <c r="G1" s="17"/>
      <c r="H1" s="17"/>
    </row>
    <row r="2" spans="2:11" ht="22.5" customHeight="1" thickTop="1">
      <c r="B2" s="10"/>
      <c r="C2" s="8" t="s">
        <v>204</v>
      </c>
      <c r="D2" s="8"/>
      <c r="E2" s="8"/>
      <c r="F2" s="8"/>
      <c r="G2" s="8"/>
      <c r="H2" s="8"/>
      <c r="I2" s="18" t="s">
        <v>205</v>
      </c>
      <c r="K2" s="46" t="s">
        <v>206</v>
      </c>
    </row>
    <row r="3" spans="2:11" ht="20.25" customHeight="1">
      <c r="B3" s="9"/>
      <c r="C3" s="7"/>
      <c r="D3" s="7"/>
      <c r="E3" s="7"/>
      <c r="F3" s="7"/>
      <c r="G3" s="7"/>
      <c r="H3" s="7"/>
      <c r="I3" s="19" t="s">
        <v>207</v>
      </c>
    </row>
    <row r="4" spans="2:11" ht="21" customHeight="1" thickBot="1">
      <c r="B4" s="6" t="s">
        <v>208</v>
      </c>
      <c r="C4" s="5"/>
      <c r="D4" s="5"/>
      <c r="E4" s="5"/>
      <c r="F4" s="5"/>
      <c r="G4" s="5"/>
      <c r="H4" s="5"/>
      <c r="I4" s="20" t="s">
        <v>209</v>
      </c>
    </row>
    <row r="5" spans="2:11" ht="16.5" thickTop="1" thickBot="1">
      <c r="B5" s="4"/>
      <c r="C5" s="4"/>
      <c r="D5" s="4"/>
      <c r="E5" s="4"/>
      <c r="F5" s="4"/>
      <c r="G5" s="4"/>
      <c r="H5" s="4"/>
      <c r="I5" s="4"/>
    </row>
    <row r="6" spans="2:11">
      <c r="B6" s="3" t="s">
        <v>210</v>
      </c>
      <c r="C6" s="2"/>
      <c r="D6" s="2"/>
      <c r="E6" s="2"/>
      <c r="F6" s="2"/>
      <c r="G6" s="2"/>
      <c r="H6" s="2"/>
      <c r="I6" s="1"/>
    </row>
    <row r="7" spans="2:11" ht="60">
      <c r="B7" s="22" t="s">
        <v>29</v>
      </c>
      <c r="C7" s="23" cm="1">
        <f t="array" ref="C7">_xlfn.XLOOKUP($H$9,Tabla1[[Nombre Unidad de Estudios]:[Nombre Unidad de Estudios]],Tabla1[Año],"",0)</f>
        <v>2026</v>
      </c>
      <c r="D7" s="24" t="s">
        <v>211</v>
      </c>
      <c r="E7" s="23" t="str" cm="1">
        <f t="array" ref="E7">_xlfn.XLOOKUP($H$9,Tabla1[[Nombre Unidad de Estudios]:[Nombre Unidad de Estudios]],Tabla1[Código Plan de Estudios],"",0)</f>
        <v>DTPGESBOG002</v>
      </c>
      <c r="F7" s="24" t="s">
        <v>212</v>
      </c>
      <c r="G7" s="23" t="str" cm="1">
        <f t="array" ref="G7">_xlfn.XLOOKUP($H$9,Tabla1[[Nombre Unidad de Estudios]:[Nombre Unidad de Estudios]],Tabla1[Código Unidad de Estudios],"",0)</f>
        <v>ADP01381</v>
      </c>
      <c r="H7" s="24" t="s">
        <v>213</v>
      </c>
      <c r="I7" s="23" t="str" cm="1">
        <f t="array" ref="I7">_xlfn.XLOOKUP($H$9,Tabla1[[Nombre Unidad de Estudios]:[Nombre Unidad de Estudios]],Tabla1[Tipo Unidad de Estudios],"",0)</f>
        <v>Nuclear</v>
      </c>
    </row>
    <row r="8" spans="2:11" ht="30">
      <c r="B8" s="22" t="s">
        <v>33</v>
      </c>
      <c r="C8" s="25" t="s">
        <v>60</v>
      </c>
      <c r="D8" s="35" t="s">
        <v>214</v>
      </c>
      <c r="E8" s="25" t="s">
        <v>215</v>
      </c>
      <c r="F8" s="24"/>
      <c r="G8" s="24" t="s">
        <v>216</v>
      </c>
      <c r="H8" s="12"/>
      <c r="I8" s="11"/>
    </row>
    <row r="9" spans="2:11" ht="45">
      <c r="B9" s="26" t="s">
        <v>217</v>
      </c>
      <c r="C9" s="23" t="str" cm="1">
        <f t="array" ref="C9">_xlfn.XLOOKUP($H$9,Tabla1[[Nombre Unidad de Estudios]:[Nombre Unidad de Estudios]],Tabla1[Nivel],"",0)</f>
        <v>Doctorado</v>
      </c>
      <c r="D9" s="25" t="s">
        <v>218</v>
      </c>
      <c r="E9" s="78" t="str" cm="1">
        <f t="array" ref="E9">_xlfn.XLOOKUP($H$9,Tabla1[[Nombre Unidad de Estudios]:[Nombre Unidad de Estudios]],Tabla1[Programa],"",0)</f>
        <v>Doctorado En Gestión</v>
      </c>
      <c r="F9" s="78"/>
      <c r="G9" s="24" t="s">
        <v>219</v>
      </c>
      <c r="H9" s="78" t="s">
        <v>7</v>
      </c>
      <c r="I9" s="79"/>
    </row>
    <row r="10" spans="2:11" ht="30.75" thickBot="1">
      <c r="B10" s="27" t="s">
        <v>37</v>
      </c>
      <c r="C10" s="28" cm="1">
        <f t="array" ref="C10">_xlfn.XLOOKUP($H$9,Tabla1[[Nombre Unidad de Estudios]:[Nombre Unidad de Estudios]],Tabla1[Créditos Académicos],"",0)</f>
        <v>3</v>
      </c>
      <c r="D10" s="29" t="s">
        <v>220</v>
      </c>
      <c r="E10" s="28" cm="1">
        <f t="array" ref="E10">_xlfn.XLOOKUP($H$9,Tabla1[[Nombre Unidad de Estudios]:[Nombre Unidad de Estudios]],Tabla1[Horas de Acompañamiento Directo '[HAD']],"",0)</f>
        <v>36</v>
      </c>
      <c r="F10" s="29" t="s">
        <v>221</v>
      </c>
      <c r="G10" s="28" cm="1">
        <f t="array" ref="G10">_xlfn.XLOOKUP($H$9,Tabla1[[Nombre Unidad de Estudios]:[Nombre Unidad de Estudios]],Tabla1[Horas de Trabajo Autónomo '[HTA']],"",0)</f>
        <v>108</v>
      </c>
      <c r="H10" s="29" t="s">
        <v>222</v>
      </c>
      <c r="I10" s="30">
        <f>E10+G10</f>
        <v>144</v>
      </c>
    </row>
    <row r="11" spans="2:11">
      <c r="B11" s="80" t="s">
        <v>223</v>
      </c>
      <c r="C11" s="81"/>
      <c r="D11" s="81"/>
      <c r="E11" s="81"/>
      <c r="F11" s="81"/>
      <c r="G11" s="81"/>
      <c r="H11" s="81"/>
      <c r="I11" s="82"/>
    </row>
    <row r="12" spans="2:11" ht="76.5" customHeight="1">
      <c r="B12" s="83" t="s">
        <v>224</v>
      </c>
      <c r="C12" s="84"/>
      <c r="D12" s="85" t="str" cm="1">
        <f t="array" ref="D12">_xlfn.XLOOKUP($H$9,Tabla1[[Nombre Unidad de Estudios]:[Nombre Unidad de Estudios]],Tabla1[Descripción de la Unidad de Estudios],"",0)</f>
        <v>La investigación como un proceso de generación de conocimiento se convierte en una de las herramientas más importantes para el desarrollo gerencial y para el avance de las ciencias de la gestión. Esta unidad desarrolla habilidades para llevar a cabo procesos rigurosos de investigación aplicada.</v>
      </c>
      <c r="E12" s="86"/>
      <c r="F12" s="86"/>
      <c r="G12" s="86"/>
      <c r="H12" s="86"/>
      <c r="I12" s="87"/>
    </row>
    <row r="13" spans="2:11" ht="66" customHeight="1" thickBot="1">
      <c r="B13" s="88" t="s">
        <v>225</v>
      </c>
      <c r="C13" s="89"/>
      <c r="D13" s="90" t="str" cm="1">
        <f t="array" ref="D13">_xlfn.XLOOKUP($H$9,Tabla1[[Nombre Unidad de Estudios]:[Nombre Unidad de Estudios]],Tabla1[Resultado de Aprendizaje de la Unidad de Estudios],"",0)</f>
        <v>Desarrollar las habilidades necesarias para llevar a cabo procesos rigurosos y metódicos de investigación aplicada a la administración para la sostenibilidad y con ello comprender realidades particulares de cada organización, determinando variables e indicadores de investigación.</v>
      </c>
      <c r="E13" s="91"/>
      <c r="F13" s="91"/>
      <c r="G13" s="91"/>
      <c r="H13" s="91"/>
      <c r="I13" s="92"/>
    </row>
    <row r="14" spans="2:11">
      <c r="B14" s="80" t="s">
        <v>226</v>
      </c>
      <c r="C14" s="81"/>
      <c r="D14" s="81"/>
      <c r="E14" s="81"/>
      <c r="F14" s="81"/>
      <c r="G14" s="81"/>
      <c r="H14" s="81"/>
      <c r="I14" s="82"/>
    </row>
    <row r="15" spans="2:11">
      <c r="B15" s="93" t="s">
        <v>227</v>
      </c>
      <c r="C15" s="78"/>
      <c r="D15" s="78"/>
      <c r="E15" s="78"/>
      <c r="F15" s="78"/>
      <c r="G15" s="78"/>
      <c r="H15" s="78"/>
      <c r="I15" s="79"/>
    </row>
    <row r="16" spans="2:11">
      <c r="B16" s="93"/>
      <c r="C16" s="78"/>
      <c r="D16" s="78"/>
      <c r="E16" s="78"/>
      <c r="F16" s="78"/>
      <c r="G16" s="78"/>
      <c r="H16" s="78"/>
      <c r="I16" s="79"/>
    </row>
    <row r="17" spans="2:9" ht="15.75" thickBot="1">
      <c r="B17" s="94"/>
      <c r="C17" s="95"/>
      <c r="D17" s="95"/>
      <c r="E17" s="95"/>
      <c r="F17" s="95"/>
      <c r="G17" s="95"/>
      <c r="H17" s="95"/>
      <c r="I17" s="96"/>
    </row>
    <row r="18" spans="2:9" ht="15.75" thickBot="1">
      <c r="B18" s="97" t="s">
        <v>228</v>
      </c>
      <c r="C18" s="98"/>
      <c r="D18" s="98"/>
      <c r="E18" s="98"/>
      <c r="F18" s="98"/>
      <c r="G18" s="98"/>
      <c r="H18" s="98"/>
      <c r="I18" s="99"/>
    </row>
    <row r="19" spans="2:9">
      <c r="B19" s="21" t="s">
        <v>44</v>
      </c>
      <c r="C19" s="43" t="str" cm="1">
        <f t="array" ref="C19">_xlfn.XLOOKUP($H$9,Tabla1[[Nombre Unidad de Estudios]:[Nombre Unidad de Estudios]],Tabla1[Módulo],"",0)</f>
        <v>6 semanas</v>
      </c>
      <c r="D19" s="21" t="s">
        <v>229</v>
      </c>
      <c r="E19" s="143" t="s">
        <v>230</v>
      </c>
      <c r="F19" s="144"/>
      <c r="G19" s="31" t="s">
        <v>231</v>
      </c>
      <c r="H19" s="145" t="s">
        <v>232</v>
      </c>
      <c r="I19" s="146"/>
    </row>
    <row r="20" spans="2:9">
      <c r="B20" s="13" t="str" cm="1">
        <f t="array" ref="B20">_xlfn.XLOOKUP($H$9,Tabla1[[Nombre Unidad de Estudios]:[Nombre Unidad de Estudios]],Tabla1[Contenidos Unidad de Estudios],"",0)</f>
        <v>Las ciencias de la gestión y su investigación.
Discusión sobre tipologías de investigación y tipologías de los artículos científicos.
Extrapolación de tipologías de presentación y estructuración de los artículos científicos.
Aproximación al marco teórico. Revisión y consulta de la literatura.</v>
      </c>
      <c r="C20" s="55"/>
      <c r="D20" s="60"/>
      <c r="E20" s="61"/>
      <c r="F20" s="62"/>
      <c r="G20" s="69"/>
      <c r="H20" s="70"/>
      <c r="I20" s="71"/>
    </row>
    <row r="21" spans="2:9">
      <c r="B21" s="56"/>
      <c r="C21" s="57"/>
      <c r="D21" s="63"/>
      <c r="E21" s="64"/>
      <c r="F21" s="65"/>
      <c r="G21" s="72"/>
      <c r="H21" s="73"/>
      <c r="I21" s="74"/>
    </row>
    <row r="22" spans="2:9">
      <c r="B22" s="56"/>
      <c r="C22" s="57"/>
      <c r="D22" s="63"/>
      <c r="E22" s="64"/>
      <c r="F22" s="65"/>
      <c r="G22" s="72"/>
      <c r="H22" s="73"/>
      <c r="I22" s="74"/>
    </row>
    <row r="23" spans="2:9">
      <c r="B23" s="56"/>
      <c r="C23" s="57"/>
      <c r="D23" s="63"/>
      <c r="E23" s="64"/>
      <c r="F23" s="65"/>
      <c r="G23" s="72"/>
      <c r="H23" s="73"/>
      <c r="I23" s="74"/>
    </row>
    <row r="24" spans="2:9">
      <c r="B24" s="56"/>
      <c r="C24" s="57"/>
      <c r="D24" s="63"/>
      <c r="E24" s="64"/>
      <c r="F24" s="65"/>
      <c r="G24" s="72"/>
      <c r="H24" s="73"/>
      <c r="I24" s="74"/>
    </row>
    <row r="25" spans="2:9">
      <c r="B25" s="56"/>
      <c r="C25" s="57"/>
      <c r="D25" s="63"/>
      <c r="E25" s="64"/>
      <c r="F25" s="65"/>
      <c r="G25" s="72"/>
      <c r="H25" s="73"/>
      <c r="I25" s="74"/>
    </row>
    <row r="26" spans="2:9">
      <c r="B26" s="56"/>
      <c r="C26" s="57"/>
      <c r="D26" s="63"/>
      <c r="E26" s="64"/>
      <c r="F26" s="65"/>
      <c r="G26" s="72"/>
      <c r="H26" s="73"/>
      <c r="I26" s="74"/>
    </row>
    <row r="27" spans="2:9">
      <c r="B27" s="56"/>
      <c r="C27" s="57"/>
      <c r="D27" s="63"/>
      <c r="E27" s="64"/>
      <c r="F27" s="65"/>
      <c r="G27" s="72"/>
      <c r="H27" s="73"/>
      <c r="I27" s="74"/>
    </row>
    <row r="28" spans="2:9">
      <c r="B28" s="56"/>
      <c r="C28" s="57"/>
      <c r="D28" s="63"/>
      <c r="E28" s="64"/>
      <c r="F28" s="65"/>
      <c r="G28" s="72"/>
      <c r="H28" s="73"/>
      <c r="I28" s="74"/>
    </row>
    <row r="29" spans="2:9">
      <c r="B29" s="56"/>
      <c r="C29" s="57"/>
      <c r="D29" s="63"/>
      <c r="E29" s="64"/>
      <c r="F29" s="65"/>
      <c r="G29" s="72"/>
      <c r="H29" s="73"/>
      <c r="I29" s="74"/>
    </row>
    <row r="30" spans="2:9">
      <c r="B30" s="56"/>
      <c r="C30" s="57"/>
      <c r="D30" s="63"/>
      <c r="E30" s="64"/>
      <c r="F30" s="65"/>
      <c r="G30" s="72"/>
      <c r="H30" s="73"/>
      <c r="I30" s="74"/>
    </row>
    <row r="31" spans="2:9">
      <c r="B31" s="56"/>
      <c r="C31" s="57"/>
      <c r="D31" s="63"/>
      <c r="E31" s="64"/>
      <c r="F31" s="65"/>
      <c r="G31" s="72"/>
      <c r="H31" s="73"/>
      <c r="I31" s="74"/>
    </row>
    <row r="32" spans="2:9">
      <c r="B32" s="56"/>
      <c r="C32" s="57"/>
      <c r="D32" s="63"/>
      <c r="E32" s="64"/>
      <c r="F32" s="65"/>
      <c r="G32" s="72"/>
      <c r="H32" s="73"/>
      <c r="I32" s="74"/>
    </row>
    <row r="33" spans="2:9" ht="15.75" thickBot="1">
      <c r="B33" s="58"/>
      <c r="C33" s="59"/>
      <c r="D33" s="66"/>
      <c r="E33" s="67"/>
      <c r="F33" s="68"/>
      <c r="G33" s="75"/>
      <c r="H33" s="76"/>
      <c r="I33" s="77"/>
    </row>
    <row r="34" spans="2:9" ht="15.75" thickBot="1">
      <c r="B34" s="114" t="s">
        <v>233</v>
      </c>
      <c r="C34" s="115"/>
      <c r="D34" s="115"/>
      <c r="E34" s="115"/>
      <c r="F34" s="115"/>
      <c r="G34" s="115"/>
      <c r="H34" s="115"/>
      <c r="I34" s="116"/>
    </row>
    <row r="35" spans="2:9" ht="14.45" customHeight="1">
      <c r="B35" s="126" t="s">
        <v>234</v>
      </c>
      <c r="C35" s="127"/>
      <c r="D35" s="127"/>
      <c r="E35" s="127"/>
      <c r="F35" s="127"/>
      <c r="G35" s="127"/>
      <c r="H35" s="127"/>
      <c r="I35" s="128"/>
    </row>
    <row r="36" spans="2:9">
      <c r="B36" s="129"/>
      <c r="C36" s="130"/>
      <c r="D36" s="130"/>
      <c r="E36" s="130"/>
      <c r="F36" s="130"/>
      <c r="G36" s="130"/>
      <c r="H36" s="130"/>
      <c r="I36" s="131"/>
    </row>
    <row r="37" spans="2:9">
      <c r="B37" s="132" t="str" cm="1">
        <f t="array" ref="B37">_xlfn.XLOOKUP($H$9,Tabla1[[Nombre Unidad de Estudios]:[Nombre Unidad de Estudios]],Tabla1[Esquema de Calificación],"",0)</f>
        <v>20% Participación en clase.
50% Presentación del trabajo final.
30% Elaboración de revisiones de literatura.</v>
      </c>
      <c r="C37" s="133"/>
      <c r="D37" s="133"/>
      <c r="E37" s="133"/>
      <c r="F37" s="133"/>
      <c r="G37" s="133"/>
      <c r="H37" s="133"/>
      <c r="I37" s="134"/>
    </row>
    <row r="38" spans="2:9">
      <c r="B38" s="132"/>
      <c r="C38" s="133"/>
      <c r="D38" s="133"/>
      <c r="E38" s="133"/>
      <c r="F38" s="133"/>
      <c r="G38" s="133"/>
      <c r="H38" s="133"/>
      <c r="I38" s="134"/>
    </row>
    <row r="39" spans="2:9" ht="15.75" thickBot="1">
      <c r="B39" s="135"/>
      <c r="C39" s="136"/>
      <c r="D39" s="136"/>
      <c r="E39" s="136"/>
      <c r="F39" s="136"/>
      <c r="G39" s="136"/>
      <c r="H39" s="136"/>
      <c r="I39" s="137"/>
    </row>
    <row r="40" spans="2:9" ht="34.5" customHeight="1" thickBot="1">
      <c r="B40" s="117" t="s">
        <v>235</v>
      </c>
      <c r="C40" s="118"/>
      <c r="D40" s="118"/>
      <c r="E40" s="119"/>
      <c r="F40" s="120" t="str" cm="1">
        <f t="array" ref="F40">_xlfn.XLOOKUP($H$9,Tabla1[[Nombre Unidad de Estudios]:[Nombre Unidad de Estudios]],Tabla1[Recursos Tecnológicos],"",0)</f>
        <v>Base de datos; Material bibliográfico; Plataforma virtual</v>
      </c>
      <c r="G40" s="121"/>
      <c r="H40" s="121"/>
      <c r="I40" s="122"/>
    </row>
    <row r="41" spans="2:9" ht="15.75" thickBot="1">
      <c r="B41" s="123" t="s">
        <v>236</v>
      </c>
      <c r="C41" s="124"/>
      <c r="D41" s="124"/>
      <c r="E41" s="124"/>
      <c r="F41" s="125" t="str" cm="1">
        <f t="array" ref="F41">_xlfn.XLOOKUP($H$9,Tabla1[[Nombre Unidad de Estudios]:[Nombre Unidad de Estudios]],Tabla1[Componente de Lengua Extranjera '[Idioma']],"",0)</f>
        <v>Inglés</v>
      </c>
      <c r="G41" s="125"/>
      <c r="H41" s="32" t="s">
        <v>237</v>
      </c>
      <c r="I41" s="36" cm="1">
        <f t="array" ref="I41">_xlfn.XLOOKUP($H$9,Tabla1[[Nombre Unidad de Estudios]:[Nombre Unidad de Estudios]],Tabla1[Componente de Lengua Extranjera '[%']],"",0)</f>
        <v>0.3</v>
      </c>
    </row>
    <row r="42" spans="2:9">
      <c r="B42" s="80" t="s">
        <v>238</v>
      </c>
      <c r="C42" s="81"/>
      <c r="D42" s="81"/>
      <c r="E42" s="81"/>
      <c r="F42" s="81"/>
      <c r="G42" s="81"/>
      <c r="H42" s="81"/>
      <c r="I42" s="82"/>
    </row>
    <row r="43" spans="2:9" ht="14.45" customHeight="1">
      <c r="B43" s="138" t="s">
        <v>49</v>
      </c>
      <c r="C43" s="139"/>
      <c r="D43" s="139"/>
      <c r="E43" s="140"/>
      <c r="F43" s="138" t="s">
        <v>239</v>
      </c>
      <c r="G43" s="139"/>
      <c r="H43" s="139"/>
      <c r="I43" s="140"/>
    </row>
    <row r="44" spans="2:9">
      <c r="B44" s="108" t="str" cm="1">
        <f t="array" ref="B44">_xlfn.XLOOKUP($H$9,Tabla1[[Nombre Unidad de Estudios]:[Nombre Unidad de Estudios]],Tabla1[Bibliografía Obligatoria],"",0)</f>
        <v>Bell, C. y French, W. (1995). Desarrollo Organizacional. Prentice-Hall Hispanoamericana.
Bernal Torres, C. A. (2000). Metodología de la Investigación para Administración y Economía. Pearson.
Bejarano A., J. A. (1996). Sobre la Investigación y la Consultoría Económica: Fragmentos de un Proyecto. Innovar, (8).</v>
      </c>
      <c r="C44" s="109"/>
      <c r="D44" s="109"/>
      <c r="E44" s="110"/>
      <c r="F44" s="108" t="str" cm="1">
        <f t="array" ref="F44">_xlfn.XLOOKUP($H$9,Tabla1[[Nombre Unidad de Estudios]:[Nombre Unidad de Estudios]],Tabla1[Bibliografia Complementaria],"",0)</f>
        <v>Jordan, P. J. y Troth, A. C. (2020). Common method bias in applied settings. Australian Journal of Management, 45(1), 3-14. https://doi.org/10.1177/0312896219871976
Kuhn, T. S. (2005). La estructura de las revoluciones científicas. Fondo de Cultura Económica.
Lakatos, I. (1993). La metodología de los Programas de investigación científica. Alianza.</v>
      </c>
      <c r="G44" s="109"/>
      <c r="H44" s="109"/>
      <c r="I44" s="110"/>
    </row>
    <row r="45" spans="2:9">
      <c r="B45" s="108"/>
      <c r="C45" s="109"/>
      <c r="D45" s="109"/>
      <c r="E45" s="110"/>
      <c r="F45" s="108"/>
      <c r="G45" s="109"/>
      <c r="H45" s="109"/>
      <c r="I45" s="110"/>
    </row>
    <row r="46" spans="2:9">
      <c r="B46" s="108"/>
      <c r="C46" s="109"/>
      <c r="D46" s="109"/>
      <c r="E46" s="110"/>
      <c r="F46" s="108"/>
      <c r="G46" s="109"/>
      <c r="H46" s="109"/>
      <c r="I46" s="110"/>
    </row>
    <row r="47" spans="2:9">
      <c r="B47" s="108"/>
      <c r="C47" s="109"/>
      <c r="D47" s="109"/>
      <c r="E47" s="110"/>
      <c r="F47" s="108"/>
      <c r="G47" s="109"/>
      <c r="H47" s="109"/>
      <c r="I47" s="110"/>
    </row>
    <row r="48" spans="2:9">
      <c r="B48" s="108"/>
      <c r="C48" s="109"/>
      <c r="D48" s="109"/>
      <c r="E48" s="110"/>
      <c r="F48" s="108"/>
      <c r="G48" s="109"/>
      <c r="H48" s="109"/>
      <c r="I48" s="110"/>
    </row>
    <row r="49" spans="2:9">
      <c r="B49" s="108"/>
      <c r="C49" s="109"/>
      <c r="D49" s="109"/>
      <c r="E49" s="110"/>
      <c r="F49" s="108"/>
      <c r="G49" s="109"/>
      <c r="H49" s="109"/>
      <c r="I49" s="110"/>
    </row>
    <row r="50" spans="2:9">
      <c r="B50" s="108"/>
      <c r="C50" s="109"/>
      <c r="D50" s="109"/>
      <c r="E50" s="110"/>
      <c r="F50" s="108"/>
      <c r="G50" s="109"/>
      <c r="H50" s="109"/>
      <c r="I50" s="110"/>
    </row>
    <row r="51" spans="2:9">
      <c r="B51" s="108"/>
      <c r="C51" s="109"/>
      <c r="D51" s="109"/>
      <c r="E51" s="110"/>
      <c r="F51" s="108"/>
      <c r="G51" s="109"/>
      <c r="H51" s="109"/>
      <c r="I51" s="110"/>
    </row>
    <row r="52" spans="2:9">
      <c r="B52" s="108"/>
      <c r="C52" s="109"/>
      <c r="D52" s="109"/>
      <c r="E52" s="110"/>
      <c r="F52" s="108"/>
      <c r="G52" s="109"/>
      <c r="H52" s="109"/>
      <c r="I52" s="110"/>
    </row>
    <row r="53" spans="2:9">
      <c r="B53" s="108"/>
      <c r="C53" s="109"/>
      <c r="D53" s="109"/>
      <c r="E53" s="110"/>
      <c r="F53" s="108"/>
      <c r="G53" s="109"/>
      <c r="H53" s="109"/>
      <c r="I53" s="110"/>
    </row>
    <row r="54" spans="2:9">
      <c r="B54" s="108"/>
      <c r="C54" s="109"/>
      <c r="D54" s="109"/>
      <c r="E54" s="110"/>
      <c r="F54" s="108"/>
      <c r="G54" s="109"/>
      <c r="H54" s="109"/>
      <c r="I54" s="110"/>
    </row>
    <row r="55" spans="2:9">
      <c r="B55" s="108"/>
      <c r="C55" s="109"/>
      <c r="D55" s="109"/>
      <c r="E55" s="110"/>
      <c r="F55" s="108"/>
      <c r="G55" s="109"/>
      <c r="H55" s="109"/>
      <c r="I55" s="110"/>
    </row>
    <row r="56" spans="2:9">
      <c r="B56" s="108"/>
      <c r="C56" s="109"/>
      <c r="D56" s="109"/>
      <c r="E56" s="110"/>
      <c r="F56" s="108"/>
      <c r="G56" s="109"/>
      <c r="H56" s="109"/>
      <c r="I56" s="110"/>
    </row>
    <row r="57" spans="2:9" ht="15.75" thickBot="1">
      <c r="B57" s="111"/>
      <c r="C57" s="112"/>
      <c r="D57" s="112"/>
      <c r="E57" s="113"/>
      <c r="F57" s="111"/>
      <c r="G57" s="112"/>
      <c r="H57" s="112"/>
      <c r="I57" s="113"/>
    </row>
    <row r="58" spans="2:9">
      <c r="B58" s="80" t="s">
        <v>240</v>
      </c>
      <c r="C58" s="81"/>
      <c r="D58" s="81"/>
      <c r="E58" s="81"/>
      <c r="F58" s="81"/>
      <c r="G58" s="81"/>
      <c r="H58" s="81"/>
      <c r="I58" s="82"/>
    </row>
    <row r="59" spans="2:9">
      <c r="B59" s="33" t="s">
        <v>51</v>
      </c>
      <c r="C59" s="34" t="s">
        <v>52</v>
      </c>
      <c r="D59" s="34" t="s">
        <v>53</v>
      </c>
      <c r="E59" s="34" t="s">
        <v>54</v>
      </c>
      <c r="F59" s="34" t="s">
        <v>55</v>
      </c>
      <c r="G59" s="104" t="s">
        <v>56</v>
      </c>
      <c r="H59" s="104"/>
      <c r="I59" s="105"/>
    </row>
    <row r="60" spans="2:9" ht="30">
      <c r="B60" s="38" cm="1">
        <f t="array" ref="B60">_xlfn.XLOOKUP($H$9,Tabla1[[Nombre Unidad de Estudios]:[Nombre Unidad de Estudios]],Tabla1['# versión],"",0)</f>
        <v>1</v>
      </c>
      <c r="C60" s="41" cm="1">
        <f t="array" ref="C60">_xlfn.XLOOKUP($H$9,Tabla1[[Nombre Unidad de Estudios]:[Nombre Unidad de Estudios]],Tabla1[Fecha],"",0)</f>
        <v>46083</v>
      </c>
      <c r="D60" s="35" t="str" cm="1">
        <f t="array" ref="D60">_xlfn.XLOOKUP($H$9,Tabla1[[Nombre Unidad de Estudios]:[Nombre Unidad de Estudios]],Tabla1[Elaboró],"",0)</f>
        <v>Omar Patiño</v>
      </c>
      <c r="E60" s="35" t="str" cm="1">
        <f t="array" ref="E60">_xlfn.XLOOKUP($H$9,Tabla1[[Nombre Unidad de Estudios]:[Nombre Unidad de Estudios]],Tabla1[Revisó],"",0)</f>
        <v>Juan Carlos Rentería</v>
      </c>
      <c r="F60" s="35" t="str" cm="1">
        <f t="array" ref="F60">_xlfn.XLOOKUP($H$9,Tabla1[[Nombre Unidad de Estudios]:[Nombre Unidad de Estudios]],Tabla1[Aprobó],"",0)</f>
        <v>Comité Curricular</v>
      </c>
      <c r="G60" s="106" t="str" cm="1">
        <f t="array" ref="G60">_xlfn.XLOOKUP($H$9,Tabla1[[Nombre Unidad de Estudios]:[Nombre Unidad de Estudios]],Tabla1[Descripción del cambio],"",0)</f>
        <v>Creación syllabus en nuevo formato</v>
      </c>
      <c r="H60" s="106"/>
      <c r="I60" s="107"/>
    </row>
    <row r="61" spans="2:9">
      <c r="B61" s="38"/>
      <c r="C61" s="35"/>
      <c r="D61" s="35"/>
      <c r="E61" s="35"/>
      <c r="F61" s="35"/>
      <c r="G61" s="106"/>
      <c r="H61" s="106"/>
      <c r="I61" s="107"/>
    </row>
    <row r="62" spans="2:9">
      <c r="B62" s="38"/>
      <c r="C62" s="35"/>
      <c r="D62" s="35"/>
      <c r="E62" s="35"/>
      <c r="F62" s="35"/>
      <c r="G62" s="106"/>
      <c r="H62" s="106"/>
      <c r="I62" s="107"/>
    </row>
    <row r="63" spans="2:9">
      <c r="B63" s="38"/>
      <c r="C63" s="35"/>
      <c r="D63" s="35"/>
      <c r="E63" s="35"/>
      <c r="F63" s="35"/>
      <c r="G63" s="106"/>
      <c r="H63" s="106"/>
      <c r="I63" s="107"/>
    </row>
    <row r="64" spans="2:9">
      <c r="B64" s="38"/>
      <c r="C64" s="35"/>
      <c r="D64" s="35"/>
      <c r="E64" s="35"/>
      <c r="F64" s="35"/>
      <c r="G64" s="106"/>
      <c r="H64" s="106"/>
      <c r="I64" s="107"/>
    </row>
    <row r="65" spans="2:9" ht="15.75" thickBot="1">
      <c r="B65" s="39"/>
      <c r="C65" s="40"/>
      <c r="D65" s="40"/>
      <c r="E65" s="40"/>
      <c r="F65" s="40"/>
      <c r="G65" s="141"/>
      <c r="H65" s="141"/>
      <c r="I65" s="142"/>
    </row>
  </sheetData>
  <mergeCells count="41">
    <mergeCell ref="G65:I65"/>
    <mergeCell ref="G59:I59"/>
    <mergeCell ref="G60:I60"/>
    <mergeCell ref="G61:I61"/>
    <mergeCell ref="G62:I62"/>
    <mergeCell ref="G63:I63"/>
    <mergeCell ref="G64:I64"/>
    <mergeCell ref="B58:I58"/>
    <mergeCell ref="B34:I34"/>
    <mergeCell ref="B35:I36"/>
    <mergeCell ref="B37:I39"/>
    <mergeCell ref="B40:E40"/>
    <mergeCell ref="F40:I40"/>
    <mergeCell ref="B41:E41"/>
    <mergeCell ref="F41:G41"/>
    <mergeCell ref="B42:I42"/>
    <mergeCell ref="B43:E43"/>
    <mergeCell ref="F43:I43"/>
    <mergeCell ref="B44:E57"/>
    <mergeCell ref="F44:I57"/>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K2" display="Menu principal" xr:uid="{00000000-0004-0000-1100-000000000000}"/>
  </hyperlinks>
  <pageMargins left="0.25" right="0.25" top="0.75" bottom="0.75" header="0.3" footer="0.3"/>
  <pageSetup paperSize="9" scale="72"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Tabla!$H$2:$H$22</xm:f>
          </x14:formula1>
          <xm:sqref>H9:I9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4E4C1-E540-4AD8-8831-E7525B40B266}">
  <sheetPr>
    <pageSetUpPr fitToPage="1"/>
  </sheetPr>
  <dimension ref="B1:K65"/>
  <sheetViews>
    <sheetView topLeftCell="A12" workbookViewId="0">
      <selection activeCell="B20" sqref="B20:C33"/>
    </sheetView>
  </sheetViews>
  <sheetFormatPr defaultColWidth="10.85546875" defaultRowHeight="15"/>
  <cols>
    <col min="1" max="1" width="3.140625" style="16" customWidth="1"/>
    <col min="2" max="2" width="14.28515625" style="16" customWidth="1"/>
    <col min="3" max="3" width="11.28515625" style="16" bestFit="1" customWidth="1"/>
    <col min="4" max="4" width="12.28515625" style="16" customWidth="1"/>
    <col min="5" max="5" width="16.28515625" style="16" customWidth="1"/>
    <col min="6" max="6" width="18.42578125" style="16" customWidth="1"/>
    <col min="7" max="7" width="10.85546875" style="16" customWidth="1"/>
    <col min="8" max="8" width="9.85546875" style="16" customWidth="1"/>
    <col min="9" max="9" width="16.7109375" style="16" customWidth="1"/>
    <col min="10" max="10" width="10.85546875" style="16"/>
    <col min="11" max="11" width="16.42578125" style="16" customWidth="1"/>
    <col min="12" max="16384" width="10.85546875" style="16"/>
  </cols>
  <sheetData>
    <row r="1" spans="2:11" ht="15.75" thickBot="1">
      <c r="C1" s="17"/>
      <c r="D1" s="17"/>
      <c r="E1" s="17"/>
      <c r="F1" s="17"/>
      <c r="G1" s="17"/>
      <c r="H1" s="17"/>
    </row>
    <row r="2" spans="2:11" ht="22.5" customHeight="1" thickTop="1">
      <c r="B2" s="10"/>
      <c r="C2" s="8" t="s">
        <v>204</v>
      </c>
      <c r="D2" s="8"/>
      <c r="E2" s="8"/>
      <c r="F2" s="8"/>
      <c r="G2" s="8"/>
      <c r="H2" s="8"/>
      <c r="I2" s="18" t="s">
        <v>205</v>
      </c>
      <c r="K2" s="46" t="s">
        <v>206</v>
      </c>
    </row>
    <row r="3" spans="2:11" ht="20.25" customHeight="1">
      <c r="B3" s="9"/>
      <c r="C3" s="7"/>
      <c r="D3" s="7"/>
      <c r="E3" s="7"/>
      <c r="F3" s="7"/>
      <c r="G3" s="7"/>
      <c r="H3" s="7"/>
      <c r="I3" s="19" t="s">
        <v>207</v>
      </c>
    </row>
    <row r="4" spans="2:11" ht="21" customHeight="1" thickBot="1">
      <c r="B4" s="6" t="s">
        <v>208</v>
      </c>
      <c r="C4" s="5"/>
      <c r="D4" s="5"/>
      <c r="E4" s="5"/>
      <c r="F4" s="5"/>
      <c r="G4" s="5"/>
      <c r="H4" s="5"/>
      <c r="I4" s="20" t="s">
        <v>209</v>
      </c>
    </row>
    <row r="5" spans="2:11" ht="16.5" thickTop="1" thickBot="1">
      <c r="B5" s="4"/>
      <c r="C5" s="4"/>
      <c r="D5" s="4"/>
      <c r="E5" s="4"/>
      <c r="F5" s="4"/>
      <c r="G5" s="4"/>
      <c r="H5" s="4"/>
      <c r="I5" s="4"/>
    </row>
    <row r="6" spans="2:11">
      <c r="B6" s="3" t="s">
        <v>210</v>
      </c>
      <c r="C6" s="2"/>
      <c r="D6" s="2"/>
      <c r="E6" s="2"/>
      <c r="F6" s="2"/>
      <c r="G6" s="2"/>
      <c r="H6" s="2"/>
      <c r="I6" s="1"/>
    </row>
    <row r="7" spans="2:11" ht="60">
      <c r="B7" s="22" t="s">
        <v>29</v>
      </c>
      <c r="C7" s="23" cm="1">
        <f t="array" ref="C7">_xlfn.XLOOKUP($H$9,Tabla1[[Nombre Unidad de Estudios]:[Nombre Unidad de Estudios]],Tabla1[Año],"",0)</f>
        <v>2026</v>
      </c>
      <c r="D7" s="24" t="s">
        <v>211</v>
      </c>
      <c r="E7" s="23" t="str" cm="1">
        <f t="array" ref="E7">_xlfn.XLOOKUP($H$9,Tabla1[[Nombre Unidad de Estudios]:[Nombre Unidad de Estudios]],Tabla1[Código Plan de Estudios],"",0)</f>
        <v>DTPGESBOG002</v>
      </c>
      <c r="F7" s="24" t="s">
        <v>212</v>
      </c>
      <c r="G7" s="23" t="str" cm="1">
        <f t="array" ref="G7">_xlfn.XLOOKUP($H$9,Tabla1[[Nombre Unidad de Estudios]:[Nombre Unidad de Estudios]],Tabla1[Código Unidad de Estudios],"",0)</f>
        <v>ADP01432</v>
      </c>
      <c r="H7" s="24" t="s">
        <v>213</v>
      </c>
      <c r="I7" s="23" t="str" cm="1">
        <f t="array" ref="I7">_xlfn.XLOOKUP($H$9,Tabla1[[Nombre Unidad de Estudios]:[Nombre Unidad de Estudios]],Tabla1[Tipo Unidad de Estudios],"",0)</f>
        <v>Nuclear</v>
      </c>
    </row>
    <row r="8" spans="2:11" ht="30">
      <c r="B8" s="22" t="s">
        <v>33</v>
      </c>
      <c r="C8" s="25" t="s">
        <v>60</v>
      </c>
      <c r="D8" s="35" t="s">
        <v>214</v>
      </c>
      <c r="E8" s="25" t="s">
        <v>215</v>
      </c>
      <c r="F8" s="24"/>
      <c r="G8" s="24" t="s">
        <v>216</v>
      </c>
      <c r="H8" s="12"/>
      <c r="I8" s="11"/>
    </row>
    <row r="9" spans="2:11" ht="45">
      <c r="B9" s="26" t="s">
        <v>217</v>
      </c>
      <c r="C9" s="23" t="str" cm="1">
        <f t="array" ref="C9">_xlfn.XLOOKUP($H$9,Tabla1[[Nombre Unidad de Estudios]:[Nombre Unidad de Estudios]],Tabla1[Nivel],"",0)</f>
        <v>Doctorado</v>
      </c>
      <c r="D9" s="25" t="s">
        <v>218</v>
      </c>
      <c r="E9" s="78" t="str" cm="1">
        <f t="array" ref="E9">_xlfn.XLOOKUP($H$9,Tabla1[[Nombre Unidad de Estudios]:[Nombre Unidad de Estudios]],Tabla1[Programa],"",0)</f>
        <v>Doctorado En Gestión</v>
      </c>
      <c r="F9" s="78"/>
      <c r="G9" s="24" t="s">
        <v>219</v>
      </c>
      <c r="H9" s="78" t="s">
        <v>10</v>
      </c>
      <c r="I9" s="79"/>
    </row>
    <row r="10" spans="2:11" ht="30.75" thickBot="1">
      <c r="B10" s="27" t="s">
        <v>37</v>
      </c>
      <c r="C10" s="28" cm="1">
        <f t="array" ref="C10">_xlfn.XLOOKUP($H$9,Tabla1[[Nombre Unidad de Estudios]:[Nombre Unidad de Estudios]],Tabla1[Créditos Académicos],"",0)</f>
        <v>3</v>
      </c>
      <c r="D10" s="29" t="s">
        <v>220</v>
      </c>
      <c r="E10" s="28" cm="1">
        <f t="array" ref="E10">_xlfn.XLOOKUP($H$9,Tabla1[[Nombre Unidad de Estudios]:[Nombre Unidad de Estudios]],Tabla1[Horas de Acompañamiento Directo '[HAD']],"",0)</f>
        <v>36</v>
      </c>
      <c r="F10" s="29" t="s">
        <v>221</v>
      </c>
      <c r="G10" s="28" cm="1">
        <f t="array" ref="G10">_xlfn.XLOOKUP($H$9,Tabla1[[Nombre Unidad de Estudios]:[Nombre Unidad de Estudios]],Tabla1[Horas de Trabajo Autónomo '[HTA']],"",0)</f>
        <v>108</v>
      </c>
      <c r="H10" s="29" t="s">
        <v>222</v>
      </c>
      <c r="I10" s="30">
        <f>E10+G10</f>
        <v>144</v>
      </c>
    </row>
    <row r="11" spans="2:11">
      <c r="B11" s="80" t="s">
        <v>223</v>
      </c>
      <c r="C11" s="81"/>
      <c r="D11" s="81"/>
      <c r="E11" s="81"/>
      <c r="F11" s="81"/>
      <c r="G11" s="81"/>
      <c r="H11" s="81"/>
      <c r="I11" s="82"/>
    </row>
    <row r="12" spans="2:11" ht="76.5" customHeight="1">
      <c r="B12" s="83" t="s">
        <v>224</v>
      </c>
      <c r="C12" s="84"/>
      <c r="D12" s="85" t="str" cm="1">
        <f t="array" ref="D12">_xlfn.XLOOKUP($H$9,Tabla1[[Nombre Unidad de Estudios]:[Nombre Unidad de Estudios]],Tabla1[Descripción de la Unidad de Estudios],"",0)</f>
        <v>La dinámica de desarrollo que vive actualmente el mundo, el permanente cambio que se genera en el entorno organizacional y la creciente necesidad de contar con gestores capaces de interpretar los modelos organizacionales, hacen fundamental el estudio de la teoría de la organización.</v>
      </c>
      <c r="E12" s="86"/>
      <c r="F12" s="86"/>
      <c r="G12" s="86"/>
      <c r="H12" s="86"/>
      <c r="I12" s="87"/>
    </row>
    <row r="13" spans="2:11" ht="66" customHeight="1" thickBot="1">
      <c r="B13" s="88" t="s">
        <v>225</v>
      </c>
      <c r="C13" s="89"/>
      <c r="D13" s="90" t="str" cm="1">
        <f t="array" ref="D13">_xlfn.XLOOKUP($H$9,Tabla1[[Nombre Unidad de Estudios]:[Nombre Unidad de Estudios]],Tabla1[Resultado de Aprendizaje de la Unidad de Estudios],"",0)</f>
        <v>Interpreta los modelos organizacionales y de gestión con base a contextos y realidades específicas para proponer mejoras significativas y sostenibles en las organizaciones.</v>
      </c>
      <c r="E13" s="91"/>
      <c r="F13" s="91"/>
      <c r="G13" s="91"/>
      <c r="H13" s="91"/>
      <c r="I13" s="92"/>
    </row>
    <row r="14" spans="2:11">
      <c r="B14" s="80" t="s">
        <v>226</v>
      </c>
      <c r="C14" s="81"/>
      <c r="D14" s="81"/>
      <c r="E14" s="81"/>
      <c r="F14" s="81"/>
      <c r="G14" s="81"/>
      <c r="H14" s="81"/>
      <c r="I14" s="82"/>
    </row>
    <row r="15" spans="2:11">
      <c r="B15" s="93" t="s">
        <v>227</v>
      </c>
      <c r="C15" s="78"/>
      <c r="D15" s="78"/>
      <c r="E15" s="78"/>
      <c r="F15" s="78"/>
      <c r="G15" s="78"/>
      <c r="H15" s="78"/>
      <c r="I15" s="79"/>
    </row>
    <row r="16" spans="2:11">
      <c r="B16" s="93"/>
      <c r="C16" s="78"/>
      <c r="D16" s="78"/>
      <c r="E16" s="78"/>
      <c r="F16" s="78"/>
      <c r="G16" s="78"/>
      <c r="H16" s="78"/>
      <c r="I16" s="79"/>
    </row>
    <row r="17" spans="2:9" ht="15.75" thickBot="1">
      <c r="B17" s="94"/>
      <c r="C17" s="95"/>
      <c r="D17" s="95"/>
      <c r="E17" s="95"/>
      <c r="F17" s="95"/>
      <c r="G17" s="95"/>
      <c r="H17" s="95"/>
      <c r="I17" s="96"/>
    </row>
    <row r="18" spans="2:9" ht="15.75" thickBot="1">
      <c r="B18" s="97" t="s">
        <v>228</v>
      </c>
      <c r="C18" s="98"/>
      <c r="D18" s="98"/>
      <c r="E18" s="98"/>
      <c r="F18" s="98"/>
      <c r="G18" s="98"/>
      <c r="H18" s="98"/>
      <c r="I18" s="99"/>
    </row>
    <row r="19" spans="2:9">
      <c r="B19" s="21" t="s">
        <v>44</v>
      </c>
      <c r="C19" s="43" t="str" cm="1">
        <f t="array" ref="C19">_xlfn.XLOOKUP($H$9,Tabla1[[Nombre Unidad de Estudios]:[Nombre Unidad de Estudios]],Tabla1[Módulo],"",0)</f>
        <v>6 semanas</v>
      </c>
      <c r="D19" s="21" t="s">
        <v>229</v>
      </c>
      <c r="E19" s="143" t="s">
        <v>230</v>
      </c>
      <c r="F19" s="144"/>
      <c r="G19" s="31" t="s">
        <v>231</v>
      </c>
      <c r="H19" s="145" t="s">
        <v>232</v>
      </c>
      <c r="I19" s="146"/>
    </row>
    <row r="20" spans="2:9">
      <c r="B20" s="13" t="str" cm="1">
        <f t="array" ref="B20">_xlfn.XLOOKUP($H$9,Tabla1[[Nombre Unidad de Estudios]:[Nombre Unidad de Estudios]],Tabla1[Contenidos Unidad de Estudios],"",0)</f>
        <v>Epistemología de la Gestión: Conceptos de Gestión, Teoría – disciplina, ciencia – sociotécnica.
El objeto de estudio de la Gestión: Organización, características, diferencias entre organización y empresa.
Formas de aproximación a la organización: Paradigma de la simplicidad, Teoría General de Sistemas, paradigma de la complejidad.</v>
      </c>
      <c r="C20" s="55"/>
      <c r="D20" s="60"/>
      <c r="E20" s="61"/>
      <c r="F20" s="62"/>
      <c r="G20" s="69"/>
      <c r="H20" s="70"/>
      <c r="I20" s="71"/>
    </row>
    <row r="21" spans="2:9">
      <c r="B21" s="56"/>
      <c r="C21" s="57"/>
      <c r="D21" s="63"/>
      <c r="E21" s="64"/>
      <c r="F21" s="65"/>
      <c r="G21" s="72"/>
      <c r="H21" s="73"/>
      <c r="I21" s="74"/>
    </row>
    <row r="22" spans="2:9">
      <c r="B22" s="56"/>
      <c r="C22" s="57"/>
      <c r="D22" s="63"/>
      <c r="E22" s="64"/>
      <c r="F22" s="65"/>
      <c r="G22" s="72"/>
      <c r="H22" s="73"/>
      <c r="I22" s="74"/>
    </row>
    <row r="23" spans="2:9">
      <c r="B23" s="56"/>
      <c r="C23" s="57"/>
      <c r="D23" s="63"/>
      <c r="E23" s="64"/>
      <c r="F23" s="65"/>
      <c r="G23" s="72"/>
      <c r="H23" s="73"/>
      <c r="I23" s="74"/>
    </row>
    <row r="24" spans="2:9">
      <c r="B24" s="56"/>
      <c r="C24" s="57"/>
      <c r="D24" s="63"/>
      <c r="E24" s="64"/>
      <c r="F24" s="65"/>
      <c r="G24" s="72"/>
      <c r="H24" s="73"/>
      <c r="I24" s="74"/>
    </row>
    <row r="25" spans="2:9">
      <c r="B25" s="56"/>
      <c r="C25" s="57"/>
      <c r="D25" s="63"/>
      <c r="E25" s="64"/>
      <c r="F25" s="65"/>
      <c r="G25" s="72"/>
      <c r="H25" s="73"/>
      <c r="I25" s="74"/>
    </row>
    <row r="26" spans="2:9">
      <c r="B26" s="56"/>
      <c r="C26" s="57"/>
      <c r="D26" s="63"/>
      <c r="E26" s="64"/>
      <c r="F26" s="65"/>
      <c r="G26" s="72"/>
      <c r="H26" s="73"/>
      <c r="I26" s="74"/>
    </row>
    <row r="27" spans="2:9">
      <c r="B27" s="56"/>
      <c r="C27" s="57"/>
      <c r="D27" s="63"/>
      <c r="E27" s="64"/>
      <c r="F27" s="65"/>
      <c r="G27" s="72"/>
      <c r="H27" s="73"/>
      <c r="I27" s="74"/>
    </row>
    <row r="28" spans="2:9">
      <c r="B28" s="56"/>
      <c r="C28" s="57"/>
      <c r="D28" s="63"/>
      <c r="E28" s="64"/>
      <c r="F28" s="65"/>
      <c r="G28" s="72"/>
      <c r="H28" s="73"/>
      <c r="I28" s="74"/>
    </row>
    <row r="29" spans="2:9">
      <c r="B29" s="56"/>
      <c r="C29" s="57"/>
      <c r="D29" s="63"/>
      <c r="E29" s="64"/>
      <c r="F29" s="65"/>
      <c r="G29" s="72"/>
      <c r="H29" s="73"/>
      <c r="I29" s="74"/>
    </row>
    <row r="30" spans="2:9">
      <c r="B30" s="56"/>
      <c r="C30" s="57"/>
      <c r="D30" s="63"/>
      <c r="E30" s="64"/>
      <c r="F30" s="65"/>
      <c r="G30" s="72"/>
      <c r="H30" s="73"/>
      <c r="I30" s="74"/>
    </row>
    <row r="31" spans="2:9">
      <c r="B31" s="56"/>
      <c r="C31" s="57"/>
      <c r="D31" s="63"/>
      <c r="E31" s="64"/>
      <c r="F31" s="65"/>
      <c r="G31" s="72"/>
      <c r="H31" s="73"/>
      <c r="I31" s="74"/>
    </row>
    <row r="32" spans="2:9">
      <c r="B32" s="56"/>
      <c r="C32" s="57"/>
      <c r="D32" s="63"/>
      <c r="E32" s="64"/>
      <c r="F32" s="65"/>
      <c r="G32" s="72"/>
      <c r="H32" s="73"/>
      <c r="I32" s="74"/>
    </row>
    <row r="33" spans="2:9" ht="15.75" thickBot="1">
      <c r="B33" s="58"/>
      <c r="C33" s="59"/>
      <c r="D33" s="66"/>
      <c r="E33" s="67"/>
      <c r="F33" s="68"/>
      <c r="G33" s="75"/>
      <c r="H33" s="76"/>
      <c r="I33" s="77"/>
    </row>
    <row r="34" spans="2:9" ht="15.75" thickBot="1">
      <c r="B34" s="114" t="s">
        <v>233</v>
      </c>
      <c r="C34" s="115"/>
      <c r="D34" s="115"/>
      <c r="E34" s="115"/>
      <c r="F34" s="115"/>
      <c r="G34" s="115"/>
      <c r="H34" s="115"/>
      <c r="I34" s="116"/>
    </row>
    <row r="35" spans="2:9" ht="14.45" customHeight="1">
      <c r="B35" s="126" t="s">
        <v>234</v>
      </c>
      <c r="C35" s="127"/>
      <c r="D35" s="127"/>
      <c r="E35" s="127"/>
      <c r="F35" s="127"/>
      <c r="G35" s="127"/>
      <c r="H35" s="127"/>
      <c r="I35" s="128"/>
    </row>
    <row r="36" spans="2:9">
      <c r="B36" s="129"/>
      <c r="C36" s="130"/>
      <c r="D36" s="130"/>
      <c r="E36" s="130"/>
      <c r="F36" s="130"/>
      <c r="G36" s="130"/>
      <c r="H36" s="130"/>
      <c r="I36" s="131"/>
    </row>
    <row r="37" spans="2:9">
      <c r="B37" s="132" t="str" cm="1">
        <f t="array" ref="B37">_xlfn.XLOOKUP($H$9,Tabla1[[Nombre Unidad de Estudios]:[Nombre Unidad de Estudios]],Tabla1[Esquema de Calificación],"",0)</f>
        <v>30% Análisis de lecturas.
30% Exposiciones.
40% Trabajo final.</v>
      </c>
      <c r="C37" s="133"/>
      <c r="D37" s="133"/>
      <c r="E37" s="133"/>
      <c r="F37" s="133"/>
      <c r="G37" s="133"/>
      <c r="H37" s="133"/>
      <c r="I37" s="134"/>
    </row>
    <row r="38" spans="2:9">
      <c r="B38" s="132"/>
      <c r="C38" s="133"/>
      <c r="D38" s="133"/>
      <c r="E38" s="133"/>
      <c r="F38" s="133"/>
      <c r="G38" s="133"/>
      <c r="H38" s="133"/>
      <c r="I38" s="134"/>
    </row>
    <row r="39" spans="2:9" ht="15.75" thickBot="1">
      <c r="B39" s="135"/>
      <c r="C39" s="136"/>
      <c r="D39" s="136"/>
      <c r="E39" s="136"/>
      <c r="F39" s="136"/>
      <c r="G39" s="136"/>
      <c r="H39" s="136"/>
      <c r="I39" s="137"/>
    </row>
    <row r="40" spans="2:9" ht="34.5" customHeight="1" thickBot="1">
      <c r="B40" s="117" t="s">
        <v>235</v>
      </c>
      <c r="C40" s="118"/>
      <c r="D40" s="118"/>
      <c r="E40" s="119"/>
      <c r="F40" s="120" t="str" cm="1">
        <f t="array" ref="F40">_xlfn.XLOOKUP($H$9,Tabla1[[Nombre Unidad de Estudios]:[Nombre Unidad de Estudios]],Tabla1[Recursos Tecnológicos],"",0)</f>
        <v>Base de datos; Material bibliográfico; Plataforma virtual</v>
      </c>
      <c r="G40" s="121"/>
      <c r="H40" s="121"/>
      <c r="I40" s="122"/>
    </row>
    <row r="41" spans="2:9" ht="15.75" thickBot="1">
      <c r="B41" s="123" t="s">
        <v>236</v>
      </c>
      <c r="C41" s="124"/>
      <c r="D41" s="124"/>
      <c r="E41" s="124"/>
      <c r="F41" s="125" t="str" cm="1">
        <f t="array" ref="F41">_xlfn.XLOOKUP($H$9,Tabla1[[Nombre Unidad de Estudios]:[Nombre Unidad de Estudios]],Tabla1[Componente de Lengua Extranjera '[Idioma']],"",0)</f>
        <v>Inglés</v>
      </c>
      <c r="G41" s="125"/>
      <c r="H41" s="32" t="s">
        <v>237</v>
      </c>
      <c r="I41" s="36" cm="1">
        <f t="array" ref="I41">_xlfn.XLOOKUP($H$9,Tabla1[[Nombre Unidad de Estudios]:[Nombre Unidad de Estudios]],Tabla1[Componente de Lengua Extranjera '[%']],"",0)</f>
        <v>0.3</v>
      </c>
    </row>
    <row r="42" spans="2:9">
      <c r="B42" s="80" t="s">
        <v>238</v>
      </c>
      <c r="C42" s="81"/>
      <c r="D42" s="81"/>
      <c r="E42" s="81"/>
      <c r="F42" s="81"/>
      <c r="G42" s="81"/>
      <c r="H42" s="81"/>
      <c r="I42" s="82"/>
    </row>
    <row r="43" spans="2:9" ht="14.45" customHeight="1">
      <c r="B43" s="138" t="s">
        <v>49</v>
      </c>
      <c r="C43" s="139"/>
      <c r="D43" s="139"/>
      <c r="E43" s="140"/>
      <c r="F43" s="138" t="s">
        <v>239</v>
      </c>
      <c r="G43" s="139"/>
      <c r="H43" s="139"/>
      <c r="I43" s="140"/>
    </row>
    <row r="44" spans="2:9">
      <c r="B44" s="108" t="str" cm="1">
        <f t="array" ref="B44">_xlfn.XLOOKUP($H$9,Tabla1[[Nombre Unidad de Estudios]:[Nombre Unidad de Estudios]],Tabla1[Bibliografía Obligatoria],"",0)</f>
        <v>Ader, J. J. (1993). Organizaciones. Editorial Paidós.
Krieger, M. (2001). Sociología de las Organizaciones (1a. ed.). Prentice Hall.
Mintzberg, H. y Quinn, J. B. (1988). El Proceso Estratégico (2a. ed.). Prentice Hall.
Luhmann, N. (1997). Organización y Decisión. Autopoiesis, acción y entendimiento. Anthropos Editorial.
Bertalanffy, L. V. (1984). Teoría General de los Sistemas: fundamentos, desarrollo, aplicaciones. FCE.</v>
      </c>
      <c r="C44" s="109"/>
      <c r="D44" s="109"/>
      <c r="E44" s="110"/>
      <c r="F44" s="108" t="str" cm="1">
        <f t="array" ref="F44">_xlfn.XLOOKUP($H$9,Tabla1[[Nombre Unidad de Estudios]:[Nombre Unidad de Estudios]],Tabla1[Bibliografia Complementaria],"",0)</f>
        <v>Debeljuh, P. (2009). Ética Empresarial. Cengage Learning.
Collins, J. (2010). Empresas que Sobresalen. Grupo Editorial Norma.
Hamel, G. (2012). El Futuro de la Administración. Grupo Editorial Norma.
Martínez Villaverde, L. (2010). Gestión del Cambio y la Innovación en la Empresa. Editorial Ideas Propias.
Mûnch, L. (2007). Administración. Editorial Pearson.</v>
      </c>
      <c r="G44" s="109"/>
      <c r="H44" s="109"/>
      <c r="I44" s="110"/>
    </row>
    <row r="45" spans="2:9">
      <c r="B45" s="108"/>
      <c r="C45" s="109"/>
      <c r="D45" s="109"/>
      <c r="E45" s="110"/>
      <c r="F45" s="108"/>
      <c r="G45" s="109"/>
      <c r="H45" s="109"/>
      <c r="I45" s="110"/>
    </row>
    <row r="46" spans="2:9">
      <c r="B46" s="108"/>
      <c r="C46" s="109"/>
      <c r="D46" s="109"/>
      <c r="E46" s="110"/>
      <c r="F46" s="108"/>
      <c r="G46" s="109"/>
      <c r="H46" s="109"/>
      <c r="I46" s="110"/>
    </row>
    <row r="47" spans="2:9">
      <c r="B47" s="108"/>
      <c r="C47" s="109"/>
      <c r="D47" s="109"/>
      <c r="E47" s="110"/>
      <c r="F47" s="108"/>
      <c r="G47" s="109"/>
      <c r="H47" s="109"/>
      <c r="I47" s="110"/>
    </row>
    <row r="48" spans="2:9">
      <c r="B48" s="108"/>
      <c r="C48" s="109"/>
      <c r="D48" s="109"/>
      <c r="E48" s="110"/>
      <c r="F48" s="108"/>
      <c r="G48" s="109"/>
      <c r="H48" s="109"/>
      <c r="I48" s="110"/>
    </row>
    <row r="49" spans="2:9">
      <c r="B49" s="108"/>
      <c r="C49" s="109"/>
      <c r="D49" s="109"/>
      <c r="E49" s="110"/>
      <c r="F49" s="108"/>
      <c r="G49" s="109"/>
      <c r="H49" s="109"/>
      <c r="I49" s="110"/>
    </row>
    <row r="50" spans="2:9">
      <c r="B50" s="108"/>
      <c r="C50" s="109"/>
      <c r="D50" s="109"/>
      <c r="E50" s="110"/>
      <c r="F50" s="108"/>
      <c r="G50" s="109"/>
      <c r="H50" s="109"/>
      <c r="I50" s="110"/>
    </row>
    <row r="51" spans="2:9">
      <c r="B51" s="108"/>
      <c r="C51" s="109"/>
      <c r="D51" s="109"/>
      <c r="E51" s="110"/>
      <c r="F51" s="108"/>
      <c r="G51" s="109"/>
      <c r="H51" s="109"/>
      <c r="I51" s="110"/>
    </row>
    <row r="52" spans="2:9">
      <c r="B52" s="108"/>
      <c r="C52" s="109"/>
      <c r="D52" s="109"/>
      <c r="E52" s="110"/>
      <c r="F52" s="108"/>
      <c r="G52" s="109"/>
      <c r="H52" s="109"/>
      <c r="I52" s="110"/>
    </row>
    <row r="53" spans="2:9">
      <c r="B53" s="108"/>
      <c r="C53" s="109"/>
      <c r="D53" s="109"/>
      <c r="E53" s="110"/>
      <c r="F53" s="108"/>
      <c r="G53" s="109"/>
      <c r="H53" s="109"/>
      <c r="I53" s="110"/>
    </row>
    <row r="54" spans="2:9">
      <c r="B54" s="108"/>
      <c r="C54" s="109"/>
      <c r="D54" s="109"/>
      <c r="E54" s="110"/>
      <c r="F54" s="108"/>
      <c r="G54" s="109"/>
      <c r="H54" s="109"/>
      <c r="I54" s="110"/>
    </row>
    <row r="55" spans="2:9">
      <c r="B55" s="108"/>
      <c r="C55" s="109"/>
      <c r="D55" s="109"/>
      <c r="E55" s="110"/>
      <c r="F55" s="108"/>
      <c r="G55" s="109"/>
      <c r="H55" s="109"/>
      <c r="I55" s="110"/>
    </row>
    <row r="56" spans="2:9">
      <c r="B56" s="108"/>
      <c r="C56" s="109"/>
      <c r="D56" s="109"/>
      <c r="E56" s="110"/>
      <c r="F56" s="108"/>
      <c r="G56" s="109"/>
      <c r="H56" s="109"/>
      <c r="I56" s="110"/>
    </row>
    <row r="57" spans="2:9" ht="15.75" thickBot="1">
      <c r="B57" s="111"/>
      <c r="C57" s="112"/>
      <c r="D57" s="112"/>
      <c r="E57" s="113"/>
      <c r="F57" s="111"/>
      <c r="G57" s="112"/>
      <c r="H57" s="112"/>
      <c r="I57" s="113"/>
    </row>
    <row r="58" spans="2:9">
      <c r="B58" s="80" t="s">
        <v>240</v>
      </c>
      <c r="C58" s="81"/>
      <c r="D58" s="81"/>
      <c r="E58" s="81"/>
      <c r="F58" s="81"/>
      <c r="G58" s="81"/>
      <c r="H58" s="81"/>
      <c r="I58" s="82"/>
    </row>
    <row r="59" spans="2:9">
      <c r="B59" s="33" t="s">
        <v>51</v>
      </c>
      <c r="C59" s="34" t="s">
        <v>52</v>
      </c>
      <c r="D59" s="34" t="s">
        <v>53</v>
      </c>
      <c r="E59" s="34" t="s">
        <v>54</v>
      </c>
      <c r="F59" s="34" t="s">
        <v>55</v>
      </c>
      <c r="G59" s="104" t="s">
        <v>56</v>
      </c>
      <c r="H59" s="104"/>
      <c r="I59" s="105"/>
    </row>
    <row r="60" spans="2:9" ht="30">
      <c r="B60" s="38" cm="1">
        <f t="array" ref="B60">_xlfn.XLOOKUP($H$9,Tabla1[[Nombre Unidad de Estudios]:[Nombre Unidad de Estudios]],Tabla1['# versión],"",0)</f>
        <v>1</v>
      </c>
      <c r="C60" s="41" cm="1">
        <f t="array" ref="C60">_xlfn.XLOOKUP($H$9,Tabla1[[Nombre Unidad de Estudios]:[Nombre Unidad de Estudios]],Tabla1[Fecha],"",0)</f>
        <v>46083</v>
      </c>
      <c r="D60" s="35" t="str" cm="1">
        <f t="array" ref="D60">_xlfn.XLOOKUP($H$9,Tabla1[[Nombre Unidad de Estudios]:[Nombre Unidad de Estudios]],Tabla1[Elaboró],"",0)</f>
        <v>Omar Patiño</v>
      </c>
      <c r="E60" s="35" t="str" cm="1">
        <f t="array" ref="E60">_xlfn.XLOOKUP($H$9,Tabla1[[Nombre Unidad de Estudios]:[Nombre Unidad de Estudios]],Tabla1[Revisó],"",0)</f>
        <v>Juan Carlos Rentería</v>
      </c>
      <c r="F60" s="35" t="str" cm="1">
        <f t="array" ref="F60">_xlfn.XLOOKUP($H$9,Tabla1[[Nombre Unidad de Estudios]:[Nombre Unidad de Estudios]],Tabla1[Aprobó],"",0)</f>
        <v>Comité Curricular</v>
      </c>
      <c r="G60" s="106" t="str" cm="1">
        <f t="array" ref="G60">_xlfn.XLOOKUP($H$9,Tabla1[[Nombre Unidad de Estudios]:[Nombre Unidad de Estudios]],Tabla1[Descripción del cambio],"",0)</f>
        <v>Creación syllabus en nuevo formato</v>
      </c>
      <c r="H60" s="106"/>
      <c r="I60" s="107"/>
    </row>
    <row r="61" spans="2:9">
      <c r="B61" s="38"/>
      <c r="C61" s="35"/>
      <c r="D61" s="35"/>
      <c r="E61" s="35"/>
      <c r="F61" s="35"/>
      <c r="G61" s="106"/>
      <c r="H61" s="106"/>
      <c r="I61" s="107"/>
    </row>
    <row r="62" spans="2:9">
      <c r="B62" s="38"/>
      <c r="C62" s="35"/>
      <c r="D62" s="35"/>
      <c r="E62" s="35"/>
      <c r="F62" s="35"/>
      <c r="G62" s="106"/>
      <c r="H62" s="106"/>
      <c r="I62" s="107"/>
    </row>
    <row r="63" spans="2:9">
      <c r="B63" s="38"/>
      <c r="C63" s="35"/>
      <c r="D63" s="35"/>
      <c r="E63" s="35"/>
      <c r="F63" s="35"/>
      <c r="G63" s="106"/>
      <c r="H63" s="106"/>
      <c r="I63" s="107"/>
    </row>
    <row r="64" spans="2:9">
      <c r="B64" s="38"/>
      <c r="C64" s="35"/>
      <c r="D64" s="35"/>
      <c r="E64" s="35"/>
      <c r="F64" s="35"/>
      <c r="G64" s="106"/>
      <c r="H64" s="106"/>
      <c r="I64" s="107"/>
    </row>
    <row r="65" spans="2:9" ht="15.75" thickBot="1">
      <c r="B65" s="39"/>
      <c r="C65" s="40"/>
      <c r="D65" s="40"/>
      <c r="E65" s="40"/>
      <c r="F65" s="40"/>
      <c r="G65" s="141"/>
      <c r="H65" s="141"/>
      <c r="I65" s="142"/>
    </row>
  </sheetData>
  <mergeCells count="41">
    <mergeCell ref="G65:I65"/>
    <mergeCell ref="G59:I59"/>
    <mergeCell ref="G60:I60"/>
    <mergeCell ref="G61:I61"/>
    <mergeCell ref="G62:I62"/>
    <mergeCell ref="G63:I63"/>
    <mergeCell ref="G64:I64"/>
    <mergeCell ref="B58:I58"/>
    <mergeCell ref="B34:I34"/>
    <mergeCell ref="B35:I36"/>
    <mergeCell ref="B37:I39"/>
    <mergeCell ref="B40:E40"/>
    <mergeCell ref="F40:I40"/>
    <mergeCell ref="B41:E41"/>
    <mergeCell ref="F41:G41"/>
    <mergeCell ref="B42:I42"/>
    <mergeCell ref="B43:E43"/>
    <mergeCell ref="F43:I43"/>
    <mergeCell ref="B44:E57"/>
    <mergeCell ref="F44:I57"/>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K2" display="Menu principal" xr:uid="{00000000-0004-0000-1200-000000000000}"/>
  </hyperlinks>
  <pageMargins left="0.25" right="0.25" top="0.75" bottom="0.75" header="0.3" footer="0.3"/>
  <pageSetup paperSize="9" scale="72"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200-000000000000}">
          <x14:formula1>
            <xm:f>Tabla!$H$2:$H$22</xm:f>
          </x14:formula1>
          <xm:sqref>H9:I9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94660-E6AB-4392-A944-8BA6FB4348CD}">
  <sheetPr>
    <pageSetUpPr fitToPage="1"/>
  </sheetPr>
  <dimension ref="B1:K65"/>
  <sheetViews>
    <sheetView workbookViewId="0">
      <selection activeCell="F44" sqref="F44:I57"/>
    </sheetView>
  </sheetViews>
  <sheetFormatPr defaultColWidth="10.85546875" defaultRowHeight="15"/>
  <cols>
    <col min="1" max="1" width="3.140625" style="16" customWidth="1"/>
    <col min="2" max="2" width="14.28515625" style="16" customWidth="1"/>
    <col min="3" max="3" width="11.28515625" style="16" bestFit="1" customWidth="1"/>
    <col min="4" max="4" width="12.28515625" style="16" customWidth="1"/>
    <col min="5" max="5" width="16.28515625" style="16" customWidth="1"/>
    <col min="6" max="6" width="18.42578125" style="16" customWidth="1"/>
    <col min="7" max="7" width="10.85546875" style="16" customWidth="1"/>
    <col min="8" max="8" width="9.85546875" style="16" customWidth="1"/>
    <col min="9" max="9" width="16.7109375" style="16" customWidth="1"/>
    <col min="10" max="10" width="10.85546875" style="16"/>
    <col min="11" max="11" width="16.42578125" style="16" customWidth="1"/>
    <col min="12" max="16384" width="10.85546875" style="16"/>
  </cols>
  <sheetData>
    <row r="1" spans="2:11" ht="15.75" thickBot="1">
      <c r="C1" s="17"/>
      <c r="D1" s="17"/>
      <c r="E1" s="17"/>
      <c r="F1" s="17"/>
      <c r="G1" s="17"/>
      <c r="H1" s="17"/>
    </row>
    <row r="2" spans="2:11" ht="22.5" customHeight="1" thickTop="1">
      <c r="B2" s="10"/>
      <c r="C2" s="8" t="s">
        <v>204</v>
      </c>
      <c r="D2" s="8"/>
      <c r="E2" s="8"/>
      <c r="F2" s="8"/>
      <c r="G2" s="8"/>
      <c r="H2" s="8"/>
      <c r="I2" s="18" t="s">
        <v>205</v>
      </c>
      <c r="K2" s="46" t="s">
        <v>206</v>
      </c>
    </row>
    <row r="3" spans="2:11" ht="20.25" customHeight="1">
      <c r="B3" s="9"/>
      <c r="C3" s="7"/>
      <c r="D3" s="7"/>
      <c r="E3" s="7"/>
      <c r="F3" s="7"/>
      <c r="G3" s="7"/>
      <c r="H3" s="7"/>
      <c r="I3" s="19" t="s">
        <v>207</v>
      </c>
    </row>
    <row r="4" spans="2:11" ht="21" customHeight="1" thickBot="1">
      <c r="B4" s="6" t="s">
        <v>208</v>
      </c>
      <c r="C4" s="5"/>
      <c r="D4" s="5"/>
      <c r="E4" s="5"/>
      <c r="F4" s="5"/>
      <c r="G4" s="5"/>
      <c r="H4" s="5"/>
      <c r="I4" s="20" t="s">
        <v>209</v>
      </c>
    </row>
    <row r="5" spans="2:11" ht="16.5" thickTop="1" thickBot="1">
      <c r="B5" s="4"/>
      <c r="C5" s="4"/>
      <c r="D5" s="4"/>
      <c r="E5" s="4"/>
      <c r="F5" s="4"/>
      <c r="G5" s="4"/>
      <c r="H5" s="4"/>
      <c r="I5" s="4"/>
    </row>
    <row r="6" spans="2:11">
      <c r="B6" s="3" t="s">
        <v>210</v>
      </c>
      <c r="C6" s="2"/>
      <c r="D6" s="2"/>
      <c r="E6" s="2"/>
      <c r="F6" s="2"/>
      <c r="G6" s="2"/>
      <c r="H6" s="2"/>
      <c r="I6" s="1"/>
    </row>
    <row r="7" spans="2:11" ht="60">
      <c r="B7" s="22" t="s">
        <v>29</v>
      </c>
      <c r="C7" s="23" cm="1">
        <f t="array" ref="C7">_xlfn.XLOOKUP($H$9,Tabla1[[Nombre Unidad de Estudios]:[Nombre Unidad de Estudios]],Tabla1[Año],"",0)</f>
        <v>2026</v>
      </c>
      <c r="D7" s="24" t="s">
        <v>211</v>
      </c>
      <c r="E7" s="23" t="str" cm="1">
        <f t="array" ref="E7">_xlfn.XLOOKUP($H$9,Tabla1[[Nombre Unidad de Estudios]:[Nombre Unidad de Estudios]],Tabla1[Código Plan de Estudios],"",0)</f>
        <v>DTPGESBOG002</v>
      </c>
      <c r="F7" s="24" t="s">
        <v>212</v>
      </c>
      <c r="G7" s="23" t="str" cm="1">
        <f t="array" ref="G7">_xlfn.XLOOKUP($H$9,Tabla1[[Nombre Unidad de Estudios]:[Nombre Unidad de Estudios]],Tabla1[Código Unidad de Estudios],"",0)</f>
        <v>ADP01460</v>
      </c>
      <c r="H7" s="24" t="s">
        <v>213</v>
      </c>
      <c r="I7" s="23" t="str" cm="1">
        <f t="array" ref="I7">_xlfn.XLOOKUP($H$9,Tabla1[[Nombre Unidad de Estudios]:[Nombre Unidad de Estudios]],Tabla1[Tipo Unidad de Estudios],"",0)</f>
        <v>Nuclear</v>
      </c>
    </row>
    <row r="8" spans="2:11" ht="30">
      <c r="B8" s="22" t="s">
        <v>33</v>
      </c>
      <c r="C8" s="25" t="s">
        <v>60</v>
      </c>
      <c r="D8" s="35" t="s">
        <v>214</v>
      </c>
      <c r="E8" s="25" t="s">
        <v>215</v>
      </c>
      <c r="F8" s="24"/>
      <c r="G8" s="24" t="s">
        <v>216</v>
      </c>
      <c r="H8" s="12"/>
      <c r="I8" s="11"/>
    </row>
    <row r="9" spans="2:11" ht="45">
      <c r="B9" s="26" t="s">
        <v>217</v>
      </c>
      <c r="C9" s="23" t="str" cm="1">
        <f t="array" ref="C9">_xlfn.XLOOKUP($H$9,Tabla1[[Nombre Unidad de Estudios]:[Nombre Unidad de Estudios]],Tabla1[Nivel],"",0)</f>
        <v>Doctorado</v>
      </c>
      <c r="D9" s="25" t="s">
        <v>218</v>
      </c>
      <c r="E9" s="78" t="str" cm="1">
        <f t="array" ref="E9">_xlfn.XLOOKUP($H$9,Tabla1[[Nombre Unidad de Estudios]:[Nombre Unidad de Estudios]],Tabla1[Programa],"",0)</f>
        <v>Doctorado En Gestión</v>
      </c>
      <c r="F9" s="78"/>
      <c r="G9" s="24" t="s">
        <v>219</v>
      </c>
      <c r="H9" s="78" t="s">
        <v>11</v>
      </c>
      <c r="I9" s="79"/>
    </row>
    <row r="10" spans="2:11" ht="30.75" thickBot="1">
      <c r="B10" s="27" t="s">
        <v>37</v>
      </c>
      <c r="C10" s="28" cm="1">
        <f t="array" ref="C10">_xlfn.XLOOKUP($H$9,Tabla1[[Nombre Unidad de Estudios]:[Nombre Unidad de Estudios]],Tabla1[Créditos Académicos],"",0)</f>
        <v>2</v>
      </c>
      <c r="D10" s="29" t="s">
        <v>220</v>
      </c>
      <c r="E10" s="28" cm="1">
        <f t="array" ref="E10">_xlfn.XLOOKUP($H$9,Tabla1[[Nombre Unidad de Estudios]:[Nombre Unidad de Estudios]],Tabla1[Horas de Acompañamiento Directo '[HAD']],"",0)</f>
        <v>24</v>
      </c>
      <c r="F10" s="29" t="s">
        <v>221</v>
      </c>
      <c r="G10" s="28" cm="1">
        <f t="array" ref="G10">_xlfn.XLOOKUP($H$9,Tabla1[[Nombre Unidad de Estudios]:[Nombre Unidad de Estudios]],Tabla1[Horas de Trabajo Autónomo '[HTA']],"",0)</f>
        <v>72</v>
      </c>
      <c r="H10" s="29" t="s">
        <v>222</v>
      </c>
      <c r="I10" s="30">
        <f>E10+G10</f>
        <v>96</v>
      </c>
    </row>
    <row r="11" spans="2:11">
      <c r="B11" s="80" t="s">
        <v>223</v>
      </c>
      <c r="C11" s="81"/>
      <c r="D11" s="81"/>
      <c r="E11" s="81"/>
      <c r="F11" s="81"/>
      <c r="G11" s="81"/>
      <c r="H11" s="81"/>
      <c r="I11" s="82"/>
    </row>
    <row r="12" spans="2:11" ht="76.5" customHeight="1">
      <c r="B12" s="83" t="s">
        <v>224</v>
      </c>
      <c r="C12" s="84"/>
      <c r="D12" s="85" t="str" cm="1">
        <f t="array" ref="D12">_xlfn.XLOOKUP($H$9,Tabla1[[Nombre Unidad de Estudios]:[Nombre Unidad de Estudios]],Tabla1[Descripción de la Unidad de Estudios],"",0)</f>
        <v>Considerando que la visión estratégica de los temas de gestión humana y liderazgo viene consolidándose como eje fundamental y decisivo en el impacto directo de las organizaciones, esta unidad busca plantear acciones estratégicas en la gestión del talento humano.</v>
      </c>
      <c r="E12" s="86"/>
      <c r="F12" s="86"/>
      <c r="G12" s="86"/>
      <c r="H12" s="86"/>
      <c r="I12" s="87"/>
    </row>
    <row r="13" spans="2:11" ht="66" customHeight="1" thickBot="1">
      <c r="B13" s="88" t="s">
        <v>225</v>
      </c>
      <c r="C13" s="89"/>
      <c r="D13" s="90" t="str" cm="1">
        <f t="array" ref="D13">_xlfn.XLOOKUP($H$9,Tabla1[[Nombre Unidad de Estudios]:[Nombre Unidad de Estudios]],Tabla1[Resultado de Aprendizaje de la Unidad de Estudios],"",0)</f>
        <v>Plantea acciones estratégicas en la gestión del talento humano mediante la generación de una cultura organizacional hacia el liderazgo de servicio que redunde en el desarrollo del personal de las organizaciones.</v>
      </c>
      <c r="E13" s="91"/>
      <c r="F13" s="91"/>
      <c r="G13" s="91"/>
      <c r="H13" s="91"/>
      <c r="I13" s="92"/>
    </row>
    <row r="14" spans="2:11">
      <c r="B14" s="80" t="s">
        <v>226</v>
      </c>
      <c r="C14" s="81"/>
      <c r="D14" s="81"/>
      <c r="E14" s="81"/>
      <c r="F14" s="81"/>
      <c r="G14" s="81"/>
      <c r="H14" s="81"/>
      <c r="I14" s="82"/>
    </row>
    <row r="15" spans="2:11">
      <c r="B15" s="93" t="s">
        <v>227</v>
      </c>
      <c r="C15" s="78"/>
      <c r="D15" s="78"/>
      <c r="E15" s="78"/>
      <c r="F15" s="78"/>
      <c r="G15" s="78"/>
      <c r="H15" s="78"/>
      <c r="I15" s="79"/>
    </row>
    <row r="16" spans="2:11">
      <c r="B16" s="93"/>
      <c r="C16" s="78"/>
      <c r="D16" s="78"/>
      <c r="E16" s="78"/>
      <c r="F16" s="78"/>
      <c r="G16" s="78"/>
      <c r="H16" s="78"/>
      <c r="I16" s="79"/>
    </row>
    <row r="17" spans="2:9" ht="15.75" thickBot="1">
      <c r="B17" s="94"/>
      <c r="C17" s="95"/>
      <c r="D17" s="95"/>
      <c r="E17" s="95"/>
      <c r="F17" s="95"/>
      <c r="G17" s="95"/>
      <c r="H17" s="95"/>
      <c r="I17" s="96"/>
    </row>
    <row r="18" spans="2:9" ht="15.75" thickBot="1">
      <c r="B18" s="97" t="s">
        <v>228</v>
      </c>
      <c r="C18" s="98"/>
      <c r="D18" s="98"/>
      <c r="E18" s="98"/>
      <c r="F18" s="98"/>
      <c r="G18" s="98"/>
      <c r="H18" s="98"/>
      <c r="I18" s="99"/>
    </row>
    <row r="19" spans="2:9">
      <c r="B19" s="21" t="s">
        <v>44</v>
      </c>
      <c r="C19" s="43" t="str" cm="1">
        <f t="array" ref="C19">_xlfn.XLOOKUP($H$9,Tabla1[[Nombre Unidad de Estudios]:[Nombre Unidad de Estudios]],Tabla1[Módulo],"",0)</f>
        <v>4 semanas</v>
      </c>
      <c r="D19" s="21" t="s">
        <v>229</v>
      </c>
      <c r="E19" s="143" t="s">
        <v>230</v>
      </c>
      <c r="F19" s="144"/>
      <c r="G19" s="31" t="s">
        <v>231</v>
      </c>
      <c r="H19" s="145" t="s">
        <v>232</v>
      </c>
      <c r="I19" s="146"/>
    </row>
    <row r="20" spans="2:9">
      <c r="B20" s="13" t="str" cm="1">
        <f t="array" ref="B20">_xlfn.XLOOKUP($H$9,Tabla1[[Nombre Unidad de Estudios]:[Nombre Unidad de Estudios]],Tabla1[Contenidos Unidad de Estudios],"",0)</f>
        <v>Direccionamiento Estratégico Corporativo: foco Sostenibilidad.
Dirección Estratégica de la Gestión Humana.
Liderazgo para la Dirección de Organizaciones Sostenibles.
Liderazgo Competitivo en la gestión del Talento Humano con visión estratégica.</v>
      </c>
      <c r="C20" s="55"/>
      <c r="D20" s="60"/>
      <c r="E20" s="61"/>
      <c r="F20" s="62"/>
      <c r="G20" s="69"/>
      <c r="H20" s="70"/>
      <c r="I20" s="71"/>
    </row>
    <row r="21" spans="2:9">
      <c r="B21" s="56"/>
      <c r="C21" s="57"/>
      <c r="D21" s="63"/>
      <c r="E21" s="64"/>
      <c r="F21" s="65"/>
      <c r="G21" s="72"/>
      <c r="H21" s="73"/>
      <c r="I21" s="74"/>
    </row>
    <row r="22" spans="2:9">
      <c r="B22" s="56"/>
      <c r="C22" s="57"/>
      <c r="D22" s="63"/>
      <c r="E22" s="64"/>
      <c r="F22" s="65"/>
      <c r="G22" s="72"/>
      <c r="H22" s="73"/>
      <c r="I22" s="74"/>
    </row>
    <row r="23" spans="2:9">
      <c r="B23" s="56"/>
      <c r="C23" s="57"/>
      <c r="D23" s="63"/>
      <c r="E23" s="64"/>
      <c r="F23" s="65"/>
      <c r="G23" s="72"/>
      <c r="H23" s="73"/>
      <c r="I23" s="74"/>
    </row>
    <row r="24" spans="2:9">
      <c r="B24" s="56"/>
      <c r="C24" s="57"/>
      <c r="D24" s="63"/>
      <c r="E24" s="64"/>
      <c r="F24" s="65"/>
      <c r="G24" s="72"/>
      <c r="H24" s="73"/>
      <c r="I24" s="74"/>
    </row>
    <row r="25" spans="2:9">
      <c r="B25" s="56"/>
      <c r="C25" s="57"/>
      <c r="D25" s="63"/>
      <c r="E25" s="64"/>
      <c r="F25" s="65"/>
      <c r="G25" s="72"/>
      <c r="H25" s="73"/>
      <c r="I25" s="74"/>
    </row>
    <row r="26" spans="2:9">
      <c r="B26" s="56"/>
      <c r="C26" s="57"/>
      <c r="D26" s="63"/>
      <c r="E26" s="64"/>
      <c r="F26" s="65"/>
      <c r="G26" s="72"/>
      <c r="H26" s="73"/>
      <c r="I26" s="74"/>
    </row>
    <row r="27" spans="2:9">
      <c r="B27" s="56"/>
      <c r="C27" s="57"/>
      <c r="D27" s="63"/>
      <c r="E27" s="64"/>
      <c r="F27" s="65"/>
      <c r="G27" s="72"/>
      <c r="H27" s="73"/>
      <c r="I27" s="74"/>
    </row>
    <row r="28" spans="2:9">
      <c r="B28" s="56"/>
      <c r="C28" s="57"/>
      <c r="D28" s="63"/>
      <c r="E28" s="64"/>
      <c r="F28" s="65"/>
      <c r="G28" s="72"/>
      <c r="H28" s="73"/>
      <c r="I28" s="74"/>
    </row>
    <row r="29" spans="2:9">
      <c r="B29" s="56"/>
      <c r="C29" s="57"/>
      <c r="D29" s="63"/>
      <c r="E29" s="64"/>
      <c r="F29" s="65"/>
      <c r="G29" s="72"/>
      <c r="H29" s="73"/>
      <c r="I29" s="74"/>
    </row>
    <row r="30" spans="2:9">
      <c r="B30" s="56"/>
      <c r="C30" s="57"/>
      <c r="D30" s="63"/>
      <c r="E30" s="64"/>
      <c r="F30" s="65"/>
      <c r="G30" s="72"/>
      <c r="H30" s="73"/>
      <c r="I30" s="74"/>
    </row>
    <row r="31" spans="2:9">
      <c r="B31" s="56"/>
      <c r="C31" s="57"/>
      <c r="D31" s="63"/>
      <c r="E31" s="64"/>
      <c r="F31" s="65"/>
      <c r="G31" s="72"/>
      <c r="H31" s="73"/>
      <c r="I31" s="74"/>
    </row>
    <row r="32" spans="2:9">
      <c r="B32" s="56"/>
      <c r="C32" s="57"/>
      <c r="D32" s="63"/>
      <c r="E32" s="64"/>
      <c r="F32" s="65"/>
      <c r="G32" s="72"/>
      <c r="H32" s="73"/>
      <c r="I32" s="74"/>
    </row>
    <row r="33" spans="2:9" ht="15.75" thickBot="1">
      <c r="B33" s="58"/>
      <c r="C33" s="59"/>
      <c r="D33" s="66"/>
      <c r="E33" s="67"/>
      <c r="F33" s="68"/>
      <c r="G33" s="75"/>
      <c r="H33" s="76"/>
      <c r="I33" s="77"/>
    </row>
    <row r="34" spans="2:9" ht="15.75" thickBot="1">
      <c r="B34" s="114" t="s">
        <v>233</v>
      </c>
      <c r="C34" s="115"/>
      <c r="D34" s="115"/>
      <c r="E34" s="115"/>
      <c r="F34" s="115"/>
      <c r="G34" s="115"/>
      <c r="H34" s="115"/>
      <c r="I34" s="116"/>
    </row>
    <row r="35" spans="2:9" ht="14.45" customHeight="1">
      <c r="B35" s="126" t="s">
        <v>234</v>
      </c>
      <c r="C35" s="127"/>
      <c r="D35" s="127"/>
      <c r="E35" s="127"/>
      <c r="F35" s="127"/>
      <c r="G35" s="127"/>
      <c r="H35" s="127"/>
      <c r="I35" s="128"/>
    </row>
    <row r="36" spans="2:9">
      <c r="B36" s="129"/>
      <c r="C36" s="130"/>
      <c r="D36" s="130"/>
      <c r="E36" s="130"/>
      <c r="F36" s="130"/>
      <c r="G36" s="130"/>
      <c r="H36" s="130"/>
      <c r="I36" s="131"/>
    </row>
    <row r="37" spans="2:9">
      <c r="B37" s="132" t="str" cm="1">
        <f t="array" ref="B37">_xlfn.XLOOKUP($H$9,Tabla1[[Nombre Unidad de Estudios]:[Nombre Unidad de Estudios]],Tabla1[Esquema de Calificación],"",0)</f>
        <v>30% Participación individual en debates.
40% Elaboración de talleres individuales.
30% Elaboración de talleres en equipo.</v>
      </c>
      <c r="C37" s="133"/>
      <c r="D37" s="133"/>
      <c r="E37" s="133"/>
      <c r="F37" s="133"/>
      <c r="G37" s="133"/>
      <c r="H37" s="133"/>
      <c r="I37" s="134"/>
    </row>
    <row r="38" spans="2:9">
      <c r="B38" s="132"/>
      <c r="C38" s="133"/>
      <c r="D38" s="133"/>
      <c r="E38" s="133"/>
      <c r="F38" s="133"/>
      <c r="G38" s="133"/>
      <c r="H38" s="133"/>
      <c r="I38" s="134"/>
    </row>
    <row r="39" spans="2:9" ht="15.75" thickBot="1">
      <c r="B39" s="135"/>
      <c r="C39" s="136"/>
      <c r="D39" s="136"/>
      <c r="E39" s="136"/>
      <c r="F39" s="136"/>
      <c r="G39" s="136"/>
      <c r="H39" s="136"/>
      <c r="I39" s="137"/>
    </row>
    <row r="40" spans="2:9" ht="34.5" customHeight="1" thickBot="1">
      <c r="B40" s="117" t="s">
        <v>235</v>
      </c>
      <c r="C40" s="118"/>
      <c r="D40" s="118"/>
      <c r="E40" s="119"/>
      <c r="F40" s="120" t="str" cm="1">
        <f t="array" ref="F40">_xlfn.XLOOKUP($H$9,Tabla1[[Nombre Unidad de Estudios]:[Nombre Unidad de Estudios]],Tabla1[Recursos Tecnológicos],"",0)</f>
        <v>Base de datos; Material bibliográfico; Plataforma virtual</v>
      </c>
      <c r="G40" s="121"/>
      <c r="H40" s="121"/>
      <c r="I40" s="122"/>
    </row>
    <row r="41" spans="2:9" ht="15.75" thickBot="1">
      <c r="B41" s="123" t="s">
        <v>236</v>
      </c>
      <c r="C41" s="124"/>
      <c r="D41" s="124"/>
      <c r="E41" s="124"/>
      <c r="F41" s="125" t="str" cm="1">
        <f t="array" ref="F41">_xlfn.XLOOKUP($H$9,Tabla1[[Nombre Unidad de Estudios]:[Nombre Unidad de Estudios]],Tabla1[Componente de Lengua Extranjera '[Idioma']],"",0)</f>
        <v>Inglés</v>
      </c>
      <c r="G41" s="125"/>
      <c r="H41" s="32" t="s">
        <v>237</v>
      </c>
      <c r="I41" s="36" cm="1">
        <f t="array" ref="I41">_xlfn.XLOOKUP($H$9,Tabla1[[Nombre Unidad de Estudios]:[Nombre Unidad de Estudios]],Tabla1[Componente de Lengua Extranjera '[%']],"",0)</f>
        <v>0.3</v>
      </c>
    </row>
    <row r="42" spans="2:9">
      <c r="B42" s="80" t="s">
        <v>238</v>
      </c>
      <c r="C42" s="81"/>
      <c r="D42" s="81"/>
      <c r="E42" s="81"/>
      <c r="F42" s="81"/>
      <c r="G42" s="81"/>
      <c r="H42" s="81"/>
      <c r="I42" s="82"/>
    </row>
    <row r="43" spans="2:9" ht="14.45" customHeight="1">
      <c r="B43" s="138" t="s">
        <v>49</v>
      </c>
      <c r="C43" s="139"/>
      <c r="D43" s="139"/>
      <c r="E43" s="140"/>
      <c r="F43" s="138" t="s">
        <v>239</v>
      </c>
      <c r="G43" s="139"/>
      <c r="H43" s="139"/>
      <c r="I43" s="140"/>
    </row>
    <row r="44" spans="2:9">
      <c r="B44" s="108" t="str" cm="1">
        <f t="array" ref="B44">_xlfn.XLOOKUP($H$9,Tabla1[[Nombre Unidad de Estudios]:[Nombre Unidad de Estudios]],Tabla1[Bibliografía Obligatoria],"",0)</f>
        <v>Allas, T. y Schaninger, W. (2020). The boss factor: Making the world a better place through workplace relationships. McKinsey Quarterly. https://www.mckinsey.com/business-functions/organization/our-insights/the-boss-factor
Blanch, J., Gil, F., Antino, M. y Rodríguez-Muñoz, A. (2016). Modelos de Liderazgo Positivo: Marco Teórico y Líneas de Investigación. Papeles del Psicólogo, 37(3), 170-176.</v>
      </c>
      <c r="C44" s="109"/>
      <c r="D44" s="109"/>
      <c r="E44" s="110"/>
      <c r="F44" s="108" t="str" cm="1">
        <f t="array" ref="F44">_xlfn.XLOOKUP($H$9,Tabla1[[Nombre Unidad de Estudios]:[Nombre Unidad de Estudios]],Tabla1[Bibliografia Complementaria],"",0)</f>
        <v>Deloitte Insights. (2020). La empresa Social en acción: la paradoja como camino hacia adelante. Deloitte Development LLC. https://www2.deloitte.com/co/es/pages/human-capital/articles/tendencias-globales-de-capital-humano-2020.html</v>
      </c>
      <c r="G44" s="109"/>
      <c r="H44" s="109"/>
      <c r="I44" s="110"/>
    </row>
    <row r="45" spans="2:9">
      <c r="B45" s="108"/>
      <c r="C45" s="109"/>
      <c r="D45" s="109"/>
      <c r="E45" s="110"/>
      <c r="F45" s="108"/>
      <c r="G45" s="109"/>
      <c r="H45" s="109"/>
      <c r="I45" s="110"/>
    </row>
    <row r="46" spans="2:9">
      <c r="B46" s="108"/>
      <c r="C46" s="109"/>
      <c r="D46" s="109"/>
      <c r="E46" s="110"/>
      <c r="F46" s="108"/>
      <c r="G46" s="109"/>
      <c r="H46" s="109"/>
      <c r="I46" s="110"/>
    </row>
    <row r="47" spans="2:9">
      <c r="B47" s="108"/>
      <c r="C47" s="109"/>
      <c r="D47" s="109"/>
      <c r="E47" s="110"/>
      <c r="F47" s="108"/>
      <c r="G47" s="109"/>
      <c r="H47" s="109"/>
      <c r="I47" s="110"/>
    </row>
    <row r="48" spans="2:9">
      <c r="B48" s="108"/>
      <c r="C48" s="109"/>
      <c r="D48" s="109"/>
      <c r="E48" s="110"/>
      <c r="F48" s="108"/>
      <c r="G48" s="109"/>
      <c r="H48" s="109"/>
      <c r="I48" s="110"/>
    </row>
    <row r="49" spans="2:9">
      <c r="B49" s="108"/>
      <c r="C49" s="109"/>
      <c r="D49" s="109"/>
      <c r="E49" s="110"/>
      <c r="F49" s="108"/>
      <c r="G49" s="109"/>
      <c r="H49" s="109"/>
      <c r="I49" s="110"/>
    </row>
    <row r="50" spans="2:9">
      <c r="B50" s="108"/>
      <c r="C50" s="109"/>
      <c r="D50" s="109"/>
      <c r="E50" s="110"/>
      <c r="F50" s="108"/>
      <c r="G50" s="109"/>
      <c r="H50" s="109"/>
      <c r="I50" s="110"/>
    </row>
    <row r="51" spans="2:9">
      <c r="B51" s="108"/>
      <c r="C51" s="109"/>
      <c r="D51" s="109"/>
      <c r="E51" s="110"/>
      <c r="F51" s="108"/>
      <c r="G51" s="109"/>
      <c r="H51" s="109"/>
      <c r="I51" s="110"/>
    </row>
    <row r="52" spans="2:9">
      <c r="B52" s="108"/>
      <c r="C52" s="109"/>
      <c r="D52" s="109"/>
      <c r="E52" s="110"/>
      <c r="F52" s="108"/>
      <c r="G52" s="109"/>
      <c r="H52" s="109"/>
      <c r="I52" s="110"/>
    </row>
    <row r="53" spans="2:9">
      <c r="B53" s="108"/>
      <c r="C53" s="109"/>
      <c r="D53" s="109"/>
      <c r="E53" s="110"/>
      <c r="F53" s="108"/>
      <c r="G53" s="109"/>
      <c r="H53" s="109"/>
      <c r="I53" s="110"/>
    </row>
    <row r="54" spans="2:9">
      <c r="B54" s="108"/>
      <c r="C54" s="109"/>
      <c r="D54" s="109"/>
      <c r="E54" s="110"/>
      <c r="F54" s="108"/>
      <c r="G54" s="109"/>
      <c r="H54" s="109"/>
      <c r="I54" s="110"/>
    </row>
    <row r="55" spans="2:9">
      <c r="B55" s="108"/>
      <c r="C55" s="109"/>
      <c r="D55" s="109"/>
      <c r="E55" s="110"/>
      <c r="F55" s="108"/>
      <c r="G55" s="109"/>
      <c r="H55" s="109"/>
      <c r="I55" s="110"/>
    </row>
    <row r="56" spans="2:9">
      <c r="B56" s="108"/>
      <c r="C56" s="109"/>
      <c r="D56" s="109"/>
      <c r="E56" s="110"/>
      <c r="F56" s="108"/>
      <c r="G56" s="109"/>
      <c r="H56" s="109"/>
      <c r="I56" s="110"/>
    </row>
    <row r="57" spans="2:9" ht="15.75" thickBot="1">
      <c r="B57" s="111"/>
      <c r="C57" s="112"/>
      <c r="D57" s="112"/>
      <c r="E57" s="113"/>
      <c r="F57" s="111"/>
      <c r="G57" s="112"/>
      <c r="H57" s="112"/>
      <c r="I57" s="113"/>
    </row>
    <row r="58" spans="2:9">
      <c r="B58" s="80" t="s">
        <v>240</v>
      </c>
      <c r="C58" s="81"/>
      <c r="D58" s="81"/>
      <c r="E58" s="81"/>
      <c r="F58" s="81"/>
      <c r="G58" s="81"/>
      <c r="H58" s="81"/>
      <c r="I58" s="82"/>
    </row>
    <row r="59" spans="2:9">
      <c r="B59" s="33" t="s">
        <v>51</v>
      </c>
      <c r="C59" s="34" t="s">
        <v>52</v>
      </c>
      <c r="D59" s="34" t="s">
        <v>53</v>
      </c>
      <c r="E59" s="34" t="s">
        <v>54</v>
      </c>
      <c r="F59" s="34" t="s">
        <v>55</v>
      </c>
      <c r="G59" s="104" t="s">
        <v>56</v>
      </c>
      <c r="H59" s="104"/>
      <c r="I59" s="105"/>
    </row>
    <row r="60" spans="2:9" ht="30">
      <c r="B60" s="38" cm="1">
        <f t="array" ref="B60">_xlfn.XLOOKUP($H$9,Tabla1[[Nombre Unidad de Estudios]:[Nombre Unidad de Estudios]],Tabla1['# versión],"",0)</f>
        <v>1</v>
      </c>
      <c r="C60" s="41" cm="1">
        <f t="array" ref="C60">_xlfn.XLOOKUP($H$9,Tabla1[[Nombre Unidad de Estudios]:[Nombre Unidad de Estudios]],Tabla1[Fecha],"",0)</f>
        <v>46083</v>
      </c>
      <c r="D60" s="35" t="str" cm="1">
        <f t="array" ref="D60">_xlfn.XLOOKUP($H$9,Tabla1[[Nombre Unidad de Estudios]:[Nombre Unidad de Estudios]],Tabla1[Elaboró],"",0)</f>
        <v>Omar Patiño</v>
      </c>
      <c r="E60" s="35" t="str" cm="1">
        <f t="array" ref="E60">_xlfn.XLOOKUP($H$9,Tabla1[[Nombre Unidad de Estudios]:[Nombre Unidad de Estudios]],Tabla1[Revisó],"",0)</f>
        <v>Juan Carlos Rentería</v>
      </c>
      <c r="F60" s="35" t="str" cm="1">
        <f t="array" ref="F60">_xlfn.XLOOKUP($H$9,Tabla1[[Nombre Unidad de Estudios]:[Nombre Unidad de Estudios]],Tabla1[Aprobó],"",0)</f>
        <v>Comité Curricular</v>
      </c>
      <c r="G60" s="106" t="str" cm="1">
        <f t="array" ref="G60">_xlfn.XLOOKUP($H$9,Tabla1[[Nombre Unidad de Estudios]:[Nombre Unidad de Estudios]],Tabla1[Descripción del cambio],"",0)</f>
        <v>Creación syllabus en nuevo formato</v>
      </c>
      <c r="H60" s="106"/>
      <c r="I60" s="107"/>
    </row>
    <row r="61" spans="2:9">
      <c r="B61" s="38"/>
      <c r="C61" s="35"/>
      <c r="D61" s="35"/>
      <c r="E61" s="35"/>
      <c r="F61" s="35"/>
      <c r="G61" s="106"/>
      <c r="H61" s="106"/>
      <c r="I61" s="107"/>
    </row>
    <row r="62" spans="2:9">
      <c r="B62" s="38"/>
      <c r="C62" s="35"/>
      <c r="D62" s="35"/>
      <c r="E62" s="35"/>
      <c r="F62" s="35"/>
      <c r="G62" s="106"/>
      <c r="H62" s="106"/>
      <c r="I62" s="107"/>
    </row>
    <row r="63" spans="2:9">
      <c r="B63" s="38"/>
      <c r="C63" s="35"/>
      <c r="D63" s="35"/>
      <c r="E63" s="35"/>
      <c r="F63" s="35"/>
      <c r="G63" s="106"/>
      <c r="H63" s="106"/>
      <c r="I63" s="107"/>
    </row>
    <row r="64" spans="2:9">
      <c r="B64" s="38"/>
      <c r="C64" s="35"/>
      <c r="D64" s="35"/>
      <c r="E64" s="35"/>
      <c r="F64" s="35"/>
      <c r="G64" s="106"/>
      <c r="H64" s="106"/>
      <c r="I64" s="107"/>
    </row>
    <row r="65" spans="2:9" ht="15.75" thickBot="1">
      <c r="B65" s="39"/>
      <c r="C65" s="40"/>
      <c r="D65" s="40"/>
      <c r="E65" s="40"/>
      <c r="F65" s="40"/>
      <c r="G65" s="141"/>
      <c r="H65" s="141"/>
      <c r="I65" s="142"/>
    </row>
  </sheetData>
  <mergeCells count="41">
    <mergeCell ref="G65:I65"/>
    <mergeCell ref="G59:I59"/>
    <mergeCell ref="G60:I60"/>
    <mergeCell ref="G61:I61"/>
    <mergeCell ref="G62:I62"/>
    <mergeCell ref="G63:I63"/>
    <mergeCell ref="G64:I64"/>
    <mergeCell ref="B58:I58"/>
    <mergeCell ref="B34:I34"/>
    <mergeCell ref="B35:I36"/>
    <mergeCell ref="B37:I39"/>
    <mergeCell ref="B40:E40"/>
    <mergeCell ref="F40:I40"/>
    <mergeCell ref="B41:E41"/>
    <mergeCell ref="F41:G41"/>
    <mergeCell ref="B42:I42"/>
    <mergeCell ref="B43:E43"/>
    <mergeCell ref="F43:I43"/>
    <mergeCell ref="B44:E57"/>
    <mergeCell ref="F44:I57"/>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K2" display="Menu principal" xr:uid="{00000000-0004-0000-1300-000000000000}"/>
  </hyperlinks>
  <pageMargins left="0.25" right="0.25" top="0.75" bottom="0.75" header="0.3" footer="0.3"/>
  <pageSetup paperSize="9" scale="72"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Tabla!$H$2:$H$22</xm:f>
          </x14:formula1>
          <xm:sqref>H9:I9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10E3B-CA83-4C89-86CF-E398A21F3A96}">
  <sheetPr>
    <pageSetUpPr fitToPage="1"/>
  </sheetPr>
  <dimension ref="B1:K65"/>
  <sheetViews>
    <sheetView topLeftCell="A12" workbookViewId="0">
      <selection activeCell="B20" sqref="B20:C33"/>
    </sheetView>
  </sheetViews>
  <sheetFormatPr defaultColWidth="10.85546875" defaultRowHeight="15"/>
  <cols>
    <col min="1" max="1" width="3.140625" style="16" customWidth="1"/>
    <col min="2" max="2" width="14.28515625" style="16" customWidth="1"/>
    <col min="3" max="3" width="11.28515625" style="16" bestFit="1" customWidth="1"/>
    <col min="4" max="4" width="12.28515625" style="16" customWidth="1"/>
    <col min="5" max="5" width="16.28515625" style="16" customWidth="1"/>
    <col min="6" max="6" width="18.42578125" style="16" customWidth="1"/>
    <col min="7" max="7" width="10.85546875" style="16" customWidth="1"/>
    <col min="8" max="8" width="9.85546875" style="16" customWidth="1"/>
    <col min="9" max="9" width="16.7109375" style="16" customWidth="1"/>
    <col min="10" max="10" width="10.85546875" style="16"/>
    <col min="11" max="11" width="16.42578125" style="16" customWidth="1"/>
    <col min="12" max="16384" width="10.85546875" style="16"/>
  </cols>
  <sheetData>
    <row r="1" spans="2:11" ht="15.75" thickBot="1">
      <c r="C1" s="17"/>
      <c r="D1" s="17"/>
      <c r="E1" s="17"/>
      <c r="F1" s="17"/>
      <c r="G1" s="17"/>
      <c r="H1" s="17"/>
    </row>
    <row r="2" spans="2:11" ht="22.5" customHeight="1" thickTop="1">
      <c r="B2" s="10"/>
      <c r="C2" s="8" t="s">
        <v>204</v>
      </c>
      <c r="D2" s="8"/>
      <c r="E2" s="8"/>
      <c r="F2" s="8"/>
      <c r="G2" s="8"/>
      <c r="H2" s="8"/>
      <c r="I2" s="18" t="s">
        <v>205</v>
      </c>
      <c r="K2" s="46" t="s">
        <v>206</v>
      </c>
    </row>
    <row r="3" spans="2:11" ht="20.25" customHeight="1">
      <c r="B3" s="9"/>
      <c r="C3" s="7"/>
      <c r="D3" s="7"/>
      <c r="E3" s="7"/>
      <c r="F3" s="7"/>
      <c r="G3" s="7"/>
      <c r="H3" s="7"/>
      <c r="I3" s="19" t="s">
        <v>207</v>
      </c>
    </row>
    <row r="4" spans="2:11" ht="21" customHeight="1" thickBot="1">
      <c r="B4" s="6" t="s">
        <v>208</v>
      </c>
      <c r="C4" s="5"/>
      <c r="D4" s="5"/>
      <c r="E4" s="5"/>
      <c r="F4" s="5"/>
      <c r="G4" s="5"/>
      <c r="H4" s="5"/>
      <c r="I4" s="20" t="s">
        <v>209</v>
      </c>
    </row>
    <row r="5" spans="2:11" ht="16.5" thickTop="1" thickBot="1">
      <c r="B5" s="4"/>
      <c r="C5" s="4"/>
      <c r="D5" s="4"/>
      <c r="E5" s="4"/>
      <c r="F5" s="4"/>
      <c r="G5" s="4"/>
      <c r="H5" s="4"/>
      <c r="I5" s="4"/>
    </row>
    <row r="6" spans="2:11">
      <c r="B6" s="3" t="s">
        <v>210</v>
      </c>
      <c r="C6" s="2"/>
      <c r="D6" s="2"/>
      <c r="E6" s="2"/>
      <c r="F6" s="2"/>
      <c r="G6" s="2"/>
      <c r="H6" s="2"/>
      <c r="I6" s="1"/>
    </row>
    <row r="7" spans="2:11" ht="60">
      <c r="B7" s="22" t="s">
        <v>29</v>
      </c>
      <c r="C7" s="23" cm="1">
        <f t="array" ref="C7">_xlfn.XLOOKUP($H$9,Tabla1[[Nombre Unidad de Estudios]:[Nombre Unidad de Estudios]],Tabla1[Año],"",0)</f>
        <v>2026</v>
      </c>
      <c r="D7" s="24" t="s">
        <v>211</v>
      </c>
      <c r="E7" s="23" t="str" cm="1">
        <f t="array" ref="E7">_xlfn.XLOOKUP($H$9,Tabla1[[Nombre Unidad de Estudios]:[Nombre Unidad de Estudios]],Tabla1[Código Plan de Estudios],"",0)</f>
        <v>DTPGESBOG002</v>
      </c>
      <c r="F7" s="24" t="s">
        <v>212</v>
      </c>
      <c r="G7" s="23" t="str" cm="1">
        <f t="array" ref="G7">_xlfn.XLOOKUP($H$9,Tabla1[[Nombre Unidad de Estudios]:[Nombre Unidad de Estudios]],Tabla1[Código Unidad de Estudios],"",0)</f>
        <v>ADPN0009</v>
      </c>
      <c r="H7" s="24" t="s">
        <v>213</v>
      </c>
      <c r="I7" s="23" t="str" cm="1">
        <f t="array" ref="I7">_xlfn.XLOOKUP($H$9,Tabla1[[Nombre Unidad de Estudios]:[Nombre Unidad de Estudios]],Tabla1[Tipo Unidad de Estudios],"",0)</f>
        <v>Nuclear</v>
      </c>
    </row>
    <row r="8" spans="2:11" ht="30">
      <c r="B8" s="22" t="s">
        <v>33</v>
      </c>
      <c r="C8" s="25" t="s">
        <v>60</v>
      </c>
      <c r="D8" s="35" t="s">
        <v>214</v>
      </c>
      <c r="E8" s="25" t="s">
        <v>215</v>
      </c>
      <c r="F8" s="24"/>
      <c r="G8" s="24" t="s">
        <v>216</v>
      </c>
      <c r="H8" s="12"/>
      <c r="I8" s="11"/>
    </row>
    <row r="9" spans="2:11" ht="45">
      <c r="B9" s="26" t="s">
        <v>217</v>
      </c>
      <c r="C9" s="23" t="str" cm="1">
        <f t="array" ref="C9">_xlfn.XLOOKUP($H$9,Tabla1[[Nombre Unidad de Estudios]:[Nombre Unidad de Estudios]],Tabla1[Nivel],"",0)</f>
        <v>Doctorado</v>
      </c>
      <c r="D9" s="25" t="s">
        <v>218</v>
      </c>
      <c r="E9" s="78" t="str" cm="1">
        <f t="array" ref="E9">_xlfn.XLOOKUP($H$9,Tabla1[[Nombre Unidad de Estudios]:[Nombre Unidad de Estudios]],Tabla1[Programa],"",0)</f>
        <v>Doctorado En Gestión</v>
      </c>
      <c r="F9" s="78"/>
      <c r="G9" s="24" t="s">
        <v>219</v>
      </c>
      <c r="H9" s="78" t="s">
        <v>5</v>
      </c>
      <c r="I9" s="79"/>
    </row>
    <row r="10" spans="2:11" ht="30.75" thickBot="1">
      <c r="B10" s="27" t="s">
        <v>37</v>
      </c>
      <c r="C10" s="28" cm="1">
        <f t="array" ref="C10">_xlfn.XLOOKUP($H$9,Tabla1[[Nombre Unidad de Estudios]:[Nombre Unidad de Estudios]],Tabla1[Créditos Académicos],"",0)</f>
        <v>3</v>
      </c>
      <c r="D10" s="29" t="s">
        <v>220</v>
      </c>
      <c r="E10" s="28" cm="1">
        <f t="array" ref="E10">_xlfn.XLOOKUP($H$9,Tabla1[[Nombre Unidad de Estudios]:[Nombre Unidad de Estudios]],Tabla1[Horas de Acompañamiento Directo '[HAD']],"",0)</f>
        <v>36</v>
      </c>
      <c r="F10" s="29" t="s">
        <v>221</v>
      </c>
      <c r="G10" s="28" cm="1">
        <f t="array" ref="G10">_xlfn.XLOOKUP($H$9,Tabla1[[Nombre Unidad de Estudios]:[Nombre Unidad de Estudios]],Tabla1[Horas de Trabajo Autónomo '[HTA']],"",0)</f>
        <v>108</v>
      </c>
      <c r="H10" s="29" t="s">
        <v>222</v>
      </c>
      <c r="I10" s="30">
        <f>E10+G10</f>
        <v>144</v>
      </c>
    </row>
    <row r="11" spans="2:11">
      <c r="B11" s="80" t="s">
        <v>223</v>
      </c>
      <c r="C11" s="81"/>
      <c r="D11" s="81"/>
      <c r="E11" s="81"/>
      <c r="F11" s="81"/>
      <c r="G11" s="81"/>
      <c r="H11" s="81"/>
      <c r="I11" s="82"/>
    </row>
    <row r="12" spans="2:11" ht="76.5" customHeight="1">
      <c r="B12" s="83" t="s">
        <v>224</v>
      </c>
      <c r="C12" s="84"/>
      <c r="D12" s="85" t="str" cm="1">
        <f t="array" ref="D12">_xlfn.XLOOKUP($H$9,Tabla1[[Nombre Unidad de Estudios]:[Nombre Unidad de Estudios]],Tabla1[Descripción de la Unidad de Estudios],"",0)</f>
        <v>La crisis multidimensional ocasionada por el COVID-19, para algunos catalogada como una coyuntura crítica, puso de manifiesto las limitaciones del orden establecido. Esta unidad desarrolla habilidades para el análisis de los negocios en un marco político doméstico e internacional.</v>
      </c>
      <c r="E12" s="86"/>
      <c r="F12" s="86"/>
      <c r="G12" s="86"/>
      <c r="H12" s="86"/>
      <c r="I12" s="87"/>
    </row>
    <row r="13" spans="2:11" ht="66" customHeight="1" thickBot="1">
      <c r="B13" s="88" t="s">
        <v>225</v>
      </c>
      <c r="C13" s="89"/>
      <c r="D13" s="90" t="str" cm="1">
        <f t="array" ref="D13">_xlfn.XLOOKUP($H$9,Tabla1[[Nombre Unidad de Estudios]:[Nombre Unidad de Estudios]],Tabla1[Resultado de Aprendizaje de la Unidad de Estudios],"",0)</f>
        <v>Desarrolla habilidades y destrezas para el análisis de los negocios en torno a un marco político doméstico inscritos alrededor de un contexto político internacional.</v>
      </c>
      <c r="E13" s="91"/>
      <c r="F13" s="91"/>
      <c r="G13" s="91"/>
      <c r="H13" s="91"/>
      <c r="I13" s="92"/>
    </row>
    <row r="14" spans="2:11">
      <c r="B14" s="80" t="s">
        <v>226</v>
      </c>
      <c r="C14" s="81"/>
      <c r="D14" s="81"/>
      <c r="E14" s="81"/>
      <c r="F14" s="81"/>
      <c r="G14" s="81"/>
      <c r="H14" s="81"/>
      <c r="I14" s="82"/>
    </row>
    <row r="15" spans="2:11">
      <c r="B15" s="93" t="s">
        <v>227</v>
      </c>
      <c r="C15" s="78"/>
      <c r="D15" s="78"/>
      <c r="E15" s="78"/>
      <c r="F15" s="78"/>
      <c r="G15" s="78"/>
      <c r="H15" s="78"/>
      <c r="I15" s="79"/>
    </row>
    <row r="16" spans="2:11">
      <c r="B16" s="93"/>
      <c r="C16" s="78"/>
      <c r="D16" s="78"/>
      <c r="E16" s="78"/>
      <c r="F16" s="78"/>
      <c r="G16" s="78"/>
      <c r="H16" s="78"/>
      <c r="I16" s="79"/>
    </row>
    <row r="17" spans="2:9" ht="15.75" thickBot="1">
      <c r="B17" s="94"/>
      <c r="C17" s="95"/>
      <c r="D17" s="95"/>
      <c r="E17" s="95"/>
      <c r="F17" s="95"/>
      <c r="G17" s="95"/>
      <c r="H17" s="95"/>
      <c r="I17" s="96"/>
    </row>
    <row r="18" spans="2:9" ht="15.75" thickBot="1">
      <c r="B18" s="97" t="s">
        <v>228</v>
      </c>
      <c r="C18" s="98"/>
      <c r="D18" s="98"/>
      <c r="E18" s="98"/>
      <c r="F18" s="98"/>
      <c r="G18" s="98"/>
      <c r="H18" s="98"/>
      <c r="I18" s="99"/>
    </row>
    <row r="19" spans="2:9">
      <c r="B19" s="21" t="s">
        <v>44</v>
      </c>
      <c r="C19" s="43" t="str" cm="1">
        <f t="array" ref="C19">_xlfn.XLOOKUP($H$9,Tabla1[[Nombre Unidad de Estudios]:[Nombre Unidad de Estudios]],Tabla1[Módulo],"",0)</f>
        <v>6 semanas</v>
      </c>
      <c r="D19" s="21" t="s">
        <v>229</v>
      </c>
      <c r="E19" s="143" t="s">
        <v>230</v>
      </c>
      <c r="F19" s="144"/>
      <c r="G19" s="31" t="s">
        <v>231</v>
      </c>
      <c r="H19" s="145" t="s">
        <v>232</v>
      </c>
      <c r="I19" s="146"/>
    </row>
    <row r="20" spans="2:9">
      <c r="B20" s="13" t="s">
        <v>187</v>
      </c>
      <c r="C20" s="55"/>
      <c r="D20" s="60"/>
      <c r="E20" s="61"/>
      <c r="F20" s="62"/>
      <c r="G20" s="69"/>
      <c r="H20" s="70"/>
      <c r="I20" s="71"/>
    </row>
    <row r="21" spans="2:9">
      <c r="B21" s="56"/>
      <c r="C21" s="57"/>
      <c r="D21" s="63"/>
      <c r="E21" s="64"/>
      <c r="F21" s="65"/>
      <c r="G21" s="72"/>
      <c r="H21" s="73"/>
      <c r="I21" s="74"/>
    </row>
    <row r="22" spans="2:9">
      <c r="B22" s="56"/>
      <c r="C22" s="57"/>
      <c r="D22" s="63"/>
      <c r="E22" s="64"/>
      <c r="F22" s="65"/>
      <c r="G22" s="72"/>
      <c r="H22" s="73"/>
      <c r="I22" s="74"/>
    </row>
    <row r="23" spans="2:9">
      <c r="B23" s="56"/>
      <c r="C23" s="57"/>
      <c r="D23" s="63"/>
      <c r="E23" s="64"/>
      <c r="F23" s="65"/>
      <c r="G23" s="72"/>
      <c r="H23" s="73"/>
      <c r="I23" s="74"/>
    </row>
    <row r="24" spans="2:9">
      <c r="B24" s="56"/>
      <c r="C24" s="57"/>
      <c r="D24" s="63"/>
      <c r="E24" s="64"/>
      <c r="F24" s="65"/>
      <c r="G24" s="72"/>
      <c r="H24" s="73"/>
      <c r="I24" s="74"/>
    </row>
    <row r="25" spans="2:9">
      <c r="B25" s="56"/>
      <c r="C25" s="57"/>
      <c r="D25" s="63"/>
      <c r="E25" s="64"/>
      <c r="F25" s="65"/>
      <c r="G25" s="72"/>
      <c r="H25" s="73"/>
      <c r="I25" s="74"/>
    </row>
    <row r="26" spans="2:9">
      <c r="B26" s="56"/>
      <c r="C26" s="57"/>
      <c r="D26" s="63"/>
      <c r="E26" s="64"/>
      <c r="F26" s="65"/>
      <c r="G26" s="72"/>
      <c r="H26" s="73"/>
      <c r="I26" s="74"/>
    </row>
    <row r="27" spans="2:9">
      <c r="B27" s="56"/>
      <c r="C27" s="57"/>
      <c r="D27" s="63"/>
      <c r="E27" s="64"/>
      <c r="F27" s="65"/>
      <c r="G27" s="72"/>
      <c r="H27" s="73"/>
      <c r="I27" s="74"/>
    </row>
    <row r="28" spans="2:9">
      <c r="B28" s="56"/>
      <c r="C28" s="57"/>
      <c r="D28" s="63"/>
      <c r="E28" s="64"/>
      <c r="F28" s="65"/>
      <c r="G28" s="72"/>
      <c r="H28" s="73"/>
      <c r="I28" s="74"/>
    </row>
    <row r="29" spans="2:9">
      <c r="B29" s="56"/>
      <c r="C29" s="57"/>
      <c r="D29" s="63"/>
      <c r="E29" s="64"/>
      <c r="F29" s="65"/>
      <c r="G29" s="72"/>
      <c r="H29" s="73"/>
      <c r="I29" s="74"/>
    </row>
    <row r="30" spans="2:9">
      <c r="B30" s="56"/>
      <c r="C30" s="57"/>
      <c r="D30" s="63"/>
      <c r="E30" s="64"/>
      <c r="F30" s="65"/>
      <c r="G30" s="72"/>
      <c r="H30" s="73"/>
      <c r="I30" s="74"/>
    </row>
    <row r="31" spans="2:9">
      <c r="B31" s="56"/>
      <c r="C31" s="57"/>
      <c r="D31" s="63"/>
      <c r="E31" s="64"/>
      <c r="F31" s="65"/>
      <c r="G31" s="72"/>
      <c r="H31" s="73"/>
      <c r="I31" s="74"/>
    </row>
    <row r="32" spans="2:9">
      <c r="B32" s="56"/>
      <c r="C32" s="57"/>
      <c r="D32" s="63"/>
      <c r="E32" s="64"/>
      <c r="F32" s="65"/>
      <c r="G32" s="72"/>
      <c r="H32" s="73"/>
      <c r="I32" s="74"/>
    </row>
    <row r="33" spans="2:9" ht="15.75" thickBot="1">
      <c r="B33" s="58"/>
      <c r="C33" s="59"/>
      <c r="D33" s="66"/>
      <c r="E33" s="67"/>
      <c r="F33" s="68"/>
      <c r="G33" s="75"/>
      <c r="H33" s="76"/>
      <c r="I33" s="77"/>
    </row>
    <row r="34" spans="2:9" ht="15.75" thickBot="1">
      <c r="B34" s="114" t="s">
        <v>233</v>
      </c>
      <c r="C34" s="115"/>
      <c r="D34" s="115"/>
      <c r="E34" s="115"/>
      <c r="F34" s="115"/>
      <c r="G34" s="115"/>
      <c r="H34" s="115"/>
      <c r="I34" s="116"/>
    </row>
    <row r="35" spans="2:9" ht="14.45" customHeight="1">
      <c r="B35" s="126" t="s">
        <v>234</v>
      </c>
      <c r="C35" s="127"/>
      <c r="D35" s="127"/>
      <c r="E35" s="127"/>
      <c r="F35" s="127"/>
      <c r="G35" s="127"/>
      <c r="H35" s="127"/>
      <c r="I35" s="128"/>
    </row>
    <row r="36" spans="2:9">
      <c r="B36" s="129"/>
      <c r="C36" s="130"/>
      <c r="D36" s="130"/>
      <c r="E36" s="130"/>
      <c r="F36" s="130"/>
      <c r="G36" s="130"/>
      <c r="H36" s="130"/>
      <c r="I36" s="131"/>
    </row>
    <row r="37" spans="2:9">
      <c r="B37" s="132" t="str" cm="1">
        <f t="array" ref="B37">_xlfn.XLOOKUP($H$9,Tabla1[[Nombre Unidad de Estudios]:[Nombre Unidad de Estudios]],Tabla1[Esquema de Calificación],"",0)</f>
        <v>60% Talleres y participación en clase.
40% Ensayo final.</v>
      </c>
      <c r="C37" s="133"/>
      <c r="D37" s="133"/>
      <c r="E37" s="133"/>
      <c r="F37" s="133"/>
      <c r="G37" s="133"/>
      <c r="H37" s="133"/>
      <c r="I37" s="134"/>
    </row>
    <row r="38" spans="2:9">
      <c r="B38" s="132"/>
      <c r="C38" s="133"/>
      <c r="D38" s="133"/>
      <c r="E38" s="133"/>
      <c r="F38" s="133"/>
      <c r="G38" s="133"/>
      <c r="H38" s="133"/>
      <c r="I38" s="134"/>
    </row>
    <row r="39" spans="2:9" ht="15.75" thickBot="1">
      <c r="B39" s="135"/>
      <c r="C39" s="136"/>
      <c r="D39" s="136"/>
      <c r="E39" s="136"/>
      <c r="F39" s="136"/>
      <c r="G39" s="136"/>
      <c r="H39" s="136"/>
      <c r="I39" s="137"/>
    </row>
    <row r="40" spans="2:9" ht="34.5" customHeight="1" thickBot="1">
      <c r="B40" s="117" t="s">
        <v>235</v>
      </c>
      <c r="C40" s="118"/>
      <c r="D40" s="118"/>
      <c r="E40" s="119"/>
      <c r="F40" s="120" t="str" cm="1">
        <f t="array" ref="F40">_xlfn.XLOOKUP($H$9,Tabla1[[Nombre Unidad de Estudios]:[Nombre Unidad de Estudios]],Tabla1[Recursos Tecnológicos],"",0)</f>
        <v>Base de datos; Material bibliográfico; Plataforma virtual</v>
      </c>
      <c r="G40" s="121"/>
      <c r="H40" s="121"/>
      <c r="I40" s="122"/>
    </row>
    <row r="41" spans="2:9" ht="15.75" thickBot="1">
      <c r="B41" s="123" t="s">
        <v>236</v>
      </c>
      <c r="C41" s="124"/>
      <c r="D41" s="124"/>
      <c r="E41" s="124"/>
      <c r="F41" s="125" t="str" cm="1">
        <f t="array" ref="F41">_xlfn.XLOOKUP($H$9,Tabla1[[Nombre Unidad de Estudios]:[Nombre Unidad de Estudios]],Tabla1[Componente de Lengua Extranjera '[Idioma']],"",0)</f>
        <v>Inglés</v>
      </c>
      <c r="G41" s="125"/>
      <c r="H41" s="32" t="s">
        <v>237</v>
      </c>
      <c r="I41" s="36" cm="1">
        <f t="array" ref="I41">_xlfn.XLOOKUP($H$9,Tabla1[[Nombre Unidad de Estudios]:[Nombre Unidad de Estudios]],Tabla1[Componente de Lengua Extranjera '[%']],"",0)</f>
        <v>0.5</v>
      </c>
    </row>
    <row r="42" spans="2:9">
      <c r="B42" s="80" t="s">
        <v>238</v>
      </c>
      <c r="C42" s="81"/>
      <c r="D42" s="81"/>
      <c r="E42" s="81"/>
      <c r="F42" s="81"/>
      <c r="G42" s="81"/>
      <c r="H42" s="81"/>
      <c r="I42" s="82"/>
    </row>
    <row r="43" spans="2:9" ht="14.45" customHeight="1">
      <c r="B43" s="138" t="s">
        <v>49</v>
      </c>
      <c r="C43" s="139"/>
      <c r="D43" s="139"/>
      <c r="E43" s="140"/>
      <c r="F43" s="138" t="s">
        <v>239</v>
      </c>
      <c r="G43" s="139"/>
      <c r="H43" s="139"/>
      <c r="I43" s="140"/>
    </row>
    <row r="44" spans="2:9">
      <c r="B44" s="108" t="str" cm="1">
        <f t="array" ref="B44">_xlfn.XLOOKUP($H$9,Tabla1[[Nombre Unidad de Estudios]:[Nombre Unidad de Estudios]],Tabla1[Bibliografía Obligatoria],"",0)</f>
        <v>González, G. y otros (2021). Coyuntura crítica, transición de poder y vaciamiento latinoamericano. Nueva Sociedad, (291). https://nuso.org/articulo/coyuntura-critica-transicion-de-poder-y-vaciamiento-latinoamericano/
Harari, Y. N. (2018). 21 lecciones para el siglo XXI. Debate. (Capítulos 7, 8 y 9).
JEP (2022). Acuerdo Final para la Terminación del Conflicto y la Construcción de una Paz Estable y Duradera.</v>
      </c>
      <c r="C44" s="109"/>
      <c r="D44" s="109"/>
      <c r="E44" s="110"/>
      <c r="F44" s="108" t="str" cm="1">
        <f t="array" ref="F44">_xlfn.XLOOKUP($H$9,Tabla1[[Nombre Unidad de Estudios]:[Nombre Unidad de Estudios]],Tabla1[Bibliografia Complementaria],"",0)</f>
        <v>Vargas Llosa, M. (2017). Estragos de la ocupación israelí. En: Cinco días con Mario: el documental del viaje de Vargas Llosa a Cisjordania. https://elpais.com/especiales/2016/estragos-de-la-ocupacion-israeli/
García Márquez, G. (1995). La proclama. Por un país al alcance de los niños. En Misión de Educación, Ciencia y Desarrollo. Colombia: Al filo de la oportunidad. Magisterio, pp. 15-23.</v>
      </c>
      <c r="G44" s="109"/>
      <c r="H44" s="109"/>
      <c r="I44" s="110"/>
    </row>
    <row r="45" spans="2:9">
      <c r="B45" s="108"/>
      <c r="C45" s="109"/>
      <c r="D45" s="109"/>
      <c r="E45" s="110"/>
      <c r="F45" s="108"/>
      <c r="G45" s="109"/>
      <c r="H45" s="109"/>
      <c r="I45" s="110"/>
    </row>
    <row r="46" spans="2:9">
      <c r="B46" s="108"/>
      <c r="C46" s="109"/>
      <c r="D46" s="109"/>
      <c r="E46" s="110"/>
      <c r="F46" s="108"/>
      <c r="G46" s="109"/>
      <c r="H46" s="109"/>
      <c r="I46" s="110"/>
    </row>
    <row r="47" spans="2:9">
      <c r="B47" s="108"/>
      <c r="C47" s="109"/>
      <c r="D47" s="109"/>
      <c r="E47" s="110"/>
      <c r="F47" s="108"/>
      <c r="G47" s="109"/>
      <c r="H47" s="109"/>
      <c r="I47" s="110"/>
    </row>
    <row r="48" spans="2:9">
      <c r="B48" s="108"/>
      <c r="C48" s="109"/>
      <c r="D48" s="109"/>
      <c r="E48" s="110"/>
      <c r="F48" s="108"/>
      <c r="G48" s="109"/>
      <c r="H48" s="109"/>
      <c r="I48" s="110"/>
    </row>
    <row r="49" spans="2:9">
      <c r="B49" s="108"/>
      <c r="C49" s="109"/>
      <c r="D49" s="109"/>
      <c r="E49" s="110"/>
      <c r="F49" s="108"/>
      <c r="G49" s="109"/>
      <c r="H49" s="109"/>
      <c r="I49" s="110"/>
    </row>
    <row r="50" spans="2:9">
      <c r="B50" s="108"/>
      <c r="C50" s="109"/>
      <c r="D50" s="109"/>
      <c r="E50" s="110"/>
      <c r="F50" s="108"/>
      <c r="G50" s="109"/>
      <c r="H50" s="109"/>
      <c r="I50" s="110"/>
    </row>
    <row r="51" spans="2:9">
      <c r="B51" s="108"/>
      <c r="C51" s="109"/>
      <c r="D51" s="109"/>
      <c r="E51" s="110"/>
      <c r="F51" s="108"/>
      <c r="G51" s="109"/>
      <c r="H51" s="109"/>
      <c r="I51" s="110"/>
    </row>
    <row r="52" spans="2:9">
      <c r="B52" s="108"/>
      <c r="C52" s="109"/>
      <c r="D52" s="109"/>
      <c r="E52" s="110"/>
      <c r="F52" s="108"/>
      <c r="G52" s="109"/>
      <c r="H52" s="109"/>
      <c r="I52" s="110"/>
    </row>
    <row r="53" spans="2:9">
      <c r="B53" s="108"/>
      <c r="C53" s="109"/>
      <c r="D53" s="109"/>
      <c r="E53" s="110"/>
      <c r="F53" s="108"/>
      <c r="G53" s="109"/>
      <c r="H53" s="109"/>
      <c r="I53" s="110"/>
    </row>
    <row r="54" spans="2:9">
      <c r="B54" s="108"/>
      <c r="C54" s="109"/>
      <c r="D54" s="109"/>
      <c r="E54" s="110"/>
      <c r="F54" s="108"/>
      <c r="G54" s="109"/>
      <c r="H54" s="109"/>
      <c r="I54" s="110"/>
    </row>
    <row r="55" spans="2:9">
      <c r="B55" s="108"/>
      <c r="C55" s="109"/>
      <c r="D55" s="109"/>
      <c r="E55" s="110"/>
      <c r="F55" s="108"/>
      <c r="G55" s="109"/>
      <c r="H55" s="109"/>
      <c r="I55" s="110"/>
    </row>
    <row r="56" spans="2:9">
      <c r="B56" s="108"/>
      <c r="C56" s="109"/>
      <c r="D56" s="109"/>
      <c r="E56" s="110"/>
      <c r="F56" s="108"/>
      <c r="G56" s="109"/>
      <c r="H56" s="109"/>
      <c r="I56" s="110"/>
    </row>
    <row r="57" spans="2:9" ht="15.75" thickBot="1">
      <c r="B57" s="111"/>
      <c r="C57" s="112"/>
      <c r="D57" s="112"/>
      <c r="E57" s="113"/>
      <c r="F57" s="111"/>
      <c r="G57" s="112"/>
      <c r="H57" s="112"/>
      <c r="I57" s="113"/>
    </row>
    <row r="58" spans="2:9">
      <c r="B58" s="80" t="s">
        <v>240</v>
      </c>
      <c r="C58" s="81"/>
      <c r="D58" s="81"/>
      <c r="E58" s="81"/>
      <c r="F58" s="81"/>
      <c r="G58" s="81"/>
      <c r="H58" s="81"/>
      <c r="I58" s="82"/>
    </row>
    <row r="59" spans="2:9">
      <c r="B59" s="33" t="s">
        <v>51</v>
      </c>
      <c r="C59" s="34" t="s">
        <v>52</v>
      </c>
      <c r="D59" s="34" t="s">
        <v>53</v>
      </c>
      <c r="E59" s="34" t="s">
        <v>54</v>
      </c>
      <c r="F59" s="34" t="s">
        <v>55</v>
      </c>
      <c r="G59" s="104" t="s">
        <v>56</v>
      </c>
      <c r="H59" s="104"/>
      <c r="I59" s="105"/>
    </row>
    <row r="60" spans="2:9" ht="30">
      <c r="B60" s="38" cm="1">
        <f t="array" ref="B60">_xlfn.XLOOKUP($H$9,Tabla1[[Nombre Unidad de Estudios]:[Nombre Unidad de Estudios]],Tabla1['# versión],"",0)</f>
        <v>1</v>
      </c>
      <c r="C60" s="41" cm="1">
        <f t="array" ref="C60">_xlfn.XLOOKUP($H$9,Tabla1[[Nombre Unidad de Estudios]:[Nombre Unidad de Estudios]],Tabla1[Fecha],"",0)</f>
        <v>46083</v>
      </c>
      <c r="D60" s="35" t="str" cm="1">
        <f t="array" ref="D60">_xlfn.XLOOKUP($H$9,Tabla1[[Nombre Unidad de Estudios]:[Nombre Unidad de Estudios]],Tabla1[Elaboró],"",0)</f>
        <v>Omar Patiño</v>
      </c>
      <c r="E60" s="35" t="str" cm="1">
        <f t="array" ref="E60">_xlfn.XLOOKUP($H$9,Tabla1[[Nombre Unidad de Estudios]:[Nombre Unidad de Estudios]],Tabla1[Revisó],"",0)</f>
        <v>Juan Carlos Rentería</v>
      </c>
      <c r="F60" s="35" t="str" cm="1">
        <f t="array" ref="F60">_xlfn.XLOOKUP($H$9,Tabla1[[Nombre Unidad de Estudios]:[Nombre Unidad de Estudios]],Tabla1[Aprobó],"",0)</f>
        <v>Comité Curricular</v>
      </c>
      <c r="G60" s="106" t="str" cm="1">
        <f t="array" ref="G60">_xlfn.XLOOKUP($H$9,Tabla1[[Nombre Unidad de Estudios]:[Nombre Unidad de Estudios]],Tabla1[Descripción del cambio],"",0)</f>
        <v>Creación syllabus en nuevo formato</v>
      </c>
      <c r="H60" s="106"/>
      <c r="I60" s="107"/>
    </row>
    <row r="61" spans="2:9">
      <c r="B61" s="38"/>
      <c r="C61" s="35"/>
      <c r="D61" s="35"/>
      <c r="E61" s="35"/>
      <c r="F61" s="35"/>
      <c r="G61" s="106"/>
      <c r="H61" s="106"/>
      <c r="I61" s="107"/>
    </row>
    <row r="62" spans="2:9">
      <c r="B62" s="38"/>
      <c r="C62" s="35"/>
      <c r="D62" s="35"/>
      <c r="E62" s="35"/>
      <c r="F62" s="35"/>
      <c r="G62" s="106"/>
      <c r="H62" s="106"/>
      <c r="I62" s="107"/>
    </row>
    <row r="63" spans="2:9">
      <c r="B63" s="38"/>
      <c r="C63" s="35"/>
      <c r="D63" s="35"/>
      <c r="E63" s="35"/>
      <c r="F63" s="35"/>
      <c r="G63" s="106"/>
      <c r="H63" s="106"/>
      <c r="I63" s="107"/>
    </row>
    <row r="64" spans="2:9">
      <c r="B64" s="38"/>
      <c r="C64" s="35"/>
      <c r="D64" s="35"/>
      <c r="E64" s="35"/>
      <c r="F64" s="35"/>
      <c r="G64" s="106"/>
      <c r="H64" s="106"/>
      <c r="I64" s="107"/>
    </row>
    <row r="65" spans="2:9" ht="15.75" thickBot="1">
      <c r="B65" s="39"/>
      <c r="C65" s="40"/>
      <c r="D65" s="40"/>
      <c r="E65" s="40"/>
      <c r="F65" s="40"/>
      <c r="G65" s="141"/>
      <c r="H65" s="141"/>
      <c r="I65" s="142"/>
    </row>
  </sheetData>
  <mergeCells count="41">
    <mergeCell ref="G65:I65"/>
    <mergeCell ref="G59:I59"/>
    <mergeCell ref="G60:I60"/>
    <mergeCell ref="G61:I61"/>
    <mergeCell ref="G62:I62"/>
    <mergeCell ref="G63:I63"/>
    <mergeCell ref="G64:I64"/>
    <mergeCell ref="B58:I58"/>
    <mergeCell ref="B34:I34"/>
    <mergeCell ref="B35:I36"/>
    <mergeCell ref="B37:I39"/>
    <mergeCell ref="B40:E40"/>
    <mergeCell ref="F40:I40"/>
    <mergeCell ref="B41:E41"/>
    <mergeCell ref="F41:G41"/>
    <mergeCell ref="B42:I42"/>
    <mergeCell ref="B43:E43"/>
    <mergeCell ref="F43:I43"/>
    <mergeCell ref="B44:E57"/>
    <mergeCell ref="F44:I57"/>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K2" display="Menu principal" xr:uid="{00000000-0004-0000-1400-000000000000}"/>
  </hyperlinks>
  <pageMargins left="0.25" right="0.25" top="0.75" bottom="0.75" header="0.3" footer="0.3"/>
  <pageSetup paperSize="9" scale="72"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Tabla!$H$2:$H$22</xm:f>
          </x14:formula1>
          <xm:sqref>H9:I9</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9234D-4B62-4B40-BA8B-4AFFBD3D416B}">
  <sheetPr>
    <pageSetUpPr fitToPage="1"/>
  </sheetPr>
  <dimension ref="B1:K65"/>
  <sheetViews>
    <sheetView topLeftCell="A13" workbookViewId="0">
      <selection activeCell="B20" sqref="B20:C33"/>
    </sheetView>
  </sheetViews>
  <sheetFormatPr defaultColWidth="10.85546875" defaultRowHeight="15"/>
  <cols>
    <col min="1" max="1" width="3.140625" style="16" customWidth="1"/>
    <col min="2" max="2" width="14.28515625" style="16" customWidth="1"/>
    <col min="3" max="3" width="11.28515625" style="16" bestFit="1" customWidth="1"/>
    <col min="4" max="4" width="12.28515625" style="16" customWidth="1"/>
    <col min="5" max="5" width="16.28515625" style="16" customWidth="1"/>
    <col min="6" max="6" width="18.42578125" style="16" customWidth="1"/>
    <col min="7" max="7" width="10.85546875" style="16" customWidth="1"/>
    <col min="8" max="8" width="9.85546875" style="16" customWidth="1"/>
    <col min="9" max="9" width="16.7109375" style="16" customWidth="1"/>
    <col min="10" max="10" width="10.85546875" style="16"/>
    <col min="11" max="11" width="16.42578125" style="16" customWidth="1"/>
    <col min="12" max="16384" width="10.85546875" style="16"/>
  </cols>
  <sheetData>
    <row r="1" spans="2:11" ht="15.75" thickBot="1">
      <c r="C1" s="17"/>
      <c r="D1" s="17"/>
      <c r="E1" s="17"/>
      <c r="F1" s="17"/>
      <c r="G1" s="17"/>
      <c r="H1" s="17"/>
    </row>
    <row r="2" spans="2:11" ht="22.5" customHeight="1" thickTop="1">
      <c r="B2" s="10"/>
      <c r="C2" s="8" t="s">
        <v>204</v>
      </c>
      <c r="D2" s="8"/>
      <c r="E2" s="8"/>
      <c r="F2" s="8"/>
      <c r="G2" s="8"/>
      <c r="H2" s="8"/>
      <c r="I2" s="18" t="s">
        <v>205</v>
      </c>
      <c r="K2" s="46" t="s">
        <v>206</v>
      </c>
    </row>
    <row r="3" spans="2:11" ht="20.25" customHeight="1">
      <c r="B3" s="9"/>
      <c r="C3" s="7"/>
      <c r="D3" s="7"/>
      <c r="E3" s="7"/>
      <c r="F3" s="7"/>
      <c r="G3" s="7"/>
      <c r="H3" s="7"/>
      <c r="I3" s="19" t="s">
        <v>207</v>
      </c>
    </row>
    <row r="4" spans="2:11" ht="21" customHeight="1" thickBot="1">
      <c r="B4" s="6" t="s">
        <v>208</v>
      </c>
      <c r="C4" s="5"/>
      <c r="D4" s="5"/>
      <c r="E4" s="5"/>
      <c r="F4" s="5"/>
      <c r="G4" s="5"/>
      <c r="H4" s="5"/>
      <c r="I4" s="20" t="s">
        <v>209</v>
      </c>
    </row>
    <row r="5" spans="2:11" ht="16.5" thickTop="1" thickBot="1">
      <c r="B5" s="4"/>
      <c r="C5" s="4"/>
      <c r="D5" s="4"/>
      <c r="E5" s="4"/>
      <c r="F5" s="4"/>
      <c r="G5" s="4"/>
      <c r="H5" s="4"/>
      <c r="I5" s="4"/>
    </row>
    <row r="6" spans="2:11">
      <c r="B6" s="3" t="s">
        <v>210</v>
      </c>
      <c r="C6" s="2"/>
      <c r="D6" s="2"/>
      <c r="E6" s="2"/>
      <c r="F6" s="2"/>
      <c r="G6" s="2"/>
      <c r="H6" s="2"/>
      <c r="I6" s="1"/>
    </row>
    <row r="7" spans="2:11" ht="60">
      <c r="B7" s="22" t="s">
        <v>29</v>
      </c>
      <c r="C7" s="23" cm="1">
        <f t="array" ref="C7">_xlfn.XLOOKUP($H$9,Tabla1[[Nombre Unidad de Estudios]:[Nombre Unidad de Estudios]],Tabla1[Año],"",0)</f>
        <v>2026</v>
      </c>
      <c r="D7" s="24" t="s">
        <v>211</v>
      </c>
      <c r="E7" s="23" t="str" cm="1">
        <f t="array" ref="E7">_xlfn.XLOOKUP($H$9,Tabla1[[Nombre Unidad de Estudios]:[Nombre Unidad de Estudios]],Tabla1[Código Plan de Estudios],"",0)</f>
        <v>DTPGESBOG002</v>
      </c>
      <c r="F7" s="24" t="s">
        <v>212</v>
      </c>
      <c r="G7" s="23" t="str" cm="1">
        <f t="array" ref="G7">_xlfn.XLOOKUP($H$9,Tabla1[[Nombre Unidad de Estudios]:[Nombre Unidad de Estudios]],Tabla1[Código Unidad de Estudios],"",0)</f>
        <v>ADPN0007</v>
      </c>
      <c r="H7" s="24" t="s">
        <v>213</v>
      </c>
      <c r="I7" s="23" t="str" cm="1">
        <f t="array" ref="I7">_xlfn.XLOOKUP($H$9,Tabla1[[Nombre Unidad de Estudios]:[Nombre Unidad de Estudios]],Tabla1[Tipo Unidad de Estudios],"",0)</f>
        <v>Nuclear</v>
      </c>
    </row>
    <row r="8" spans="2:11" ht="30">
      <c r="B8" s="22" t="s">
        <v>33</v>
      </c>
      <c r="C8" s="25" t="s">
        <v>60</v>
      </c>
      <c r="D8" s="35" t="s">
        <v>214</v>
      </c>
      <c r="E8" s="25" t="s">
        <v>215</v>
      </c>
      <c r="F8" s="24"/>
      <c r="G8" s="24" t="s">
        <v>216</v>
      </c>
      <c r="H8" s="12"/>
      <c r="I8" s="11"/>
    </row>
    <row r="9" spans="2:11" ht="45">
      <c r="B9" s="26" t="s">
        <v>217</v>
      </c>
      <c r="C9" s="23" t="str" cm="1">
        <f t="array" ref="C9">_xlfn.XLOOKUP($H$9,Tabla1[[Nombre Unidad de Estudios]:[Nombre Unidad de Estudios]],Tabla1[Nivel],"",0)</f>
        <v>Doctorado</v>
      </c>
      <c r="D9" s="25" t="s">
        <v>218</v>
      </c>
      <c r="E9" s="78" t="str" cm="1">
        <f t="array" ref="E9">_xlfn.XLOOKUP($H$9,Tabla1[[Nombre Unidad de Estudios]:[Nombre Unidad de Estudios]],Tabla1[Programa],"",0)</f>
        <v>Doctorado En Gestión</v>
      </c>
      <c r="F9" s="78"/>
      <c r="G9" s="24" t="s">
        <v>219</v>
      </c>
      <c r="H9" s="78" t="s">
        <v>18</v>
      </c>
      <c r="I9" s="79"/>
    </row>
    <row r="10" spans="2:11" ht="30.75" thickBot="1">
      <c r="B10" s="27" t="s">
        <v>37</v>
      </c>
      <c r="C10" s="28" cm="1">
        <f t="array" ref="C10">_xlfn.XLOOKUP($H$9,Tabla1[[Nombre Unidad de Estudios]:[Nombre Unidad de Estudios]],Tabla1[Créditos Académicos],"",0)</f>
        <v>3</v>
      </c>
      <c r="D10" s="29" t="s">
        <v>220</v>
      </c>
      <c r="E10" s="28" cm="1">
        <f t="array" ref="E10">_xlfn.XLOOKUP($H$9,Tabla1[[Nombre Unidad de Estudios]:[Nombre Unidad de Estudios]],Tabla1[Horas de Acompañamiento Directo '[HAD']],"",0)</f>
        <v>36</v>
      </c>
      <c r="F10" s="29" t="s">
        <v>221</v>
      </c>
      <c r="G10" s="28" cm="1">
        <f t="array" ref="G10">_xlfn.XLOOKUP($H$9,Tabla1[[Nombre Unidad de Estudios]:[Nombre Unidad de Estudios]],Tabla1[Horas de Trabajo Autónomo '[HTA']],"",0)</f>
        <v>108</v>
      </c>
      <c r="H10" s="29" t="s">
        <v>222</v>
      </c>
      <c r="I10" s="30">
        <f>E10+G10</f>
        <v>144</v>
      </c>
    </row>
    <row r="11" spans="2:11">
      <c r="B11" s="80" t="s">
        <v>223</v>
      </c>
      <c r="C11" s="81"/>
      <c r="D11" s="81"/>
      <c r="E11" s="81"/>
      <c r="F11" s="81"/>
      <c r="G11" s="81"/>
      <c r="H11" s="81"/>
      <c r="I11" s="82"/>
    </row>
    <row r="12" spans="2:11" ht="76.5" customHeight="1">
      <c r="B12" s="83" t="s">
        <v>224</v>
      </c>
      <c r="C12" s="84"/>
      <c r="D12" s="85" t="str" cm="1">
        <f t="array" ref="D12">_xlfn.XLOOKUP($H$9,Tabla1[[Nombre Unidad de Estudios]:[Nombre Unidad de Estudios]],Tabla1[Descripción de la Unidad de Estudios],"",0)</f>
        <v>Dadas las necesidades de reactivación económica y social de los países en temas socioeconómicos causados por diferentes crisis a nivel mundial, esta unidad estructura estrategias para la mejora de las organizaciones con base en la gestión eficiente de los sistemas de información.</v>
      </c>
      <c r="E12" s="86"/>
      <c r="F12" s="86"/>
      <c r="G12" s="86"/>
      <c r="H12" s="86"/>
      <c r="I12" s="87"/>
    </row>
    <row r="13" spans="2:11" ht="66" customHeight="1" thickBot="1">
      <c r="B13" s="88" t="s">
        <v>225</v>
      </c>
      <c r="C13" s="89"/>
      <c r="D13" s="90" t="str" cm="1">
        <f t="array" ref="D13">_xlfn.XLOOKUP($H$9,Tabla1[[Nombre Unidad de Estudios]:[Nombre Unidad de Estudios]],Tabla1[Resultado de Aprendizaje de la Unidad de Estudios],"",0)</f>
        <v>Estructura estrategias para la mejora de las organizaciones con base en la gestión eficiente de los sistemas de información, para contribuir en el posicionamiento y nivel de competitividad.</v>
      </c>
      <c r="E13" s="91"/>
      <c r="F13" s="91"/>
      <c r="G13" s="91"/>
      <c r="H13" s="91"/>
      <c r="I13" s="92"/>
    </row>
    <row r="14" spans="2:11">
      <c r="B14" s="80" t="s">
        <v>226</v>
      </c>
      <c r="C14" s="81"/>
      <c r="D14" s="81"/>
      <c r="E14" s="81"/>
      <c r="F14" s="81"/>
      <c r="G14" s="81"/>
      <c r="H14" s="81"/>
      <c r="I14" s="82"/>
    </row>
    <row r="15" spans="2:11">
      <c r="B15" s="93" t="s">
        <v>227</v>
      </c>
      <c r="C15" s="78"/>
      <c r="D15" s="78"/>
      <c r="E15" s="78"/>
      <c r="F15" s="78"/>
      <c r="G15" s="78"/>
      <c r="H15" s="78"/>
      <c r="I15" s="79"/>
    </row>
    <row r="16" spans="2:11">
      <c r="B16" s="93"/>
      <c r="C16" s="78"/>
      <c r="D16" s="78"/>
      <c r="E16" s="78"/>
      <c r="F16" s="78"/>
      <c r="G16" s="78"/>
      <c r="H16" s="78"/>
      <c r="I16" s="79"/>
    </row>
    <row r="17" spans="2:9" ht="15.75" thickBot="1">
      <c r="B17" s="94"/>
      <c r="C17" s="95"/>
      <c r="D17" s="95"/>
      <c r="E17" s="95"/>
      <c r="F17" s="95"/>
      <c r="G17" s="95"/>
      <c r="H17" s="95"/>
      <c r="I17" s="96"/>
    </row>
    <row r="18" spans="2:9" ht="15.75" thickBot="1">
      <c r="B18" s="97" t="s">
        <v>228</v>
      </c>
      <c r="C18" s="98"/>
      <c r="D18" s="98"/>
      <c r="E18" s="98"/>
      <c r="F18" s="98"/>
      <c r="G18" s="98"/>
      <c r="H18" s="98"/>
      <c r="I18" s="99"/>
    </row>
    <row r="19" spans="2:9">
      <c r="B19" s="21" t="s">
        <v>44</v>
      </c>
      <c r="C19" s="43" t="str" cm="1">
        <f t="array" ref="C19">_xlfn.XLOOKUP($H$9,Tabla1[[Nombre Unidad de Estudios]:[Nombre Unidad de Estudios]],Tabla1[Módulo],"",0)</f>
        <v>6 semanas</v>
      </c>
      <c r="D19" s="21" t="s">
        <v>229</v>
      </c>
      <c r="E19" s="143" t="s">
        <v>230</v>
      </c>
      <c r="F19" s="144"/>
      <c r="G19" s="31" t="s">
        <v>231</v>
      </c>
      <c r="H19" s="145" t="s">
        <v>232</v>
      </c>
      <c r="I19" s="146"/>
    </row>
    <row r="20" spans="2:9">
      <c r="B20" s="13" t="str" cm="1">
        <f t="array" ref="B20">_xlfn.XLOOKUP($H$9,Tabla1[[Nombre Unidad de Estudios]:[Nombre Unidad de Estudios]],Tabla1[Contenidos Unidad de Estudios],"",0)</f>
        <v>1. Tendencias de gestión de la Innovación Tecnológica.
2. Gestión de las tecnologías en las organizaciones.
3. Sistemas aplicados a las organizaciones.
4. Innovación y desarrollo tecnológico.
5. Estrategias para el desarrollo de Rutas de Innovación Empresarial.</v>
      </c>
      <c r="C20" s="55"/>
      <c r="D20" s="60"/>
      <c r="E20" s="61"/>
      <c r="F20" s="62"/>
      <c r="G20" s="69"/>
      <c r="H20" s="70"/>
      <c r="I20" s="71"/>
    </row>
    <row r="21" spans="2:9">
      <c r="B21" s="56"/>
      <c r="C21" s="57"/>
      <c r="D21" s="63"/>
      <c r="E21" s="64"/>
      <c r="F21" s="65"/>
      <c r="G21" s="72"/>
      <c r="H21" s="73"/>
      <c r="I21" s="74"/>
    </row>
    <row r="22" spans="2:9">
      <c r="B22" s="56"/>
      <c r="C22" s="57"/>
      <c r="D22" s="63"/>
      <c r="E22" s="64"/>
      <c r="F22" s="65"/>
      <c r="G22" s="72"/>
      <c r="H22" s="73"/>
      <c r="I22" s="74"/>
    </row>
    <row r="23" spans="2:9">
      <c r="B23" s="56"/>
      <c r="C23" s="57"/>
      <c r="D23" s="63"/>
      <c r="E23" s="64"/>
      <c r="F23" s="65"/>
      <c r="G23" s="72"/>
      <c r="H23" s="73"/>
      <c r="I23" s="74"/>
    </row>
    <row r="24" spans="2:9">
      <c r="B24" s="56"/>
      <c r="C24" s="57"/>
      <c r="D24" s="63"/>
      <c r="E24" s="64"/>
      <c r="F24" s="65"/>
      <c r="G24" s="72"/>
      <c r="H24" s="73"/>
      <c r="I24" s="74"/>
    </row>
    <row r="25" spans="2:9">
      <c r="B25" s="56"/>
      <c r="C25" s="57"/>
      <c r="D25" s="63"/>
      <c r="E25" s="64"/>
      <c r="F25" s="65"/>
      <c r="G25" s="72"/>
      <c r="H25" s="73"/>
      <c r="I25" s="74"/>
    </row>
    <row r="26" spans="2:9">
      <c r="B26" s="56"/>
      <c r="C26" s="57"/>
      <c r="D26" s="63"/>
      <c r="E26" s="64"/>
      <c r="F26" s="65"/>
      <c r="G26" s="72"/>
      <c r="H26" s="73"/>
      <c r="I26" s="74"/>
    </row>
    <row r="27" spans="2:9">
      <c r="B27" s="56"/>
      <c r="C27" s="57"/>
      <c r="D27" s="63"/>
      <c r="E27" s="64"/>
      <c r="F27" s="65"/>
      <c r="G27" s="72"/>
      <c r="H27" s="73"/>
      <c r="I27" s="74"/>
    </row>
    <row r="28" spans="2:9">
      <c r="B28" s="56"/>
      <c r="C28" s="57"/>
      <c r="D28" s="63"/>
      <c r="E28" s="64"/>
      <c r="F28" s="65"/>
      <c r="G28" s="72"/>
      <c r="H28" s="73"/>
      <c r="I28" s="74"/>
    </row>
    <row r="29" spans="2:9">
      <c r="B29" s="56"/>
      <c r="C29" s="57"/>
      <c r="D29" s="63"/>
      <c r="E29" s="64"/>
      <c r="F29" s="65"/>
      <c r="G29" s="72"/>
      <c r="H29" s="73"/>
      <c r="I29" s="74"/>
    </row>
    <row r="30" spans="2:9">
      <c r="B30" s="56"/>
      <c r="C30" s="57"/>
      <c r="D30" s="63"/>
      <c r="E30" s="64"/>
      <c r="F30" s="65"/>
      <c r="G30" s="72"/>
      <c r="H30" s="73"/>
      <c r="I30" s="74"/>
    </row>
    <row r="31" spans="2:9">
      <c r="B31" s="56"/>
      <c r="C31" s="57"/>
      <c r="D31" s="63"/>
      <c r="E31" s="64"/>
      <c r="F31" s="65"/>
      <c r="G31" s="72"/>
      <c r="H31" s="73"/>
      <c r="I31" s="74"/>
    </row>
    <row r="32" spans="2:9">
      <c r="B32" s="56"/>
      <c r="C32" s="57"/>
      <c r="D32" s="63"/>
      <c r="E32" s="64"/>
      <c r="F32" s="65"/>
      <c r="G32" s="72"/>
      <c r="H32" s="73"/>
      <c r="I32" s="74"/>
    </row>
    <row r="33" spans="2:9" ht="15.75" thickBot="1">
      <c r="B33" s="58"/>
      <c r="C33" s="59"/>
      <c r="D33" s="66"/>
      <c r="E33" s="67"/>
      <c r="F33" s="68"/>
      <c r="G33" s="75"/>
      <c r="H33" s="76"/>
      <c r="I33" s="77"/>
    </row>
    <row r="34" spans="2:9" ht="15.75" thickBot="1">
      <c r="B34" s="114" t="s">
        <v>233</v>
      </c>
      <c r="C34" s="115"/>
      <c r="D34" s="115"/>
      <c r="E34" s="115"/>
      <c r="F34" s="115"/>
      <c r="G34" s="115"/>
      <c r="H34" s="115"/>
      <c r="I34" s="116"/>
    </row>
    <row r="35" spans="2:9" ht="14.45" customHeight="1">
      <c r="B35" s="126" t="s">
        <v>234</v>
      </c>
      <c r="C35" s="127"/>
      <c r="D35" s="127"/>
      <c r="E35" s="127"/>
      <c r="F35" s="127"/>
      <c r="G35" s="127"/>
      <c r="H35" s="127"/>
      <c r="I35" s="128"/>
    </row>
    <row r="36" spans="2:9">
      <c r="B36" s="129"/>
      <c r="C36" s="130"/>
      <c r="D36" s="130"/>
      <c r="E36" s="130"/>
      <c r="F36" s="130"/>
      <c r="G36" s="130"/>
      <c r="H36" s="130"/>
      <c r="I36" s="131"/>
    </row>
    <row r="37" spans="2:9">
      <c r="B37" s="132" t="str" cm="1">
        <f t="array" ref="B37">_xlfn.XLOOKUP($H$9,Tabla1[[Nombre Unidad de Estudios]:[Nombre Unidad de Estudios]],Tabla1[Esquema de Calificación],"",0)</f>
        <v>30% Participación en clase.
70% Evaluación de entrega final: caso de estudio / working paper.</v>
      </c>
      <c r="C37" s="133"/>
      <c r="D37" s="133"/>
      <c r="E37" s="133"/>
      <c r="F37" s="133"/>
      <c r="G37" s="133"/>
      <c r="H37" s="133"/>
      <c r="I37" s="134"/>
    </row>
    <row r="38" spans="2:9">
      <c r="B38" s="132"/>
      <c r="C38" s="133"/>
      <c r="D38" s="133"/>
      <c r="E38" s="133"/>
      <c r="F38" s="133"/>
      <c r="G38" s="133"/>
      <c r="H38" s="133"/>
      <c r="I38" s="134"/>
    </row>
    <row r="39" spans="2:9" ht="15.75" thickBot="1">
      <c r="B39" s="135"/>
      <c r="C39" s="136"/>
      <c r="D39" s="136"/>
      <c r="E39" s="136"/>
      <c r="F39" s="136"/>
      <c r="G39" s="136"/>
      <c r="H39" s="136"/>
      <c r="I39" s="137"/>
    </row>
    <row r="40" spans="2:9" ht="34.5" customHeight="1" thickBot="1">
      <c r="B40" s="117" t="s">
        <v>235</v>
      </c>
      <c r="C40" s="118"/>
      <c r="D40" s="118"/>
      <c r="E40" s="119"/>
      <c r="F40" s="120" t="str" cm="1">
        <f t="array" ref="F40">_xlfn.XLOOKUP($H$9,Tabla1[[Nombre Unidad de Estudios]:[Nombre Unidad de Estudios]],Tabla1[Recursos Tecnológicos],"",0)</f>
        <v>Base de datos; Material bibliográfico; Plataforma virtual</v>
      </c>
      <c r="G40" s="121"/>
      <c r="H40" s="121"/>
      <c r="I40" s="122"/>
    </row>
    <row r="41" spans="2:9" ht="15.75" thickBot="1">
      <c r="B41" s="123" t="s">
        <v>236</v>
      </c>
      <c r="C41" s="124"/>
      <c r="D41" s="124"/>
      <c r="E41" s="124"/>
      <c r="F41" s="125" t="str" cm="1">
        <f t="array" ref="F41">_xlfn.XLOOKUP($H$9,Tabla1[[Nombre Unidad de Estudios]:[Nombre Unidad de Estudios]],Tabla1[Componente de Lengua Extranjera '[Idioma']],"",0)</f>
        <v>Inglés</v>
      </c>
      <c r="G41" s="125"/>
      <c r="H41" s="32" t="s">
        <v>237</v>
      </c>
      <c r="I41" s="36" cm="1">
        <f t="array" ref="I41">_xlfn.XLOOKUP($H$9,Tabla1[[Nombre Unidad de Estudios]:[Nombre Unidad de Estudios]],Tabla1[Componente de Lengua Extranjera '[%']],"",0)</f>
        <v>0.3</v>
      </c>
    </row>
    <row r="42" spans="2:9">
      <c r="B42" s="80" t="s">
        <v>238</v>
      </c>
      <c r="C42" s="81"/>
      <c r="D42" s="81"/>
      <c r="E42" s="81"/>
      <c r="F42" s="81"/>
      <c r="G42" s="81"/>
      <c r="H42" s="81"/>
      <c r="I42" s="82"/>
    </row>
    <row r="43" spans="2:9" ht="14.45" customHeight="1">
      <c r="B43" s="138" t="s">
        <v>49</v>
      </c>
      <c r="C43" s="139"/>
      <c r="D43" s="139"/>
      <c r="E43" s="140"/>
      <c r="F43" s="138" t="s">
        <v>239</v>
      </c>
      <c r="G43" s="139"/>
      <c r="H43" s="139"/>
      <c r="I43" s="140"/>
    </row>
    <row r="44" spans="2:9">
      <c r="B44" s="108" t="str" cm="1">
        <f t="array" ref="B44">_xlfn.XLOOKUP($H$9,Tabla1[[Nombre Unidad de Estudios]:[Nombre Unidad de Estudios]],Tabla1[Bibliografía Obligatoria],"",0)</f>
        <v>Dyer, J., Gregersen, H. y Christensen, C. (2011). The Innovator's DNA. Mastering the Five Skills of Disruptive Innovation. Harvard Business Review Press.
Ramirez-Salazar, M. P. (2016). Modelo de Innovación Abierta Colaborativa. Tesis Doctoral, Capítulos 1 y 2. Ediciones EAN.
Domingo, C. (2013). El Viaje de la Innovación, Capítulo 2, pp. 25-33.
Drucker, P. (1986). Innovation and Entrepreneurship.</v>
      </c>
      <c r="C44" s="109"/>
      <c r="D44" s="109"/>
      <c r="E44" s="110"/>
      <c r="F44" s="108" t="str" cm="1">
        <f t="array" ref="F44">_xlfn.XLOOKUP($H$9,Tabla1[[Nombre Unidad de Estudios]:[Nombre Unidad de Estudios]],Tabla1[Bibliografia Complementaria],"",0)</f>
        <v>Schoemaker, P. J. H., Day, G. S. y Gunther, R. E. (2004). Wharton: Managing Emerging Technologies.
Perez-Uribe, R., Ramirez-Salazar, M. P. y Moscoso-Duran, F. (2018). Modelo Ean-Rise. Revista Opción, 34(18), 1142-1186. https://www.researchgate.net/publication/333191293</v>
      </c>
      <c r="G44" s="109"/>
      <c r="H44" s="109"/>
      <c r="I44" s="110"/>
    </row>
    <row r="45" spans="2:9">
      <c r="B45" s="108"/>
      <c r="C45" s="109"/>
      <c r="D45" s="109"/>
      <c r="E45" s="110"/>
      <c r="F45" s="108"/>
      <c r="G45" s="109"/>
      <c r="H45" s="109"/>
      <c r="I45" s="110"/>
    </row>
    <row r="46" spans="2:9">
      <c r="B46" s="108"/>
      <c r="C46" s="109"/>
      <c r="D46" s="109"/>
      <c r="E46" s="110"/>
      <c r="F46" s="108"/>
      <c r="G46" s="109"/>
      <c r="H46" s="109"/>
      <c r="I46" s="110"/>
    </row>
    <row r="47" spans="2:9">
      <c r="B47" s="108"/>
      <c r="C47" s="109"/>
      <c r="D47" s="109"/>
      <c r="E47" s="110"/>
      <c r="F47" s="108"/>
      <c r="G47" s="109"/>
      <c r="H47" s="109"/>
      <c r="I47" s="110"/>
    </row>
    <row r="48" spans="2:9">
      <c r="B48" s="108"/>
      <c r="C48" s="109"/>
      <c r="D48" s="109"/>
      <c r="E48" s="110"/>
      <c r="F48" s="108"/>
      <c r="G48" s="109"/>
      <c r="H48" s="109"/>
      <c r="I48" s="110"/>
    </row>
    <row r="49" spans="2:9">
      <c r="B49" s="108"/>
      <c r="C49" s="109"/>
      <c r="D49" s="109"/>
      <c r="E49" s="110"/>
      <c r="F49" s="108"/>
      <c r="G49" s="109"/>
      <c r="H49" s="109"/>
      <c r="I49" s="110"/>
    </row>
    <row r="50" spans="2:9">
      <c r="B50" s="108"/>
      <c r="C50" s="109"/>
      <c r="D50" s="109"/>
      <c r="E50" s="110"/>
      <c r="F50" s="108"/>
      <c r="G50" s="109"/>
      <c r="H50" s="109"/>
      <c r="I50" s="110"/>
    </row>
    <row r="51" spans="2:9">
      <c r="B51" s="108"/>
      <c r="C51" s="109"/>
      <c r="D51" s="109"/>
      <c r="E51" s="110"/>
      <c r="F51" s="108"/>
      <c r="G51" s="109"/>
      <c r="H51" s="109"/>
      <c r="I51" s="110"/>
    </row>
    <row r="52" spans="2:9">
      <c r="B52" s="108"/>
      <c r="C52" s="109"/>
      <c r="D52" s="109"/>
      <c r="E52" s="110"/>
      <c r="F52" s="108"/>
      <c r="G52" s="109"/>
      <c r="H52" s="109"/>
      <c r="I52" s="110"/>
    </row>
    <row r="53" spans="2:9">
      <c r="B53" s="108"/>
      <c r="C53" s="109"/>
      <c r="D53" s="109"/>
      <c r="E53" s="110"/>
      <c r="F53" s="108"/>
      <c r="G53" s="109"/>
      <c r="H53" s="109"/>
      <c r="I53" s="110"/>
    </row>
    <row r="54" spans="2:9">
      <c r="B54" s="108"/>
      <c r="C54" s="109"/>
      <c r="D54" s="109"/>
      <c r="E54" s="110"/>
      <c r="F54" s="108"/>
      <c r="G54" s="109"/>
      <c r="H54" s="109"/>
      <c r="I54" s="110"/>
    </row>
    <row r="55" spans="2:9">
      <c r="B55" s="108"/>
      <c r="C55" s="109"/>
      <c r="D55" s="109"/>
      <c r="E55" s="110"/>
      <c r="F55" s="108"/>
      <c r="G55" s="109"/>
      <c r="H55" s="109"/>
      <c r="I55" s="110"/>
    </row>
    <row r="56" spans="2:9">
      <c r="B56" s="108"/>
      <c r="C56" s="109"/>
      <c r="D56" s="109"/>
      <c r="E56" s="110"/>
      <c r="F56" s="108"/>
      <c r="G56" s="109"/>
      <c r="H56" s="109"/>
      <c r="I56" s="110"/>
    </row>
    <row r="57" spans="2:9" ht="15.75" thickBot="1">
      <c r="B57" s="111"/>
      <c r="C57" s="112"/>
      <c r="D57" s="112"/>
      <c r="E57" s="113"/>
      <c r="F57" s="111"/>
      <c r="G57" s="112"/>
      <c r="H57" s="112"/>
      <c r="I57" s="113"/>
    </row>
    <row r="58" spans="2:9">
      <c r="B58" s="80" t="s">
        <v>240</v>
      </c>
      <c r="C58" s="81"/>
      <c r="D58" s="81"/>
      <c r="E58" s="81"/>
      <c r="F58" s="81"/>
      <c r="G58" s="81"/>
      <c r="H58" s="81"/>
      <c r="I58" s="82"/>
    </row>
    <row r="59" spans="2:9">
      <c r="B59" s="33" t="s">
        <v>51</v>
      </c>
      <c r="C59" s="34" t="s">
        <v>52</v>
      </c>
      <c r="D59" s="34" t="s">
        <v>53</v>
      </c>
      <c r="E59" s="34" t="s">
        <v>54</v>
      </c>
      <c r="F59" s="34" t="s">
        <v>55</v>
      </c>
      <c r="G59" s="104" t="s">
        <v>56</v>
      </c>
      <c r="H59" s="104"/>
      <c r="I59" s="105"/>
    </row>
    <row r="60" spans="2:9" ht="30">
      <c r="B60" s="38" cm="1">
        <f t="array" ref="B60">_xlfn.XLOOKUP($H$9,Tabla1[[Nombre Unidad de Estudios]:[Nombre Unidad de Estudios]],Tabla1['# versión],"",0)</f>
        <v>1</v>
      </c>
      <c r="C60" s="41" cm="1">
        <f t="array" ref="C60">_xlfn.XLOOKUP($H$9,Tabla1[[Nombre Unidad de Estudios]:[Nombre Unidad de Estudios]],Tabla1[Fecha],"",0)</f>
        <v>46083</v>
      </c>
      <c r="D60" s="35" t="str" cm="1">
        <f t="array" ref="D60">_xlfn.XLOOKUP($H$9,Tabla1[[Nombre Unidad de Estudios]:[Nombre Unidad de Estudios]],Tabla1[Elaboró],"",0)</f>
        <v>Omar Patiño</v>
      </c>
      <c r="E60" s="35" t="str" cm="1">
        <f t="array" ref="E60">_xlfn.XLOOKUP($H$9,Tabla1[[Nombre Unidad de Estudios]:[Nombre Unidad de Estudios]],Tabla1[Revisó],"",0)</f>
        <v>Juan Carlos Rentería</v>
      </c>
      <c r="F60" s="35" t="str" cm="1">
        <f t="array" ref="F60">_xlfn.XLOOKUP($H$9,Tabla1[[Nombre Unidad de Estudios]:[Nombre Unidad de Estudios]],Tabla1[Aprobó],"",0)</f>
        <v>Comité Curricular</v>
      </c>
      <c r="G60" s="106" t="str" cm="1">
        <f t="array" ref="G60">_xlfn.XLOOKUP($H$9,Tabla1[[Nombre Unidad de Estudios]:[Nombre Unidad de Estudios]],Tabla1[Descripción del cambio],"",0)</f>
        <v>Creación syllabus en nuevo formato</v>
      </c>
      <c r="H60" s="106"/>
      <c r="I60" s="107"/>
    </row>
    <row r="61" spans="2:9">
      <c r="B61" s="38"/>
      <c r="C61" s="35"/>
      <c r="D61" s="35"/>
      <c r="E61" s="35"/>
      <c r="F61" s="35"/>
      <c r="G61" s="106"/>
      <c r="H61" s="106"/>
      <c r="I61" s="107"/>
    </row>
    <row r="62" spans="2:9">
      <c r="B62" s="38"/>
      <c r="C62" s="35"/>
      <c r="D62" s="35"/>
      <c r="E62" s="35"/>
      <c r="F62" s="35"/>
      <c r="G62" s="106"/>
      <c r="H62" s="106"/>
      <c r="I62" s="107"/>
    </row>
    <row r="63" spans="2:9">
      <c r="B63" s="38"/>
      <c r="C63" s="35"/>
      <c r="D63" s="35"/>
      <c r="E63" s="35"/>
      <c r="F63" s="35"/>
      <c r="G63" s="106"/>
      <c r="H63" s="106"/>
      <c r="I63" s="107"/>
    </row>
    <row r="64" spans="2:9">
      <c r="B64" s="38"/>
      <c r="C64" s="35"/>
      <c r="D64" s="35"/>
      <c r="E64" s="35"/>
      <c r="F64" s="35"/>
      <c r="G64" s="106"/>
      <c r="H64" s="106"/>
      <c r="I64" s="107"/>
    </row>
    <row r="65" spans="2:9" ht="15.75" thickBot="1">
      <c r="B65" s="39"/>
      <c r="C65" s="40"/>
      <c r="D65" s="40"/>
      <c r="E65" s="40"/>
      <c r="F65" s="40"/>
      <c r="G65" s="141"/>
      <c r="H65" s="141"/>
      <c r="I65" s="142"/>
    </row>
  </sheetData>
  <mergeCells count="41">
    <mergeCell ref="G65:I65"/>
    <mergeCell ref="G59:I59"/>
    <mergeCell ref="G60:I60"/>
    <mergeCell ref="G61:I61"/>
    <mergeCell ref="G62:I62"/>
    <mergeCell ref="G63:I63"/>
    <mergeCell ref="G64:I64"/>
    <mergeCell ref="B58:I58"/>
    <mergeCell ref="B34:I34"/>
    <mergeCell ref="B35:I36"/>
    <mergeCell ref="B37:I39"/>
    <mergeCell ref="B40:E40"/>
    <mergeCell ref="F40:I40"/>
    <mergeCell ref="B41:E41"/>
    <mergeCell ref="F41:G41"/>
    <mergeCell ref="B42:I42"/>
    <mergeCell ref="B43:E43"/>
    <mergeCell ref="F43:I43"/>
    <mergeCell ref="B44:E57"/>
    <mergeCell ref="F44:I57"/>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K2" display="Menu principal" xr:uid="{00000000-0004-0000-1500-000000000000}"/>
  </hyperlinks>
  <pageMargins left="0.25" right="0.25" top="0.75" bottom="0.75" header="0.3" footer="0.3"/>
  <pageSetup paperSize="9" scale="72"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Tabla!$H$2:$H$22</xm:f>
          </x14:formula1>
          <xm:sqref>H9:I9</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2E5C9-64E4-4D3C-99E6-FAB00D9E0225}">
  <sheetPr>
    <pageSetUpPr fitToPage="1"/>
  </sheetPr>
  <dimension ref="B1:K65"/>
  <sheetViews>
    <sheetView workbookViewId="0">
      <selection activeCell="K2" sqref="K2"/>
    </sheetView>
  </sheetViews>
  <sheetFormatPr defaultColWidth="10.85546875" defaultRowHeight="15"/>
  <cols>
    <col min="1" max="1" width="3.140625" style="16" customWidth="1"/>
    <col min="2" max="2" width="14.28515625" style="16" customWidth="1"/>
    <col min="3" max="3" width="11.28515625" style="16" bestFit="1" customWidth="1"/>
    <col min="4" max="4" width="12.28515625" style="16" customWidth="1"/>
    <col min="5" max="5" width="16.28515625" style="16" customWidth="1"/>
    <col min="6" max="6" width="18.42578125" style="16" customWidth="1"/>
    <col min="7" max="7" width="10.85546875" style="16" customWidth="1"/>
    <col min="8" max="8" width="9.85546875" style="16" customWidth="1"/>
    <col min="9" max="9" width="16.7109375" style="16" customWidth="1"/>
    <col min="10" max="10" width="10.85546875" style="16"/>
    <col min="11" max="11" width="19.42578125" style="16" customWidth="1"/>
    <col min="12" max="16384" width="10.85546875" style="16"/>
  </cols>
  <sheetData>
    <row r="1" spans="2:11" ht="15.75" thickBot="1">
      <c r="C1" s="17"/>
      <c r="D1" s="17"/>
      <c r="E1" s="17"/>
      <c r="F1" s="17"/>
      <c r="G1" s="17"/>
      <c r="H1" s="17"/>
    </row>
    <row r="2" spans="2:11" ht="22.5" customHeight="1" thickTop="1">
      <c r="B2" s="10"/>
      <c r="C2" s="8" t="s">
        <v>204</v>
      </c>
      <c r="D2" s="8"/>
      <c r="E2" s="8"/>
      <c r="F2" s="8"/>
      <c r="G2" s="8"/>
      <c r="H2" s="8"/>
      <c r="I2" s="18" t="s">
        <v>205</v>
      </c>
      <c r="K2" s="46" t="s">
        <v>206</v>
      </c>
    </row>
    <row r="3" spans="2:11" ht="20.25" customHeight="1">
      <c r="B3" s="9"/>
      <c r="C3" s="7"/>
      <c r="D3" s="7"/>
      <c r="E3" s="7"/>
      <c r="F3" s="7"/>
      <c r="G3" s="7"/>
      <c r="H3" s="7"/>
      <c r="I3" s="19" t="s">
        <v>207</v>
      </c>
    </row>
    <row r="4" spans="2:11" ht="21" customHeight="1" thickBot="1">
      <c r="B4" s="6" t="s">
        <v>208</v>
      </c>
      <c r="C4" s="5"/>
      <c r="D4" s="5"/>
      <c r="E4" s="5"/>
      <c r="F4" s="5"/>
      <c r="G4" s="5"/>
      <c r="H4" s="5"/>
      <c r="I4" s="20" t="s">
        <v>209</v>
      </c>
    </row>
    <row r="5" spans="2:11" ht="16.5" thickTop="1" thickBot="1">
      <c r="B5" s="4"/>
      <c r="C5" s="4"/>
      <c r="D5" s="4"/>
      <c r="E5" s="4"/>
      <c r="F5" s="4"/>
      <c r="G5" s="4"/>
      <c r="H5" s="4"/>
      <c r="I5" s="4"/>
    </row>
    <row r="6" spans="2:11">
      <c r="B6" s="3" t="s">
        <v>210</v>
      </c>
      <c r="C6" s="2"/>
      <c r="D6" s="2"/>
      <c r="E6" s="2"/>
      <c r="F6" s="2"/>
      <c r="G6" s="2"/>
      <c r="H6" s="2"/>
      <c r="I6" s="1"/>
    </row>
    <row r="7" spans="2:11" ht="60">
      <c r="B7" s="22" t="s">
        <v>29</v>
      </c>
      <c r="C7" s="23" cm="1">
        <f t="array" ref="C7">_xlfn.XLOOKUP($H$9,Tabla1[[Nombre Unidad de Estudios]:[Nombre Unidad de Estudios]],Tabla1[Año],"",0)</f>
        <v>2026</v>
      </c>
      <c r="D7" s="24" t="s">
        <v>211</v>
      </c>
      <c r="E7" s="23" t="str" cm="1">
        <f t="array" ref="E7">_xlfn.XLOOKUP($H$9,Tabla1[[Nombre Unidad de Estudios]:[Nombre Unidad de Estudios]],Tabla1[Código Plan de Estudios],"",0)</f>
        <v>DTPGESBOG002</v>
      </c>
      <c r="F7" s="24" t="s">
        <v>212</v>
      </c>
      <c r="G7" s="23" t="str" cm="1">
        <f t="array" ref="G7">_xlfn.XLOOKUP($H$9,Tabla1[[Nombre Unidad de Estudios]:[Nombre Unidad de Estudios]],Tabla1[Código Unidad de Estudios],"",0)</f>
        <v>ADPN0004</v>
      </c>
      <c r="H7" s="24" t="s">
        <v>213</v>
      </c>
      <c r="I7" s="23" t="str" cm="1">
        <f t="array" ref="I7">_xlfn.XLOOKUP($H$9,Tabla1[[Nombre Unidad de Estudios]:[Nombre Unidad de Estudios]],Tabla1[Tipo Unidad de Estudios],"",0)</f>
        <v>Nuclear</v>
      </c>
    </row>
    <row r="8" spans="2:11" ht="30">
      <c r="B8" s="22" t="s">
        <v>33</v>
      </c>
      <c r="C8" s="25" t="s">
        <v>60</v>
      </c>
      <c r="D8" s="35" t="s">
        <v>214</v>
      </c>
      <c r="E8" s="25" t="s">
        <v>215</v>
      </c>
      <c r="F8" s="24"/>
      <c r="G8" s="24" t="s">
        <v>216</v>
      </c>
      <c r="H8" s="12"/>
      <c r="I8" s="11"/>
    </row>
    <row r="9" spans="2:11" ht="45">
      <c r="B9" s="26" t="s">
        <v>217</v>
      </c>
      <c r="C9" s="23" t="str" cm="1">
        <f t="array" ref="C9">_xlfn.XLOOKUP($H$9,Tabla1[[Nombre Unidad de Estudios]:[Nombre Unidad de Estudios]],Tabla1[Nivel],"",0)</f>
        <v>Doctorado</v>
      </c>
      <c r="D9" s="25" t="s">
        <v>218</v>
      </c>
      <c r="E9" s="78" t="str" cm="1">
        <f t="array" ref="E9">_xlfn.XLOOKUP($H$9,Tabla1[[Nombre Unidad de Estudios]:[Nombre Unidad de Estudios]],Tabla1[Programa],"",0)</f>
        <v>Doctorado En Gestión</v>
      </c>
      <c r="F9" s="78"/>
      <c r="G9" s="24" t="s">
        <v>219</v>
      </c>
      <c r="H9" s="78" t="s">
        <v>19</v>
      </c>
      <c r="I9" s="79"/>
    </row>
    <row r="10" spans="2:11" ht="30.75" thickBot="1">
      <c r="B10" s="27" t="s">
        <v>37</v>
      </c>
      <c r="C10" s="28" cm="1">
        <f t="array" ref="C10">_xlfn.XLOOKUP($H$9,Tabla1[[Nombre Unidad de Estudios]:[Nombre Unidad de Estudios]],Tabla1[Créditos Académicos],"",0)</f>
        <v>3</v>
      </c>
      <c r="D10" s="29" t="s">
        <v>220</v>
      </c>
      <c r="E10" s="28" cm="1">
        <f t="array" ref="E10">_xlfn.XLOOKUP($H$9,Tabla1[[Nombre Unidad de Estudios]:[Nombre Unidad de Estudios]],Tabla1[Horas de Acompañamiento Directo '[HAD']],"",0)</f>
        <v>36</v>
      </c>
      <c r="F10" s="29" t="s">
        <v>221</v>
      </c>
      <c r="G10" s="28" cm="1">
        <f t="array" ref="G10">_xlfn.XLOOKUP($H$9,Tabla1[[Nombre Unidad de Estudios]:[Nombre Unidad de Estudios]],Tabla1[Horas de Trabajo Autónomo '[HTA']],"",0)</f>
        <v>108</v>
      </c>
      <c r="H10" s="29" t="s">
        <v>222</v>
      </c>
      <c r="I10" s="30">
        <f>E10+G10</f>
        <v>144</v>
      </c>
    </row>
    <row r="11" spans="2:11">
      <c r="B11" s="80" t="s">
        <v>223</v>
      </c>
      <c r="C11" s="81"/>
      <c r="D11" s="81"/>
      <c r="E11" s="81"/>
      <c r="F11" s="81"/>
      <c r="G11" s="81"/>
      <c r="H11" s="81"/>
      <c r="I11" s="82"/>
    </row>
    <row r="12" spans="2:11" ht="76.5" customHeight="1">
      <c r="B12" s="83" t="s">
        <v>224</v>
      </c>
      <c r="C12" s="84"/>
      <c r="D12" s="85" t="str" cm="1">
        <f t="array" ref="D12">_xlfn.XLOOKUP($H$9,Tabla1[[Nombre Unidad de Estudios]:[Nombre Unidad de Estudios]],Tabla1[Descripción de la Unidad de Estudios],"",0)</f>
        <v>Esta unidad aborda las tendencias contemporáneas en gestión e innovación, con el propósito de que los estudiantes identifiquen y apliquen metodologías de innovación para la gestión estratégica de las organizaciones en un entorno competitivo y cambiante.</v>
      </c>
      <c r="E12" s="86"/>
      <c r="F12" s="86"/>
      <c r="G12" s="86"/>
      <c r="H12" s="86"/>
      <c r="I12" s="87"/>
    </row>
    <row r="13" spans="2:11" ht="66" customHeight="1" thickBot="1">
      <c r="B13" s="88" t="s">
        <v>225</v>
      </c>
      <c r="C13" s="89"/>
      <c r="D13" s="90" t="str" cm="1">
        <f t="array" ref="D13">_xlfn.XLOOKUP($H$9,Tabla1[[Nombre Unidad de Estudios]:[Nombre Unidad de Estudios]],Tabla1[Resultado de Aprendizaje de la Unidad de Estudios],"",0)</f>
        <v>Identifica y aplica tendencias y metodologías de innovación para la gestión estratégica de organizaciones en entornos competitivos. (Nota: campo no completamente especificado en el syllabus original.)</v>
      </c>
      <c r="E13" s="91"/>
      <c r="F13" s="91"/>
      <c r="G13" s="91"/>
      <c r="H13" s="91"/>
      <c r="I13" s="92"/>
    </row>
    <row r="14" spans="2:11">
      <c r="B14" s="80" t="s">
        <v>226</v>
      </c>
      <c r="C14" s="81"/>
      <c r="D14" s="81"/>
      <c r="E14" s="81"/>
      <c r="F14" s="81"/>
      <c r="G14" s="81"/>
      <c r="H14" s="81"/>
      <c r="I14" s="82"/>
    </row>
    <row r="15" spans="2:11">
      <c r="B15" s="93" t="s">
        <v>227</v>
      </c>
      <c r="C15" s="78"/>
      <c r="D15" s="78"/>
      <c r="E15" s="78"/>
      <c r="F15" s="78"/>
      <c r="G15" s="78"/>
      <c r="H15" s="78"/>
      <c r="I15" s="79"/>
    </row>
    <row r="16" spans="2:11">
      <c r="B16" s="93"/>
      <c r="C16" s="78"/>
      <c r="D16" s="78"/>
      <c r="E16" s="78"/>
      <c r="F16" s="78"/>
      <c r="G16" s="78"/>
      <c r="H16" s="78"/>
      <c r="I16" s="79"/>
    </row>
    <row r="17" spans="2:9" ht="15.75" thickBot="1">
      <c r="B17" s="94"/>
      <c r="C17" s="95"/>
      <c r="D17" s="95"/>
      <c r="E17" s="95"/>
      <c r="F17" s="95"/>
      <c r="G17" s="95"/>
      <c r="H17" s="95"/>
      <c r="I17" s="96"/>
    </row>
    <row r="18" spans="2:9" ht="15.75" thickBot="1">
      <c r="B18" s="97" t="s">
        <v>228</v>
      </c>
      <c r="C18" s="98"/>
      <c r="D18" s="98"/>
      <c r="E18" s="98"/>
      <c r="F18" s="98"/>
      <c r="G18" s="98"/>
      <c r="H18" s="98"/>
      <c r="I18" s="99"/>
    </row>
    <row r="19" spans="2:9">
      <c r="B19" s="21" t="s">
        <v>44</v>
      </c>
      <c r="C19" s="43" t="str" cm="1">
        <f t="array" ref="C19">_xlfn.XLOOKUP($H$9,Tabla1[[Nombre Unidad de Estudios]:[Nombre Unidad de Estudios]],Tabla1[Módulo],"",0)</f>
        <v>6 semanas</v>
      </c>
      <c r="D19" s="21" t="s">
        <v>229</v>
      </c>
      <c r="E19" s="143" t="s">
        <v>230</v>
      </c>
      <c r="F19" s="144"/>
      <c r="G19" s="31" t="s">
        <v>231</v>
      </c>
      <c r="H19" s="145" t="s">
        <v>232</v>
      </c>
      <c r="I19" s="146"/>
    </row>
    <row r="20" spans="2:9">
      <c r="B20" s="13" t="str" cm="1">
        <f t="array" ref="B20">_xlfn.XLOOKUP($H$9,Tabla1[[Nombre Unidad de Estudios]:[Nombre Unidad de Estudios]],Tabla1[Contenidos Unidad de Estudios],"",0)</f>
        <v>Creatividad y proceso creativo.
Innovación empresarial.
Tendencias y metodologías de innovación.
Gestión estratégica de la innovación.
Protección de la innovación.</v>
      </c>
      <c r="C20" s="55"/>
      <c r="D20" s="60"/>
      <c r="E20" s="61"/>
      <c r="F20" s="62"/>
      <c r="G20" s="69"/>
      <c r="H20" s="70"/>
      <c r="I20" s="71"/>
    </row>
    <row r="21" spans="2:9">
      <c r="B21" s="56"/>
      <c r="C21" s="57"/>
      <c r="D21" s="63"/>
      <c r="E21" s="64"/>
      <c r="F21" s="65"/>
      <c r="G21" s="72"/>
      <c r="H21" s="73"/>
      <c r="I21" s="74"/>
    </row>
    <row r="22" spans="2:9">
      <c r="B22" s="56"/>
      <c r="C22" s="57"/>
      <c r="D22" s="63"/>
      <c r="E22" s="64"/>
      <c r="F22" s="65"/>
      <c r="G22" s="72"/>
      <c r="H22" s="73"/>
      <c r="I22" s="74"/>
    </row>
    <row r="23" spans="2:9">
      <c r="B23" s="56"/>
      <c r="C23" s="57"/>
      <c r="D23" s="63"/>
      <c r="E23" s="64"/>
      <c r="F23" s="65"/>
      <c r="G23" s="72"/>
      <c r="H23" s="73"/>
      <c r="I23" s="74"/>
    </row>
    <row r="24" spans="2:9">
      <c r="B24" s="56"/>
      <c r="C24" s="57"/>
      <c r="D24" s="63"/>
      <c r="E24" s="64"/>
      <c r="F24" s="65"/>
      <c r="G24" s="72"/>
      <c r="H24" s="73"/>
      <c r="I24" s="74"/>
    </row>
    <row r="25" spans="2:9">
      <c r="B25" s="56"/>
      <c r="C25" s="57"/>
      <c r="D25" s="63"/>
      <c r="E25" s="64"/>
      <c r="F25" s="65"/>
      <c r="G25" s="72"/>
      <c r="H25" s="73"/>
      <c r="I25" s="74"/>
    </row>
    <row r="26" spans="2:9">
      <c r="B26" s="56"/>
      <c r="C26" s="57"/>
      <c r="D26" s="63"/>
      <c r="E26" s="64"/>
      <c r="F26" s="65"/>
      <c r="G26" s="72"/>
      <c r="H26" s="73"/>
      <c r="I26" s="74"/>
    </row>
    <row r="27" spans="2:9">
      <c r="B27" s="56"/>
      <c r="C27" s="57"/>
      <c r="D27" s="63"/>
      <c r="E27" s="64"/>
      <c r="F27" s="65"/>
      <c r="G27" s="72"/>
      <c r="H27" s="73"/>
      <c r="I27" s="74"/>
    </row>
    <row r="28" spans="2:9">
      <c r="B28" s="56"/>
      <c r="C28" s="57"/>
      <c r="D28" s="63"/>
      <c r="E28" s="64"/>
      <c r="F28" s="65"/>
      <c r="G28" s="72"/>
      <c r="H28" s="73"/>
      <c r="I28" s="74"/>
    </row>
    <row r="29" spans="2:9">
      <c r="B29" s="56"/>
      <c r="C29" s="57"/>
      <c r="D29" s="63"/>
      <c r="E29" s="64"/>
      <c r="F29" s="65"/>
      <c r="G29" s="72"/>
      <c r="H29" s="73"/>
      <c r="I29" s="74"/>
    </row>
    <row r="30" spans="2:9">
      <c r="B30" s="56"/>
      <c r="C30" s="57"/>
      <c r="D30" s="63"/>
      <c r="E30" s="64"/>
      <c r="F30" s="65"/>
      <c r="G30" s="72"/>
      <c r="H30" s="73"/>
      <c r="I30" s="74"/>
    </row>
    <row r="31" spans="2:9">
      <c r="B31" s="56"/>
      <c r="C31" s="57"/>
      <c r="D31" s="63"/>
      <c r="E31" s="64"/>
      <c r="F31" s="65"/>
      <c r="G31" s="72"/>
      <c r="H31" s="73"/>
      <c r="I31" s="74"/>
    </row>
    <row r="32" spans="2:9">
      <c r="B32" s="56"/>
      <c r="C32" s="57"/>
      <c r="D32" s="63"/>
      <c r="E32" s="64"/>
      <c r="F32" s="65"/>
      <c r="G32" s="72"/>
      <c r="H32" s="73"/>
      <c r="I32" s="74"/>
    </row>
    <row r="33" spans="2:9" ht="15.75" thickBot="1">
      <c r="B33" s="58"/>
      <c r="C33" s="59"/>
      <c r="D33" s="66"/>
      <c r="E33" s="67"/>
      <c r="F33" s="68"/>
      <c r="G33" s="75"/>
      <c r="H33" s="76"/>
      <c r="I33" s="77"/>
    </row>
    <row r="34" spans="2:9" ht="15.75" thickBot="1">
      <c r="B34" s="114" t="s">
        <v>233</v>
      </c>
      <c r="C34" s="115"/>
      <c r="D34" s="115"/>
      <c r="E34" s="115"/>
      <c r="F34" s="115"/>
      <c r="G34" s="115"/>
      <c r="H34" s="115"/>
      <c r="I34" s="116"/>
    </row>
    <row r="35" spans="2:9" ht="14.45" customHeight="1">
      <c r="B35" s="126" t="s">
        <v>234</v>
      </c>
      <c r="C35" s="127"/>
      <c r="D35" s="127"/>
      <c r="E35" s="127"/>
      <c r="F35" s="127"/>
      <c r="G35" s="127"/>
      <c r="H35" s="127"/>
      <c r="I35" s="128"/>
    </row>
    <row r="36" spans="2:9">
      <c r="B36" s="129"/>
      <c r="C36" s="130"/>
      <c r="D36" s="130"/>
      <c r="E36" s="130"/>
      <c r="F36" s="130"/>
      <c r="G36" s="130"/>
      <c r="H36" s="130"/>
      <c r="I36" s="131"/>
    </row>
    <row r="37" spans="2:9">
      <c r="B37" s="132" t="str" cm="1">
        <f t="array" ref="B37">_xlfn.XLOOKUP($H$9,Tabla1[[Nombre Unidad de Estudios]:[Nombre Unidad de Estudios]],Tabla1[Esquema de Calificación],"",0)</f>
        <v>50% Actividades en sesiones.
50% Actividad individual.</v>
      </c>
      <c r="C37" s="133"/>
      <c r="D37" s="133"/>
      <c r="E37" s="133"/>
      <c r="F37" s="133"/>
      <c r="G37" s="133"/>
      <c r="H37" s="133"/>
      <c r="I37" s="134"/>
    </row>
    <row r="38" spans="2:9">
      <c r="B38" s="132"/>
      <c r="C38" s="133"/>
      <c r="D38" s="133"/>
      <c r="E38" s="133"/>
      <c r="F38" s="133"/>
      <c r="G38" s="133"/>
      <c r="H38" s="133"/>
      <c r="I38" s="134"/>
    </row>
    <row r="39" spans="2:9" ht="15.75" thickBot="1">
      <c r="B39" s="135"/>
      <c r="C39" s="136"/>
      <c r="D39" s="136"/>
      <c r="E39" s="136"/>
      <c r="F39" s="136"/>
      <c r="G39" s="136"/>
      <c r="H39" s="136"/>
      <c r="I39" s="137"/>
    </row>
    <row r="40" spans="2:9" ht="34.5" customHeight="1" thickBot="1">
      <c r="B40" s="117" t="s">
        <v>235</v>
      </c>
      <c r="C40" s="118"/>
      <c r="D40" s="118"/>
      <c r="E40" s="119"/>
      <c r="F40" s="120" t="str" cm="1">
        <f t="array" ref="F40">_xlfn.XLOOKUP($H$9,Tabla1[[Nombre Unidad de Estudios]:[Nombre Unidad de Estudios]],Tabla1[Recursos Tecnológicos],"",0)</f>
        <v>Base de datos; Material bibliográfico; Plataforma virtual</v>
      </c>
      <c r="G40" s="121"/>
      <c r="H40" s="121"/>
      <c r="I40" s="122"/>
    </row>
    <row r="41" spans="2:9" ht="15.75" thickBot="1">
      <c r="B41" s="123" t="s">
        <v>236</v>
      </c>
      <c r="C41" s="124"/>
      <c r="D41" s="124"/>
      <c r="E41" s="124"/>
      <c r="F41" s="125" t="str" cm="1">
        <f t="array" ref="F41">_xlfn.XLOOKUP($H$9,Tabla1[[Nombre Unidad de Estudios]:[Nombre Unidad de Estudios]],Tabla1[Componente de Lengua Extranjera '[Idioma']],"",0)</f>
        <v>Inglés</v>
      </c>
      <c r="G41" s="125"/>
      <c r="H41" s="32" t="s">
        <v>237</v>
      </c>
      <c r="I41" s="36" cm="1">
        <f t="array" ref="I41">_xlfn.XLOOKUP($H$9,Tabla1[[Nombre Unidad de Estudios]:[Nombre Unidad de Estudios]],Tabla1[Componente de Lengua Extranjera '[%']],"",0)</f>
        <v>0.5</v>
      </c>
    </row>
    <row r="42" spans="2:9">
      <c r="B42" s="80" t="s">
        <v>238</v>
      </c>
      <c r="C42" s="81"/>
      <c r="D42" s="81"/>
      <c r="E42" s="81"/>
      <c r="F42" s="81"/>
      <c r="G42" s="81"/>
      <c r="H42" s="81"/>
      <c r="I42" s="82"/>
    </row>
    <row r="43" spans="2:9" ht="14.45" customHeight="1">
      <c r="B43" s="138" t="s">
        <v>49</v>
      </c>
      <c r="C43" s="139"/>
      <c r="D43" s="139"/>
      <c r="E43" s="140"/>
      <c r="F43" s="138" t="s">
        <v>239</v>
      </c>
      <c r="G43" s="139"/>
      <c r="H43" s="139"/>
      <c r="I43" s="140"/>
    </row>
    <row r="44" spans="2:9">
      <c r="B44" s="108" t="str" cm="1">
        <f t="array" ref="B44">_xlfn.XLOOKUP($H$9,Tabla1[[Nombre Unidad de Estudios]:[Nombre Unidad de Estudios]],Tabla1[Bibliografía Obligatoria],"",0)</f>
        <v>Tidd, J. y Bessant, J. (2020). Managing innovation: Integrating technological, market and organizational change (6th ed.). Wiley.
Christensen, C. M. (2016). The innovator's dilemma: When new technologies cause great firms to fail. Harvard Business Review Press.
Schilling, M. A. (2022). Strategic management of technological innovation (7th ed.). McGraw-Hill Education.
Chesbrough, H. W. (2003). Open innovation: The new imperative for creating and profiting from technology. Harvard Business School Press.</v>
      </c>
      <c r="C44" s="109"/>
      <c r="D44" s="109"/>
      <c r="E44" s="110"/>
      <c r="F44" s="108" t="str" cm="1">
        <f t="array" ref="F44">_xlfn.XLOOKUP($H$9,Tabla1[[Nombre Unidad de Estudios]:[Nombre Unidad de Estudios]],Tabla1[Bibliografia Complementaria],"",0)</f>
        <v>Trott, P. (2021). Innovation management and new product development (7th ed.). Pearson Education.
Rogers, E. M. (2003). Diffusion of innovations (5th ed.). Free Press.</v>
      </c>
      <c r="G44" s="109"/>
      <c r="H44" s="109"/>
      <c r="I44" s="110"/>
    </row>
    <row r="45" spans="2:9">
      <c r="B45" s="108"/>
      <c r="C45" s="109"/>
      <c r="D45" s="109"/>
      <c r="E45" s="110"/>
      <c r="F45" s="108"/>
      <c r="G45" s="109"/>
      <c r="H45" s="109"/>
      <c r="I45" s="110"/>
    </row>
    <row r="46" spans="2:9">
      <c r="B46" s="108"/>
      <c r="C46" s="109"/>
      <c r="D46" s="109"/>
      <c r="E46" s="110"/>
      <c r="F46" s="108"/>
      <c r="G46" s="109"/>
      <c r="H46" s="109"/>
      <c r="I46" s="110"/>
    </row>
    <row r="47" spans="2:9">
      <c r="B47" s="108"/>
      <c r="C47" s="109"/>
      <c r="D47" s="109"/>
      <c r="E47" s="110"/>
      <c r="F47" s="108"/>
      <c r="G47" s="109"/>
      <c r="H47" s="109"/>
      <c r="I47" s="110"/>
    </row>
    <row r="48" spans="2:9">
      <c r="B48" s="108"/>
      <c r="C48" s="109"/>
      <c r="D48" s="109"/>
      <c r="E48" s="110"/>
      <c r="F48" s="108"/>
      <c r="G48" s="109"/>
      <c r="H48" s="109"/>
      <c r="I48" s="110"/>
    </row>
    <row r="49" spans="2:9">
      <c r="B49" s="108"/>
      <c r="C49" s="109"/>
      <c r="D49" s="109"/>
      <c r="E49" s="110"/>
      <c r="F49" s="108"/>
      <c r="G49" s="109"/>
      <c r="H49" s="109"/>
      <c r="I49" s="110"/>
    </row>
    <row r="50" spans="2:9">
      <c r="B50" s="108"/>
      <c r="C50" s="109"/>
      <c r="D50" s="109"/>
      <c r="E50" s="110"/>
      <c r="F50" s="108"/>
      <c r="G50" s="109"/>
      <c r="H50" s="109"/>
      <c r="I50" s="110"/>
    </row>
    <row r="51" spans="2:9">
      <c r="B51" s="108"/>
      <c r="C51" s="109"/>
      <c r="D51" s="109"/>
      <c r="E51" s="110"/>
      <c r="F51" s="108"/>
      <c r="G51" s="109"/>
      <c r="H51" s="109"/>
      <c r="I51" s="110"/>
    </row>
    <row r="52" spans="2:9">
      <c r="B52" s="108"/>
      <c r="C52" s="109"/>
      <c r="D52" s="109"/>
      <c r="E52" s="110"/>
      <c r="F52" s="108"/>
      <c r="G52" s="109"/>
      <c r="H52" s="109"/>
      <c r="I52" s="110"/>
    </row>
    <row r="53" spans="2:9">
      <c r="B53" s="108"/>
      <c r="C53" s="109"/>
      <c r="D53" s="109"/>
      <c r="E53" s="110"/>
      <c r="F53" s="108"/>
      <c r="G53" s="109"/>
      <c r="H53" s="109"/>
      <c r="I53" s="110"/>
    </row>
    <row r="54" spans="2:9">
      <c r="B54" s="108"/>
      <c r="C54" s="109"/>
      <c r="D54" s="109"/>
      <c r="E54" s="110"/>
      <c r="F54" s="108"/>
      <c r="G54" s="109"/>
      <c r="H54" s="109"/>
      <c r="I54" s="110"/>
    </row>
    <row r="55" spans="2:9">
      <c r="B55" s="108"/>
      <c r="C55" s="109"/>
      <c r="D55" s="109"/>
      <c r="E55" s="110"/>
      <c r="F55" s="108"/>
      <c r="G55" s="109"/>
      <c r="H55" s="109"/>
      <c r="I55" s="110"/>
    </row>
    <row r="56" spans="2:9">
      <c r="B56" s="108"/>
      <c r="C56" s="109"/>
      <c r="D56" s="109"/>
      <c r="E56" s="110"/>
      <c r="F56" s="108"/>
      <c r="G56" s="109"/>
      <c r="H56" s="109"/>
      <c r="I56" s="110"/>
    </row>
    <row r="57" spans="2:9" ht="15.75" thickBot="1">
      <c r="B57" s="111"/>
      <c r="C57" s="112"/>
      <c r="D57" s="112"/>
      <c r="E57" s="113"/>
      <c r="F57" s="111"/>
      <c r="G57" s="112"/>
      <c r="H57" s="112"/>
      <c r="I57" s="113"/>
    </row>
    <row r="58" spans="2:9">
      <c r="B58" s="80" t="s">
        <v>240</v>
      </c>
      <c r="C58" s="81"/>
      <c r="D58" s="81"/>
      <c r="E58" s="81"/>
      <c r="F58" s="81"/>
      <c r="G58" s="81"/>
      <c r="H58" s="81"/>
      <c r="I58" s="82"/>
    </row>
    <row r="59" spans="2:9">
      <c r="B59" s="33" t="s">
        <v>51</v>
      </c>
      <c r="C59" s="34" t="s">
        <v>52</v>
      </c>
      <c r="D59" s="34" t="s">
        <v>53</v>
      </c>
      <c r="E59" s="34" t="s">
        <v>54</v>
      </c>
      <c r="F59" s="34" t="s">
        <v>55</v>
      </c>
      <c r="G59" s="104" t="s">
        <v>56</v>
      </c>
      <c r="H59" s="104"/>
      <c r="I59" s="105"/>
    </row>
    <row r="60" spans="2:9" ht="30">
      <c r="B60" s="38" cm="1">
        <f t="array" ref="B60">_xlfn.XLOOKUP($H$9,Tabla1[[Nombre Unidad de Estudios]:[Nombre Unidad de Estudios]],Tabla1['# versión],"",0)</f>
        <v>1</v>
      </c>
      <c r="C60" s="41" cm="1">
        <f t="array" ref="C60">_xlfn.XLOOKUP($H$9,Tabla1[[Nombre Unidad de Estudios]:[Nombre Unidad de Estudios]],Tabla1[Fecha],"",0)</f>
        <v>46083</v>
      </c>
      <c r="D60" s="35" t="str" cm="1">
        <f t="array" ref="D60">_xlfn.XLOOKUP($H$9,Tabla1[[Nombre Unidad de Estudios]:[Nombre Unidad de Estudios]],Tabla1[Elaboró],"",0)</f>
        <v>Omar Patiño</v>
      </c>
      <c r="E60" s="35" t="str" cm="1">
        <f t="array" ref="E60">_xlfn.XLOOKUP($H$9,Tabla1[[Nombre Unidad de Estudios]:[Nombre Unidad de Estudios]],Tabla1[Revisó],"",0)</f>
        <v>Juan Carlos Rentería</v>
      </c>
      <c r="F60" s="35" t="str" cm="1">
        <f t="array" ref="F60">_xlfn.XLOOKUP($H$9,Tabla1[[Nombre Unidad de Estudios]:[Nombre Unidad de Estudios]],Tabla1[Aprobó],"",0)</f>
        <v>Comité Curricular</v>
      </c>
      <c r="G60" s="106" t="str" cm="1">
        <f t="array" ref="G60">_xlfn.XLOOKUP($H$9,Tabla1[[Nombre Unidad de Estudios]:[Nombre Unidad de Estudios]],Tabla1[Descripción del cambio],"",0)</f>
        <v>Creación syllabus en nuevo formato</v>
      </c>
      <c r="H60" s="106"/>
      <c r="I60" s="107"/>
    </row>
    <row r="61" spans="2:9">
      <c r="B61" s="38"/>
      <c r="C61" s="35"/>
      <c r="D61" s="35"/>
      <c r="E61" s="35"/>
      <c r="F61" s="35"/>
      <c r="G61" s="106"/>
      <c r="H61" s="106"/>
      <c r="I61" s="107"/>
    </row>
    <row r="62" spans="2:9">
      <c r="B62" s="38"/>
      <c r="C62" s="35"/>
      <c r="D62" s="35"/>
      <c r="E62" s="35"/>
      <c r="F62" s="35"/>
      <c r="G62" s="106"/>
      <c r="H62" s="106"/>
      <c r="I62" s="107"/>
    </row>
    <row r="63" spans="2:9">
      <c r="B63" s="38"/>
      <c r="C63" s="35"/>
      <c r="D63" s="35"/>
      <c r="E63" s="35"/>
      <c r="F63" s="35"/>
      <c r="G63" s="106"/>
      <c r="H63" s="106"/>
      <c r="I63" s="107"/>
    </row>
    <row r="64" spans="2:9">
      <c r="B64" s="38"/>
      <c r="C64" s="35"/>
      <c r="D64" s="35"/>
      <c r="E64" s="35"/>
      <c r="F64" s="35"/>
      <c r="G64" s="106"/>
      <c r="H64" s="106"/>
      <c r="I64" s="107"/>
    </row>
    <row r="65" spans="2:9" ht="15.75" thickBot="1">
      <c r="B65" s="39"/>
      <c r="C65" s="40"/>
      <c r="D65" s="40"/>
      <c r="E65" s="40"/>
      <c r="F65" s="40"/>
      <c r="G65" s="141"/>
      <c r="H65" s="141"/>
      <c r="I65" s="142"/>
    </row>
  </sheetData>
  <mergeCells count="41">
    <mergeCell ref="G65:I65"/>
    <mergeCell ref="G59:I59"/>
    <mergeCell ref="G60:I60"/>
    <mergeCell ref="G61:I61"/>
    <mergeCell ref="G62:I62"/>
    <mergeCell ref="G63:I63"/>
    <mergeCell ref="G64:I64"/>
    <mergeCell ref="B58:I58"/>
    <mergeCell ref="B34:I34"/>
    <mergeCell ref="B35:I36"/>
    <mergeCell ref="B37:I39"/>
    <mergeCell ref="B40:E40"/>
    <mergeCell ref="F40:I40"/>
    <mergeCell ref="B41:E41"/>
    <mergeCell ref="F41:G41"/>
    <mergeCell ref="B42:I42"/>
    <mergeCell ref="B43:E43"/>
    <mergeCell ref="F43:I43"/>
    <mergeCell ref="B44:E57"/>
    <mergeCell ref="F44:I57"/>
    <mergeCell ref="B20:C33"/>
    <mergeCell ref="D20:F33"/>
    <mergeCell ref="G20:I33"/>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K2" display="Menu principal" xr:uid="{00000000-0004-0000-1600-000000000000}"/>
  </hyperlinks>
  <pageMargins left="0.25" right="0.25" top="0.75" bottom="0.75" header="0.3" footer="0.3"/>
  <pageSetup paperSize="9" scale="71"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Tabla!$H$2:$H$22</xm:f>
          </x14:formula1>
          <xm:sqref>H9:I9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Renteria</dc:creator>
  <cp:keywords/>
  <dc:description/>
  <cp:lastModifiedBy>JUAN JOSE GARCIA TELLEZ</cp:lastModifiedBy>
  <cp:revision/>
  <dcterms:created xsi:type="dcterms:W3CDTF">2026-03-03T01:40:00Z</dcterms:created>
  <dcterms:modified xsi:type="dcterms:W3CDTF">2026-03-26T18:51:52Z</dcterms:modified>
  <cp:category/>
  <cp:contentStatus/>
</cp:coreProperties>
</file>