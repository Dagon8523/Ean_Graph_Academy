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000-000 POSGRADOS\Especializacion en Gerencia Logistica Global y Digital (Registro Unico)\Syllabus_2025\Nuevo formato Excel - EGLGD\"/>
    </mc:Choice>
  </mc:AlternateContent>
  <xr:revisionPtr revIDLastSave="0" documentId="13_ncr:1_{95F875E6-6E7F-42F4-84F7-661AE1095F56}" xr6:coauthVersionLast="47" xr6:coauthVersionMax="47" xr10:uidLastSave="{00000000-0000-0000-0000-000000000000}"/>
  <bookViews>
    <workbookView xWindow="-120" yWindow="-120" windowWidth="20730" windowHeight="11040" firstSheet="3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state="hidden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5" l="1"/>
  <c r="H15" i="5" s="1"/>
  <c r="K2" i="5"/>
  <c r="L2" i="5"/>
  <c r="I2" i="5"/>
  <c r="H3" i="5"/>
  <c r="F45" i="4"/>
  <c r="G23" i="5"/>
  <c r="G20" i="4" s="1"/>
  <c r="G7" i="4"/>
  <c r="C10" i="4"/>
  <c r="C7" i="4"/>
  <c r="I9" i="3"/>
  <c r="I9" i="1"/>
  <c r="H23" i="5" l="1"/>
  <c r="E23" i="5" s="1"/>
  <c r="B20" i="4" s="1"/>
  <c r="H14" i="5"/>
  <c r="H5" i="5"/>
  <c r="E7" i="4" s="1"/>
  <c r="H27" i="5"/>
  <c r="H26" i="5"/>
  <c r="H28" i="5"/>
  <c r="H16" i="5"/>
  <c r="H36" i="5"/>
  <c r="H24" i="5"/>
  <c r="H12" i="5"/>
  <c r="H9" i="5"/>
  <c r="H35" i="5"/>
  <c r="H34" i="5"/>
  <c r="H10" i="5"/>
  <c r="H21" i="5"/>
  <c r="H32" i="5"/>
  <c r="H20" i="5"/>
  <c r="H8" i="5"/>
  <c r="H25" i="5"/>
  <c r="H22" i="5"/>
  <c r="H33" i="5"/>
  <c r="H31" i="5"/>
  <c r="H19" i="5"/>
  <c r="H7" i="5"/>
  <c r="H13" i="5"/>
  <c r="H11" i="5"/>
  <c r="H30" i="5"/>
  <c r="H18" i="5"/>
  <c r="H6" i="5"/>
  <c r="H29" i="5"/>
  <c r="H17" i="5"/>
  <c r="D30" i="5" l="1"/>
  <c r="E30" i="5" s="1"/>
  <c r="F36" i="4" s="1"/>
  <c r="D16" i="5"/>
  <c r="D17" i="5"/>
  <c r="D12" i="4" s="1"/>
  <c r="D34" i="5"/>
  <c r="E45" i="4" s="1"/>
  <c r="D32" i="5"/>
  <c r="C45" i="4" s="1"/>
  <c r="D25" i="5"/>
  <c r="B28" i="4" s="1"/>
  <c r="D26" i="5"/>
  <c r="F33" i="4" s="1"/>
  <c r="D28" i="5"/>
  <c r="I34" i="4" s="1"/>
  <c r="D13" i="5"/>
  <c r="G10" i="4" s="1"/>
  <c r="D14" i="5"/>
  <c r="F23" i="5"/>
  <c r="D20" i="4" s="1"/>
  <c r="D27" i="5"/>
  <c r="D18" i="5"/>
  <c r="D31" i="5"/>
  <c r="B45" i="4" s="1"/>
  <c r="D15" i="5"/>
  <c r="E15" i="5" s="1"/>
  <c r="D8" i="4" s="1"/>
  <c r="D7" i="5"/>
  <c r="I7" i="4" s="1"/>
  <c r="D19" i="5"/>
  <c r="D29" i="5"/>
  <c r="E29" i="5" s="1"/>
  <c r="B36" i="4" s="1"/>
  <c r="D10" i="5"/>
  <c r="H9" i="4" s="1"/>
  <c r="D33" i="5"/>
  <c r="D45" i="4" s="1"/>
  <c r="D36" i="5"/>
  <c r="G45" i="4" s="1"/>
  <c r="D12" i="5"/>
  <c r="E10" i="4" s="1"/>
  <c r="H4" i="5"/>
  <c r="D8" i="5"/>
  <c r="F15" i="5" l="1"/>
  <c r="F8" i="4" s="1"/>
  <c r="I10" i="4"/>
  <c r="D9" i="5"/>
  <c r="E9" i="4" s="1"/>
</calcChain>
</file>

<file path=xl/sharedStrings.xml><?xml version="1.0" encoding="utf-8"?>
<sst xmlns="http://schemas.openxmlformats.org/spreadsheetml/2006/main" count="345" uniqueCount="215">
  <si>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</si>
  <si>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</si>
  <si>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</si>
  <si>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</si>
  <si>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</si>
  <si>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</si>
  <si>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</si>
  <si>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</si>
  <si>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</si>
  <si>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</si>
  <si>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</si>
  <si>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</si>
  <si>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</si>
  <si>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</si>
  <si>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</si>
  <si>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</si>
  <si>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</si>
  <si>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</si>
  <si>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</si>
  <si>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</si>
  <si>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</si>
  <si>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</si>
  <si>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</si>
  <si>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</si>
  <si>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</si>
  <si>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</si>
  <si>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</si>
  <si>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</si>
  <si>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</si>
  <si>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</si>
  <si>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</si>
  <si>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</si>
  <si>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</si>
  <si>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</si>
  <si>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</si>
  <si>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</si>
  <si>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</si>
  <si>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</si>
  <si>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</si>
  <si>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</si>
  <si>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</si>
  <si>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</si>
  <si>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</si>
  <si>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</si>
  <si>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</si>
  <si>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</si>
  <si>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</si>
  <si>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</si>
  <si>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</si>
  <si>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</si>
  <si>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</si>
  <si>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</si>
  <si>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</si>
  <si>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</si>
  <si>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</si>
  <si>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</si>
  <si>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</si>
  <si>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</si>
  <si>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</si>
  <si>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</si>
  <si>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</si>
  <si>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</si>
  <si>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</si>
  <si>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</si>
  <si>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</si>
  <si>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</si>
  <si>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</si>
  <si>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</si>
  <si>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</si>
  <si>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</si>
  <si>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</si>
  <si>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</si>
  <si>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</si>
  <si>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</si>
  <si>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</si>
  <si>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</si>
  <si>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</si>
  <si>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</si>
  <si>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</si>
  <si>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</si>
  <si>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</si>
  <si>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</si>
  <si>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</si>
  <si>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</si>
  <si>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</si>
  <si>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</si>
  <si>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Gestión de Compras...</t>
  </si>
  <si>
    <t>Gestión de Inventarios</t>
  </si>
  <si>
    <t>Gestión de la Entrega...</t>
  </si>
  <si>
    <t>IFVN0001+</t>
  </si>
  <si>
    <t>No especificado</t>
  </si>
  <si>
    <t>Nuclear</t>
  </si>
  <si>
    <t>Electiva</t>
  </si>
  <si>
    <t>Nombre Unidad de estudios</t>
  </si>
  <si>
    <t>Modalidad (Presencial / Virtual)</t>
  </si>
  <si>
    <t>Metodología (PAT / In Situ / Híbrida)</t>
  </si>
  <si>
    <t>Resultado de Aprendizaje de Programa</t>
  </si>
  <si>
    <t>Resultado de Aprendizaje de la Unidad de Estudio</t>
  </si>
  <si>
    <t>Criterios de evaluación (1, 2, 3, 4)</t>
  </si>
  <si>
    <t>Competencias del modelo educativo (EM, SH, IN, COM, SO, AA, SE, COL, DI)</t>
  </si>
  <si>
    <t>Contenidos de la Unidad de estudio</t>
  </si>
  <si>
    <t>4.5 Semanas</t>
  </si>
  <si>
    <t>Estrategias Pedagógicas</t>
  </si>
  <si>
    <t>Esquema de Calificación</t>
  </si>
  <si>
    <t>Componente de Lengua Extranjera</t>
  </si>
  <si>
    <t>Número de versión</t>
  </si>
  <si>
    <t>Elaboró</t>
  </si>
  <si>
    <t>Jose Divitt Velosa</t>
  </si>
  <si>
    <t>Maribel Guevara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</si>
  <si>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</si>
  <si>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</si>
  <si>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</si>
  <si>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</si>
  <si>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</si>
  <si>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</si>
  <si>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</si>
  <si>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</si>
  <si>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</si>
  <si>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Diseña propuestas y proyectos que optimicen la cadena de abastecimiento teniendo en cuenta  las tendencias tecnológicas que contribuyan en la productividad, competitividad y sostenibilidad de las organizaciones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</si>
  <si>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</si>
  <si>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</si>
  <si>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</si>
  <si>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</si>
  <si>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Ciclo</t>
  </si>
  <si>
    <t>9 Semanas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</si>
  <si>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</si>
  <si>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</si>
  <si>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</si>
  <si>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</si>
  <si>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</si>
  <si>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</si>
  <si>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</si>
  <si>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</si>
  <si>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</si>
  <si>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</si>
  <si>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</si>
  <si>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</si>
  <si>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</si>
  <si>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</si>
  <si>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</si>
  <si>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</si>
  <si>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</si>
  <si>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</si>
  <si>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</si>
  <si>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</si>
  <si>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</si>
  <si>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</si>
  <si>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</si>
  <si>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</si>
  <si>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>Ingeniería</t>
  </si>
  <si>
    <t>Especialización en Gerencia Logística Global y Digital</t>
  </si>
  <si>
    <t>Cadena de Suministro Circular</t>
  </si>
  <si>
    <t>Logística humanitaria y gestión de crisis</t>
  </si>
  <si>
    <t>Logística inteligente</t>
  </si>
  <si>
    <t>Movilidad y entorno internacional</t>
  </si>
  <si>
    <t>Conferencias, casos, talleres, proyecto empresarial</t>
  </si>
  <si>
    <t>Clase magistral, casos, aprendizaje basado en problemas</t>
  </si>
  <si>
    <t>Aprendizaje basado en casos, problemas, investigación</t>
  </si>
  <si>
    <t>Casos, aprendizaje experiencial, problemas, investigación</t>
  </si>
  <si>
    <t>Transición hacia cadenas circulares sostenibles con enfoque regenerativo</t>
  </si>
  <si>
    <t>Gestión eficiente de operaciones logísticas en crisis y desastres</t>
  </si>
  <si>
    <t>Aplicación de tecnologías avanzadas (IA, IoT, Big Data) en logística</t>
  </si>
  <si>
    <t>Diseño de estrategias de movilidad y transporte en entornos nacionales e internacionales</t>
  </si>
  <si>
    <t>Diseña estrategias de gestión de la cadena de suministro con innovación</t>
  </si>
  <si>
    <t>Gestiona estrategias aplicadas a logística humanitaria</t>
  </si>
  <si>
    <t>Plantea propuestas de optimización logística con tecnologías</t>
  </si>
  <si>
    <t>Diseña estrategias aplicadas a sistemas de transporte</t>
  </si>
  <si>
    <t>Diseño de cadenas resilientes y circulares</t>
  </si>
  <si>
    <t>Gestión de crisis humanitaria</t>
  </si>
  <si>
    <t>Diseño de sistemas logísticos inteligentes</t>
  </si>
  <si>
    <t>Diseño de propuestas en movilidad y transporte</t>
  </si>
  <si>
    <t>Dominio de técnicas circulares, logística inversa, analítica</t>
  </si>
  <si>
    <t>Comprende, aplica y propone estrategias en crisis</t>
  </si>
  <si>
    <t>Diseña, implementa y gestiona tecnologías logísticas</t>
  </si>
  <si>
    <t>Propone estrategias de valor agregado en movilidad</t>
  </si>
  <si>
    <t>Proyecto 20%, talleres 80%</t>
  </si>
  <si>
    <t>Evaluaciones 40%, Proyecto 60%</t>
  </si>
  <si>
    <t>Talleres, evaluación, proyecto final</t>
  </si>
  <si>
    <t>Evaluaciones y proyecto final</t>
  </si>
  <si>
    <t>EM, SH, IN, CO, TE</t>
  </si>
  <si>
    <t>EM, SH, IN, CO, SO, AU, SE, COL, DI</t>
  </si>
  <si>
    <t>Economía circular, modelos circulares, analítica, logística inversa, resiliencia</t>
  </si>
  <si>
    <t>Desastres, gestión crisis, modelos humanitarios, sostenibilidad</t>
  </si>
  <si>
    <t>IoT, IA, Big Data, automatización, logística verde, seguridad</t>
  </si>
  <si>
    <t>Movilidad, transporte, logística urbana, entorno internacional, Incoterms</t>
  </si>
  <si>
    <t>Casos, debates, software, proyecto empresarial</t>
  </si>
  <si>
    <t>Clase magistral, talleres, estudios de caso</t>
  </si>
  <si>
    <t>Simulación, análisis datos, investigación aplicada</t>
  </si>
  <si>
    <t>Estudios de caso, talleres, análisis estratégico</t>
  </si>
  <si>
    <t>Proyecto 20% – Talleres 80%</t>
  </si>
  <si>
    <t>Evaluaciones 40% – Proyecto 60%</t>
  </si>
  <si>
    <t>Talleres + Proyecto final</t>
  </si>
  <si>
    <t>Evaluaciones + Proyecto final</t>
  </si>
  <si>
    <t>Anylogistix, LCA tools, Power BI, Vensim</t>
  </si>
  <si>
    <t>Excel, LMS</t>
  </si>
  <si>
    <t>ChatGPT, Bard, videos multimedia</t>
  </si>
  <si>
    <t>Orji (2023), Henzen (2022), Lehmacher (2017), entre otros</t>
  </si>
  <si>
    <t>CEPAL (2022), Moreira (2023), Baskaya (2017)</t>
  </si>
  <si>
    <t>DeSmet (2018), Gattorna (2019), Arnold (2018)</t>
  </si>
  <si>
    <t>Eslava (2019), Langley (2021), Quintanilla (2019)</t>
  </si>
  <si>
    <t>Economía circular y sostenibilidad</t>
  </si>
  <si>
    <t>Modelos humanitarios latinoamericanos</t>
  </si>
  <si>
    <t>APICS, SCOR, CPIM</t>
  </si>
  <si>
    <t>Costos logísticos, Incoterms</t>
  </si>
  <si>
    <t>María Mercedes Bernal</t>
  </si>
  <si>
    <t>José Divitt Velosa</t>
  </si>
  <si>
    <t>Jeffrey Leon</t>
  </si>
  <si>
    <t>Jeffrey León</t>
  </si>
  <si>
    <t>Actualización contenido y bibliografía</t>
  </si>
  <si>
    <t>Actualización bibliografía</t>
  </si>
  <si>
    <t>ESPGLOBOG005</t>
  </si>
  <si>
    <t>IEPN0016</t>
  </si>
  <si>
    <t>IEPN0017</t>
  </si>
  <si>
    <t>IEPN0018</t>
  </si>
  <si>
    <t>IEVN0015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</si>
</sst>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0" xfId="0" applyFont="1" applyBorder="1" applyAlignment="1">
      <alignment vertical="center"/>
    </xf>
    <xf numFmtId="0" fontId="9" fillId="0" borderId="60" xfId="0" applyFont="1" applyBorder="1" applyAlignment="1">
      <alignment horizontal="right" wrapText="1"/>
    </xf>
    <xf numFmtId="0" fontId="9" fillId="0" borderId="60" xfId="0" applyFont="1" applyBorder="1" applyAlignment="1">
      <alignment wrapText="1"/>
    </xf>
    <xf numFmtId="9" fontId="9" fillId="0" borderId="60" xfId="0" applyNumberFormat="1" applyFont="1" applyBorder="1" applyAlignment="1">
      <alignment horizontal="right" wrapText="1"/>
    </xf>
    <xf numFmtId="14" fontId="9" fillId="0" borderId="60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8" fillId="4" borderId="0" xfId="0" applyFont="1" applyFill="1" applyAlignment="1">
      <alignment vertical="center"/>
    </xf>
    <xf numFmtId="0" fontId="9" fillId="0" borderId="60" xfId="0" applyFont="1" applyBorder="1" applyAlignment="1">
      <alignment vertical="center" wrapText="1"/>
    </xf>
    <xf numFmtId="0" fontId="9" fillId="0" borderId="62" xfId="0" applyFont="1" applyBorder="1" applyAlignment="1">
      <alignment vertical="center"/>
    </xf>
    <xf numFmtId="0" fontId="1" fillId="6" borderId="61" xfId="0" applyFont="1" applyFill="1" applyBorder="1"/>
    <xf numFmtId="0" fontId="9" fillId="7" borderId="62" xfId="0" applyFont="1" applyFill="1" applyBorder="1" applyAlignment="1">
      <alignment vertical="center"/>
    </xf>
    <xf numFmtId="0" fontId="9" fillId="2" borderId="62" xfId="0" applyFont="1" applyFill="1" applyBorder="1" applyAlignment="1">
      <alignment vertical="center"/>
    </xf>
    <xf numFmtId="0" fontId="14" fillId="0" borderId="60" xfId="0" applyFont="1" applyBorder="1" applyAlignment="1">
      <alignment horizontal="right" wrapText="1"/>
    </xf>
    <xf numFmtId="0" fontId="14" fillId="0" borderId="60" xfId="0" applyFont="1" applyBorder="1" applyAlignment="1">
      <alignment wrapText="1"/>
    </xf>
    <xf numFmtId="0" fontId="11" fillId="6" borderId="6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2" fillId="0" borderId="0" xfId="0" applyFont="1"/>
    <xf numFmtId="0" fontId="15" fillId="6" borderId="61" xfId="0" applyFont="1" applyFill="1" applyBorder="1" applyAlignment="1">
      <alignment horizontal="center" vertical="center" wrapText="1"/>
    </xf>
    <xf numFmtId="0" fontId="14" fillId="0" borderId="60" xfId="0" applyFont="1" applyBorder="1" applyAlignment="1">
      <alignment vertical="center"/>
    </xf>
    <xf numFmtId="0" fontId="9" fillId="7" borderId="62" xfId="0" applyFont="1" applyFill="1" applyBorder="1" applyAlignment="1">
      <alignment horizontal="center" vertical="top"/>
    </xf>
    <xf numFmtId="0" fontId="9" fillId="0" borderId="60" xfId="0" applyFont="1" applyBorder="1" applyAlignment="1">
      <alignment horizontal="center" vertical="top" wrapText="1"/>
    </xf>
    <xf numFmtId="0" fontId="9" fillId="8" borderId="60" xfId="0" applyFont="1" applyFill="1" applyBorder="1" applyAlignment="1">
      <alignment horizontal="center" vertical="top" wrapText="1"/>
    </xf>
    <xf numFmtId="0" fontId="9" fillId="8" borderId="60" xfId="0" applyFont="1" applyFill="1" applyBorder="1" applyAlignment="1">
      <alignment wrapText="1"/>
    </xf>
    <xf numFmtId="0" fontId="14" fillId="8" borderId="60" xfId="0" applyFont="1" applyFill="1" applyBorder="1" applyAlignment="1">
      <alignment horizontal="center" vertical="top" wrapText="1"/>
    </xf>
    <xf numFmtId="0" fontId="9" fillId="4" borderId="60" xfId="0" applyFont="1" applyFill="1" applyBorder="1" applyAlignment="1">
      <alignment wrapText="1"/>
    </xf>
    <xf numFmtId="0" fontId="14" fillId="4" borderId="60" xfId="0" applyFont="1" applyFill="1" applyBorder="1" applyAlignment="1">
      <alignment wrapText="1"/>
    </xf>
    <xf numFmtId="0" fontId="9" fillId="4" borderId="60" xfId="0" applyFont="1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top" wrapText="1"/>
    </xf>
    <xf numFmtId="0" fontId="11" fillId="0" borderId="25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27" xfId="0" applyFont="1" applyBorder="1" applyAlignment="1">
      <alignment horizontal="center" vertical="top" wrapText="1"/>
    </xf>
    <xf numFmtId="0" fontId="11" fillId="0" borderId="31" xfId="0" applyFont="1" applyBorder="1" applyAlignment="1">
      <alignment horizontal="center" vertical="top" wrapText="1"/>
    </xf>
    <xf numFmtId="0" fontId="11" fillId="0" borderId="54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55" xfId="0" applyFont="1" applyBorder="1" applyAlignment="1">
      <alignment horizontal="center" vertical="top" wrapText="1"/>
    </xf>
    <xf numFmtId="0" fontId="11" fillId="0" borderId="28" xfId="0" applyFont="1" applyBorder="1" applyAlignment="1">
      <alignment horizontal="center" vertical="top" wrapText="1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6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76"/>
      <c r="C2" s="78" t="s">
        <v>0</v>
      </c>
      <c r="D2" s="78"/>
      <c r="E2" s="78"/>
      <c r="F2" s="78"/>
      <c r="G2" s="78"/>
      <c r="H2" s="78"/>
      <c r="I2" s="6" t="s">
        <v>1</v>
      </c>
    </row>
    <row r="3" spans="2:9" ht="20.25" customHeight="1" x14ac:dyDescent="0.25">
      <c r="B3" s="77"/>
      <c r="C3" s="79"/>
      <c r="D3" s="79"/>
      <c r="E3" s="79"/>
      <c r="F3" s="79"/>
      <c r="G3" s="79"/>
      <c r="H3" s="79"/>
      <c r="I3" s="7" t="s">
        <v>2</v>
      </c>
    </row>
    <row r="4" spans="2:9" ht="21" customHeight="1" thickBot="1" x14ac:dyDescent="0.3">
      <c r="B4" s="80" t="s">
        <v>3</v>
      </c>
      <c r="C4" s="81"/>
      <c r="D4" s="81"/>
      <c r="E4" s="81"/>
      <c r="F4" s="81"/>
      <c r="G4" s="81"/>
      <c r="H4" s="81"/>
      <c r="I4" s="8" t="s">
        <v>4</v>
      </c>
    </row>
    <row r="5" spans="2:9" ht="15.75" thickTop="1" x14ac:dyDescent="0.25">
      <c r="B5" s="85"/>
      <c r="C5" s="85"/>
      <c r="D5" s="85"/>
      <c r="E5" s="85"/>
      <c r="F5" s="85"/>
      <c r="G5" s="85"/>
      <c r="H5" s="85"/>
      <c r="I5" s="85"/>
    </row>
    <row r="6" spans="2:9" x14ac:dyDescent="0.25">
      <c r="B6" s="85" t="s">
        <v>5</v>
      </c>
      <c r="C6" s="85"/>
      <c r="D6" s="85"/>
      <c r="E6" s="85"/>
      <c r="F6" s="85"/>
      <c r="G6" s="85"/>
      <c r="H6" s="85"/>
      <c r="I6" s="85"/>
    </row>
    <row r="7" spans="2:9" ht="60" x14ac:dyDescent="0.2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 x14ac:dyDescent="0.25">
      <c r="B8" s="2" t="s">
        <v>10</v>
      </c>
      <c r="C8" s="1"/>
      <c r="D8" s="3" t="s">
        <v>11</v>
      </c>
      <c r="E8" s="92"/>
      <c r="F8" s="92"/>
      <c r="G8" s="2" t="s">
        <v>12</v>
      </c>
      <c r="H8" s="92"/>
      <c r="I8" s="92"/>
    </row>
    <row r="9" spans="2:9" ht="30" x14ac:dyDescent="0.25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 x14ac:dyDescent="0.25">
      <c r="B10" s="91" t="s">
        <v>17</v>
      </c>
      <c r="C10" s="75"/>
      <c r="D10" s="75"/>
      <c r="E10" s="75"/>
      <c r="F10" s="75"/>
      <c r="G10" s="75"/>
      <c r="H10" s="75"/>
      <c r="I10" s="75"/>
    </row>
    <row r="11" spans="2:9" x14ac:dyDescent="0.25">
      <c r="B11" s="91" t="s">
        <v>18</v>
      </c>
      <c r="C11" s="91"/>
      <c r="D11" s="85" t="s">
        <v>19</v>
      </c>
      <c r="E11" s="86"/>
      <c r="F11" s="86"/>
      <c r="G11" s="85" t="s">
        <v>20</v>
      </c>
      <c r="H11" s="86"/>
      <c r="I11" s="86"/>
    </row>
    <row r="12" spans="2:9" x14ac:dyDescent="0.25">
      <c r="B12" s="91"/>
      <c r="C12" s="91"/>
      <c r="D12" s="85"/>
      <c r="E12" s="86"/>
      <c r="F12" s="86"/>
      <c r="G12" s="85"/>
      <c r="H12" s="86"/>
      <c r="I12" s="86"/>
    </row>
    <row r="13" spans="2:9" x14ac:dyDescent="0.25">
      <c r="B13" s="75" t="s">
        <v>21</v>
      </c>
      <c r="C13" s="75"/>
      <c r="D13" s="75"/>
      <c r="E13" s="75"/>
      <c r="F13" s="75"/>
      <c r="G13" s="75"/>
      <c r="H13" s="75"/>
      <c r="I13" s="75"/>
    </row>
    <row r="14" spans="2:9" x14ac:dyDescent="0.25">
      <c r="B14" s="3" t="s">
        <v>22</v>
      </c>
      <c r="C14" s="92"/>
      <c r="D14" s="92"/>
      <c r="E14" s="3" t="s">
        <v>23</v>
      </c>
      <c r="F14" s="1"/>
      <c r="G14" s="3" t="s">
        <v>24</v>
      </c>
      <c r="H14" s="92"/>
      <c r="I14" s="92"/>
    </row>
    <row r="15" spans="2:9" x14ac:dyDescent="0.25">
      <c r="B15" s="75" t="s">
        <v>25</v>
      </c>
      <c r="C15" s="75"/>
      <c r="D15" s="75"/>
      <c r="E15" s="75"/>
      <c r="F15" s="75"/>
      <c r="G15" s="75"/>
      <c r="H15" s="75"/>
      <c r="I15" s="75"/>
    </row>
    <row r="16" spans="2:9" x14ac:dyDescent="0.25">
      <c r="B16" s="91" t="s">
        <v>26</v>
      </c>
      <c r="C16" s="91"/>
      <c r="D16" s="86"/>
      <c r="E16" s="86"/>
      <c r="F16" s="86"/>
      <c r="G16" s="86"/>
      <c r="H16" s="86"/>
      <c r="I16" s="86"/>
    </row>
    <row r="17" spans="2:9" x14ac:dyDescent="0.25">
      <c r="B17" s="91"/>
      <c r="C17" s="91"/>
      <c r="D17" s="86"/>
      <c r="E17" s="86"/>
      <c r="F17" s="86"/>
      <c r="G17" s="86"/>
      <c r="H17" s="86"/>
      <c r="I17" s="86"/>
    </row>
    <row r="18" spans="2:9" x14ac:dyDescent="0.25">
      <c r="B18" s="89" t="s">
        <v>27</v>
      </c>
      <c r="C18" s="90"/>
      <c r="D18" s="86"/>
      <c r="E18" s="86"/>
      <c r="F18" s="86"/>
      <c r="G18" s="86"/>
      <c r="H18" s="86"/>
      <c r="I18" s="86"/>
    </row>
    <row r="19" spans="2:9" x14ac:dyDescent="0.25">
      <c r="B19" s="91" t="s">
        <v>28</v>
      </c>
      <c r="C19" s="91"/>
      <c r="D19" s="86"/>
      <c r="E19" s="86"/>
      <c r="F19" s="86"/>
      <c r="G19" s="86"/>
      <c r="H19" s="86"/>
      <c r="I19" s="86"/>
    </row>
    <row r="20" spans="2:9" x14ac:dyDescent="0.25">
      <c r="B20" s="91"/>
      <c r="C20" s="91"/>
      <c r="D20" s="86"/>
      <c r="E20" s="86"/>
      <c r="F20" s="86"/>
      <c r="G20" s="86"/>
      <c r="H20" s="86"/>
      <c r="I20" s="86"/>
    </row>
    <row r="21" spans="2:9" x14ac:dyDescent="0.25">
      <c r="B21" s="91" t="s">
        <v>29</v>
      </c>
      <c r="C21" s="91"/>
      <c r="D21" s="86"/>
      <c r="E21" s="86"/>
      <c r="F21" s="86"/>
      <c r="G21" s="86"/>
      <c r="H21" s="86"/>
      <c r="I21" s="86"/>
    </row>
    <row r="22" spans="2:9" x14ac:dyDescent="0.25">
      <c r="B22" s="91"/>
      <c r="C22" s="91"/>
      <c r="D22" s="86"/>
      <c r="E22" s="86"/>
      <c r="F22" s="86"/>
      <c r="G22" s="86"/>
      <c r="H22" s="86"/>
      <c r="I22" s="86"/>
    </row>
    <row r="23" spans="2:9" x14ac:dyDescent="0.25">
      <c r="B23" s="85" t="s">
        <v>30</v>
      </c>
      <c r="C23" s="85"/>
      <c r="D23" s="86" t="s">
        <v>31</v>
      </c>
      <c r="E23" s="86"/>
      <c r="F23" s="86"/>
      <c r="G23" s="86"/>
      <c r="H23" s="86"/>
      <c r="I23" s="86"/>
    </row>
    <row r="24" spans="2:9" x14ac:dyDescent="0.25">
      <c r="B24" s="85"/>
      <c r="C24" s="85"/>
      <c r="D24" s="86" t="s">
        <v>32</v>
      </c>
      <c r="E24" s="86"/>
      <c r="F24" s="86"/>
      <c r="G24" s="86"/>
      <c r="H24" s="86"/>
      <c r="I24" s="86"/>
    </row>
    <row r="25" spans="2:9" x14ac:dyDescent="0.25">
      <c r="B25" s="85"/>
      <c r="C25" s="85"/>
      <c r="D25" s="86" t="s">
        <v>33</v>
      </c>
      <c r="E25" s="86"/>
      <c r="F25" s="86"/>
      <c r="G25" s="86"/>
      <c r="H25" s="86"/>
      <c r="I25" s="86"/>
    </row>
    <row r="26" spans="2:9" x14ac:dyDescent="0.25">
      <c r="B26" s="85"/>
      <c r="C26" s="85"/>
      <c r="D26" s="86" t="s">
        <v>34</v>
      </c>
      <c r="E26" s="86"/>
      <c r="F26" s="86"/>
      <c r="G26" s="86"/>
      <c r="H26" s="86"/>
      <c r="I26" s="86"/>
    </row>
    <row r="27" spans="2:9" x14ac:dyDescent="0.25">
      <c r="B27" s="87" t="s">
        <v>35</v>
      </c>
      <c r="C27" s="87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 x14ac:dyDescent="0.25">
      <c r="B28" s="87"/>
      <c r="C28" s="87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 x14ac:dyDescent="0.25">
      <c r="B29" s="87"/>
      <c r="C29" s="87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 x14ac:dyDescent="0.25">
      <c r="B30" s="88" t="s">
        <v>45</v>
      </c>
      <c r="C30" s="88"/>
      <c r="D30" s="88"/>
      <c r="E30" s="88"/>
      <c r="F30" s="88"/>
      <c r="G30" s="88"/>
      <c r="H30" s="88"/>
      <c r="I30" s="88"/>
    </row>
    <row r="31" spans="2:9" x14ac:dyDescent="0.25">
      <c r="B31" s="88"/>
      <c r="C31" s="88"/>
      <c r="D31" s="88"/>
      <c r="E31" s="88"/>
      <c r="F31" s="88"/>
      <c r="G31" s="88"/>
      <c r="H31" s="88"/>
      <c r="I31" s="88"/>
    </row>
    <row r="32" spans="2:9" x14ac:dyDescent="0.25">
      <c r="B32" s="88"/>
      <c r="C32" s="88"/>
      <c r="D32" s="88"/>
      <c r="E32" s="88"/>
      <c r="F32" s="88"/>
      <c r="G32" s="88"/>
      <c r="H32" s="88"/>
      <c r="I32" s="88"/>
    </row>
    <row r="33" spans="2:9" x14ac:dyDescent="0.25">
      <c r="B33" s="88"/>
      <c r="C33" s="88"/>
      <c r="D33" s="88"/>
      <c r="E33" s="88"/>
      <c r="F33" s="88"/>
      <c r="G33" s="88"/>
      <c r="H33" s="88"/>
      <c r="I33" s="88"/>
    </row>
    <row r="34" spans="2:9" x14ac:dyDescent="0.25">
      <c r="B34" s="88"/>
      <c r="C34" s="88"/>
      <c r="D34" s="88"/>
      <c r="E34" s="88"/>
      <c r="F34" s="88"/>
      <c r="G34" s="88"/>
      <c r="H34" s="88"/>
      <c r="I34" s="88"/>
    </row>
    <row r="35" spans="2:9" x14ac:dyDescent="0.25">
      <c r="B35" s="75" t="s">
        <v>46</v>
      </c>
      <c r="C35" s="75"/>
      <c r="D35" s="75"/>
      <c r="E35" s="75"/>
      <c r="F35" s="75"/>
      <c r="G35" s="75"/>
      <c r="H35" s="75"/>
      <c r="I35" s="75"/>
    </row>
    <row r="36" spans="2:9" x14ac:dyDescent="0.25">
      <c r="B36" s="74" t="s">
        <v>47</v>
      </c>
      <c r="C36" s="74"/>
      <c r="D36" s="74"/>
      <c r="E36" s="74"/>
      <c r="F36" s="74"/>
      <c r="G36" s="74"/>
      <c r="H36" s="74"/>
      <c r="I36" s="74"/>
    </row>
    <row r="37" spans="2:9" x14ac:dyDescent="0.25">
      <c r="B37" s="74"/>
      <c r="C37" s="74"/>
      <c r="D37" s="74"/>
      <c r="E37" s="74"/>
      <c r="F37" s="74"/>
      <c r="G37" s="74"/>
      <c r="H37" s="74"/>
      <c r="I37" s="74"/>
    </row>
    <row r="38" spans="2:9" x14ac:dyDescent="0.25">
      <c r="B38" s="74"/>
      <c r="C38" s="74"/>
      <c r="D38" s="74"/>
      <c r="E38" s="74"/>
      <c r="F38" s="74"/>
      <c r="G38" s="74"/>
      <c r="H38" s="74"/>
      <c r="I38" s="74"/>
    </row>
    <row r="39" spans="2:9" x14ac:dyDescent="0.25">
      <c r="B39" s="82" t="s">
        <v>48</v>
      </c>
      <c r="C39" s="82"/>
      <c r="D39" s="82"/>
      <c r="E39" s="82"/>
      <c r="F39" s="82" t="s">
        <v>49</v>
      </c>
      <c r="G39" s="82"/>
      <c r="H39" s="82"/>
      <c r="I39" s="82"/>
    </row>
    <row r="40" spans="2:9" x14ac:dyDescent="0.25">
      <c r="B40" s="82"/>
      <c r="C40" s="82"/>
      <c r="D40" s="82"/>
      <c r="E40" s="82"/>
      <c r="F40" s="82"/>
      <c r="G40" s="82"/>
      <c r="H40" s="82"/>
      <c r="I40" s="82"/>
    </row>
    <row r="41" spans="2:9" x14ac:dyDescent="0.25">
      <c r="B41" s="82"/>
      <c r="C41" s="82"/>
      <c r="D41" s="82"/>
      <c r="E41" s="82"/>
      <c r="F41" s="82"/>
      <c r="G41" s="82"/>
      <c r="H41" s="82"/>
      <c r="I41" s="82"/>
    </row>
    <row r="42" spans="2:9" x14ac:dyDescent="0.25">
      <c r="B42" s="82"/>
      <c r="C42" s="82"/>
      <c r="D42" s="82"/>
      <c r="E42" s="82"/>
      <c r="F42" s="82"/>
      <c r="G42" s="82"/>
      <c r="H42" s="82"/>
      <c r="I42" s="82"/>
    </row>
    <row r="43" spans="2:9" x14ac:dyDescent="0.25">
      <c r="B43" s="82"/>
      <c r="C43" s="82"/>
      <c r="D43" s="82"/>
      <c r="E43" s="82"/>
      <c r="F43" s="82"/>
      <c r="G43" s="82"/>
      <c r="H43" s="82"/>
      <c r="I43" s="82"/>
    </row>
    <row r="44" spans="2:9" x14ac:dyDescent="0.25">
      <c r="B44" s="82"/>
      <c r="C44" s="82"/>
      <c r="D44" s="82"/>
      <c r="E44" s="82"/>
      <c r="F44" s="82"/>
      <c r="G44" s="82"/>
      <c r="H44" s="82"/>
      <c r="I44" s="82"/>
    </row>
    <row r="45" spans="2:9" x14ac:dyDescent="0.25">
      <c r="B45" s="82"/>
      <c r="C45" s="82"/>
      <c r="D45" s="82"/>
      <c r="E45" s="82"/>
      <c r="F45" s="82"/>
      <c r="G45" s="82"/>
      <c r="H45" s="82"/>
      <c r="I45" s="82"/>
    </row>
    <row r="46" spans="2:9" x14ac:dyDescent="0.25">
      <c r="B46" s="82"/>
      <c r="C46" s="82"/>
      <c r="D46" s="82"/>
      <c r="E46" s="82"/>
      <c r="F46" s="82"/>
      <c r="G46" s="82"/>
      <c r="H46" s="82"/>
      <c r="I46" s="82"/>
    </row>
    <row r="47" spans="2:9" x14ac:dyDescent="0.25">
      <c r="B47" s="82"/>
      <c r="C47" s="82"/>
      <c r="D47" s="82"/>
      <c r="E47" s="82"/>
      <c r="F47" s="82"/>
      <c r="G47" s="82"/>
      <c r="H47" s="82"/>
      <c r="I47" s="82"/>
    </row>
    <row r="48" spans="2:9" x14ac:dyDescent="0.25">
      <c r="B48" s="75" t="s">
        <v>50</v>
      </c>
      <c r="C48" s="75"/>
      <c r="D48" s="75"/>
      <c r="E48" s="75"/>
      <c r="F48" s="75"/>
      <c r="G48" s="75"/>
      <c r="H48" s="75"/>
      <c r="I48" s="75"/>
    </row>
    <row r="49" spans="2:9" x14ac:dyDescent="0.25">
      <c r="B49" s="84" t="s">
        <v>51</v>
      </c>
      <c r="C49" s="84"/>
      <c r="D49" s="84"/>
      <c r="E49" s="84"/>
      <c r="F49" s="82" t="s">
        <v>52</v>
      </c>
      <c r="G49" s="82"/>
      <c r="H49" s="82"/>
      <c r="I49" s="82"/>
    </row>
    <row r="50" spans="2:9" x14ac:dyDescent="0.25">
      <c r="B50" s="84"/>
      <c r="C50" s="84"/>
      <c r="D50" s="84"/>
      <c r="E50" s="84"/>
      <c r="F50" s="82"/>
      <c r="G50" s="82"/>
      <c r="H50" s="82"/>
      <c r="I50" s="82"/>
    </row>
    <row r="51" spans="2:9" x14ac:dyDescent="0.25">
      <c r="B51" s="84"/>
      <c r="C51" s="84"/>
      <c r="D51" s="84"/>
      <c r="E51" s="84"/>
      <c r="F51" s="82"/>
      <c r="G51" s="82"/>
      <c r="H51" s="82"/>
      <c r="I51" s="82"/>
    </row>
    <row r="52" spans="2:9" x14ac:dyDescent="0.25">
      <c r="B52" s="84"/>
      <c r="C52" s="84"/>
      <c r="D52" s="84"/>
      <c r="E52" s="84"/>
      <c r="F52" s="82"/>
      <c r="G52" s="82"/>
      <c r="H52" s="82"/>
      <c r="I52" s="82"/>
    </row>
    <row r="53" spans="2:9" x14ac:dyDescent="0.25">
      <c r="B53" s="84"/>
      <c r="C53" s="84"/>
      <c r="D53" s="84"/>
      <c r="E53" s="84"/>
      <c r="F53" s="82"/>
      <c r="G53" s="82"/>
      <c r="H53" s="82"/>
      <c r="I53" s="82"/>
    </row>
    <row r="54" spans="2:9" x14ac:dyDescent="0.25">
      <c r="B54" s="84"/>
      <c r="C54" s="84"/>
      <c r="D54" s="84"/>
      <c r="E54" s="84"/>
      <c r="F54" s="82"/>
      <c r="G54" s="82"/>
      <c r="H54" s="82"/>
      <c r="I54" s="82"/>
    </row>
    <row r="55" spans="2:9" x14ac:dyDescent="0.25">
      <c r="B55" s="84"/>
      <c r="C55" s="84"/>
      <c r="D55" s="84"/>
      <c r="E55" s="84"/>
      <c r="F55" s="82"/>
      <c r="G55" s="82"/>
      <c r="H55" s="82"/>
      <c r="I55" s="82"/>
    </row>
    <row r="56" spans="2:9" x14ac:dyDescent="0.25">
      <c r="B56" s="84"/>
      <c r="C56" s="84"/>
      <c r="D56" s="84"/>
      <c r="E56" s="84"/>
      <c r="F56" s="82"/>
      <c r="G56" s="82"/>
      <c r="H56" s="82"/>
      <c r="I56" s="82"/>
    </row>
    <row r="57" spans="2:9" x14ac:dyDescent="0.25">
      <c r="B57" s="84"/>
      <c r="C57" s="84"/>
      <c r="D57" s="84"/>
      <c r="E57" s="84"/>
      <c r="F57" s="82"/>
      <c r="G57" s="82"/>
      <c r="H57" s="82"/>
      <c r="I57" s="82"/>
    </row>
    <row r="58" spans="2:9" x14ac:dyDescent="0.25">
      <c r="B58" s="84"/>
      <c r="C58" s="84"/>
      <c r="D58" s="84"/>
      <c r="E58" s="84"/>
      <c r="F58" s="82"/>
      <c r="G58" s="82"/>
      <c r="H58" s="82"/>
      <c r="I58" s="82"/>
    </row>
    <row r="59" spans="2:9" x14ac:dyDescent="0.25">
      <c r="B59" s="84"/>
      <c r="C59" s="84"/>
      <c r="D59" s="84"/>
      <c r="E59" s="84"/>
      <c r="F59" s="82"/>
      <c r="G59" s="82"/>
      <c r="H59" s="82"/>
      <c r="I59" s="82"/>
    </row>
    <row r="60" spans="2:9" x14ac:dyDescent="0.25">
      <c r="B60" s="85" t="s">
        <v>53</v>
      </c>
      <c r="C60" s="85"/>
      <c r="D60" s="85"/>
      <c r="E60" s="85"/>
      <c r="F60" s="86"/>
      <c r="G60" s="86"/>
      <c r="H60" s="85" t="s">
        <v>54</v>
      </c>
      <c r="I60" s="5"/>
    </row>
    <row r="61" spans="2:9" x14ac:dyDescent="0.25">
      <c r="B61" s="85"/>
      <c r="C61" s="85"/>
      <c r="D61" s="85"/>
      <c r="E61" s="85"/>
      <c r="F61" s="86"/>
      <c r="G61" s="86"/>
      <c r="H61" s="85"/>
      <c r="I61" s="5"/>
    </row>
    <row r="62" spans="2:9" x14ac:dyDescent="0.25">
      <c r="B62" s="85"/>
      <c r="C62" s="85"/>
      <c r="D62" s="85"/>
      <c r="E62" s="85"/>
      <c r="F62" s="86"/>
      <c r="G62" s="86"/>
      <c r="H62" s="85"/>
      <c r="I62" s="5"/>
    </row>
    <row r="63" spans="2:9" x14ac:dyDescent="0.25">
      <c r="B63" s="85"/>
      <c r="C63" s="85"/>
      <c r="D63" s="85"/>
      <c r="E63" s="85"/>
      <c r="F63" s="86"/>
      <c r="G63" s="86"/>
      <c r="H63" s="85"/>
      <c r="I63" s="5"/>
    </row>
    <row r="64" spans="2:9" x14ac:dyDescent="0.25">
      <c r="B64" s="85"/>
      <c r="C64" s="85"/>
      <c r="D64" s="85"/>
      <c r="E64" s="85"/>
      <c r="F64" s="86"/>
      <c r="G64" s="86"/>
      <c r="H64" s="85"/>
      <c r="I64" s="5"/>
    </row>
    <row r="65" spans="2:9" x14ac:dyDescent="0.25">
      <c r="B65" s="75" t="s">
        <v>55</v>
      </c>
      <c r="C65" s="75"/>
      <c r="D65" s="75"/>
      <c r="E65" s="75"/>
      <c r="F65" s="75"/>
      <c r="G65" s="75"/>
      <c r="H65" s="75"/>
      <c r="I65" s="75"/>
    </row>
    <row r="66" spans="2:9" x14ac:dyDescent="0.25">
      <c r="B66" s="82" t="s">
        <v>56</v>
      </c>
      <c r="C66" s="82"/>
      <c r="D66" s="82"/>
      <c r="E66" s="82"/>
      <c r="F66" s="82" t="s">
        <v>57</v>
      </c>
      <c r="G66" s="82"/>
      <c r="H66" s="82"/>
      <c r="I66" s="82"/>
    </row>
    <row r="67" spans="2:9" x14ac:dyDescent="0.25">
      <c r="B67" s="82"/>
      <c r="C67" s="82"/>
      <c r="D67" s="82"/>
      <c r="E67" s="82"/>
      <c r="F67" s="82"/>
      <c r="G67" s="82"/>
      <c r="H67" s="82"/>
      <c r="I67" s="82"/>
    </row>
    <row r="68" spans="2:9" x14ac:dyDescent="0.25">
      <c r="B68" s="82"/>
      <c r="C68" s="82"/>
      <c r="D68" s="82"/>
      <c r="E68" s="82"/>
      <c r="F68" s="82"/>
      <c r="G68" s="82"/>
      <c r="H68" s="82"/>
      <c r="I68" s="82"/>
    </row>
    <row r="69" spans="2:9" x14ac:dyDescent="0.25">
      <c r="B69" s="82"/>
      <c r="C69" s="82"/>
      <c r="D69" s="82"/>
      <c r="E69" s="82"/>
      <c r="F69" s="82"/>
      <c r="G69" s="82"/>
      <c r="H69" s="82"/>
      <c r="I69" s="82"/>
    </row>
    <row r="70" spans="2:9" x14ac:dyDescent="0.25">
      <c r="B70" s="82"/>
      <c r="C70" s="82"/>
      <c r="D70" s="82"/>
      <c r="E70" s="82"/>
      <c r="F70" s="82"/>
      <c r="G70" s="82"/>
      <c r="H70" s="82"/>
      <c r="I70" s="82"/>
    </row>
    <row r="71" spans="2:9" x14ac:dyDescent="0.25">
      <c r="B71" s="82"/>
      <c r="C71" s="82"/>
      <c r="D71" s="82"/>
      <c r="E71" s="82"/>
      <c r="F71" s="82"/>
      <c r="G71" s="82"/>
      <c r="H71" s="82"/>
      <c r="I71" s="82"/>
    </row>
    <row r="72" spans="2:9" x14ac:dyDescent="0.25">
      <c r="B72" s="82"/>
      <c r="C72" s="82"/>
      <c r="D72" s="82"/>
      <c r="E72" s="82"/>
      <c r="F72" s="82"/>
      <c r="G72" s="82"/>
      <c r="H72" s="82"/>
      <c r="I72" s="82"/>
    </row>
    <row r="73" spans="2:9" x14ac:dyDescent="0.25">
      <c r="B73" s="82"/>
      <c r="C73" s="82"/>
      <c r="D73" s="82"/>
      <c r="E73" s="82"/>
      <c r="F73" s="82"/>
      <c r="G73" s="82"/>
      <c r="H73" s="82"/>
      <c r="I73" s="82"/>
    </row>
    <row r="74" spans="2:9" x14ac:dyDescent="0.25">
      <c r="B74" s="82"/>
      <c r="C74" s="82"/>
      <c r="D74" s="82"/>
      <c r="E74" s="82"/>
      <c r="F74" s="82"/>
      <c r="G74" s="82"/>
      <c r="H74" s="82"/>
      <c r="I74" s="82"/>
    </row>
    <row r="75" spans="2:9" x14ac:dyDescent="0.25">
      <c r="B75" s="82"/>
      <c r="C75" s="82"/>
      <c r="D75" s="82"/>
      <c r="E75" s="82"/>
      <c r="F75" s="82"/>
      <c r="G75" s="82"/>
      <c r="H75" s="82"/>
      <c r="I75" s="82"/>
    </row>
    <row r="76" spans="2:9" x14ac:dyDescent="0.25">
      <c r="B76" s="82"/>
      <c r="C76" s="82"/>
      <c r="D76" s="82"/>
      <c r="E76" s="82"/>
      <c r="F76" s="82"/>
      <c r="G76" s="82"/>
      <c r="H76" s="82"/>
      <c r="I76" s="82"/>
    </row>
    <row r="77" spans="2:9" x14ac:dyDescent="0.25">
      <c r="B77" s="82"/>
      <c r="C77" s="82"/>
      <c r="D77" s="82"/>
      <c r="E77" s="82"/>
      <c r="F77" s="82"/>
      <c r="G77" s="82"/>
      <c r="H77" s="82"/>
      <c r="I77" s="82"/>
    </row>
    <row r="78" spans="2:9" x14ac:dyDescent="0.25">
      <c r="B78" s="82"/>
      <c r="C78" s="82"/>
      <c r="D78" s="82"/>
      <c r="E78" s="82"/>
      <c r="F78" s="82"/>
      <c r="G78" s="82"/>
      <c r="H78" s="82"/>
      <c r="I78" s="82"/>
    </row>
    <row r="79" spans="2:9" x14ac:dyDescent="0.25">
      <c r="B79" s="82"/>
      <c r="C79" s="82"/>
      <c r="D79" s="82"/>
      <c r="E79" s="82"/>
      <c r="F79" s="82"/>
      <c r="G79" s="82"/>
      <c r="H79" s="82"/>
      <c r="I79" s="82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75" t="s">
        <v>58</v>
      </c>
      <c r="C81" s="75"/>
      <c r="D81" s="75"/>
      <c r="E81" s="75"/>
      <c r="F81" s="75"/>
      <c r="G81" s="75"/>
      <c r="H81" s="75"/>
      <c r="I81" s="75"/>
    </row>
    <row r="82" spans="2:9" x14ac:dyDescent="0.25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75" t="s">
        <v>64</v>
      </c>
      <c r="H82" s="75"/>
      <c r="I82" s="75"/>
    </row>
    <row r="83" spans="2:9" x14ac:dyDescent="0.25">
      <c r="B83" s="10"/>
      <c r="C83" s="10"/>
      <c r="D83" s="10"/>
      <c r="E83" s="10"/>
      <c r="F83" s="10"/>
      <c r="G83" s="74"/>
      <c r="H83" s="74"/>
      <c r="I83" s="74"/>
    </row>
    <row r="84" spans="2:9" x14ac:dyDescent="0.25">
      <c r="B84" s="10"/>
      <c r="C84" s="10"/>
      <c r="D84" s="10"/>
      <c r="E84" s="10"/>
      <c r="F84" s="10"/>
      <c r="G84" s="74"/>
      <c r="H84" s="74"/>
      <c r="I84" s="74"/>
    </row>
    <row r="85" spans="2:9" x14ac:dyDescent="0.25">
      <c r="B85" s="10"/>
      <c r="C85" s="10"/>
      <c r="D85" s="10"/>
      <c r="E85" s="10"/>
      <c r="F85" s="10"/>
      <c r="G85" s="74"/>
      <c r="H85" s="74"/>
      <c r="I85" s="74"/>
    </row>
    <row r="86" spans="2:9" x14ac:dyDescent="0.25">
      <c r="B86" s="10"/>
      <c r="C86" s="10"/>
      <c r="D86" s="10"/>
      <c r="E86" s="10"/>
      <c r="F86" s="10"/>
      <c r="G86" s="74"/>
      <c r="H86" s="74"/>
      <c r="I86" s="74"/>
    </row>
    <row r="87" spans="2:9" x14ac:dyDescent="0.25">
      <c r="B87" s="10"/>
      <c r="C87" s="10"/>
      <c r="D87" s="10"/>
      <c r="E87" s="10"/>
      <c r="F87" s="10"/>
      <c r="G87" s="74"/>
      <c r="H87" s="74"/>
      <c r="I87" s="74"/>
    </row>
    <row r="88" spans="2:9" x14ac:dyDescent="0.25">
      <c r="B88" s="10"/>
      <c r="C88" s="10"/>
      <c r="D88" s="10"/>
      <c r="E88" s="10"/>
      <c r="F88" s="10"/>
      <c r="G88" s="74"/>
      <c r="H88" s="74"/>
      <c r="I88" s="74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 x14ac:dyDescent="0.3">
      <c r="C1" s="12"/>
      <c r="D1" s="12"/>
      <c r="E1" s="12"/>
      <c r="F1" s="12"/>
      <c r="G1" s="12"/>
      <c r="H1" s="12"/>
    </row>
    <row r="2" spans="2:11" ht="22.5" customHeight="1" thickTop="1" x14ac:dyDescent="0.25">
      <c r="B2" s="76"/>
      <c r="C2" s="78" t="s">
        <v>0</v>
      </c>
      <c r="D2" s="78"/>
      <c r="E2" s="78"/>
      <c r="F2" s="78"/>
      <c r="G2" s="78"/>
      <c r="H2" s="78"/>
      <c r="I2" s="6" t="s">
        <v>1</v>
      </c>
    </row>
    <row r="3" spans="2:11" ht="20.25" customHeight="1" x14ac:dyDescent="0.25">
      <c r="B3" s="77"/>
      <c r="C3" s="79"/>
      <c r="D3" s="79"/>
      <c r="E3" s="79"/>
      <c r="F3" s="79"/>
      <c r="G3" s="79"/>
      <c r="H3" s="79"/>
      <c r="I3" s="7" t="s">
        <v>2</v>
      </c>
    </row>
    <row r="4" spans="2:11" ht="21" customHeight="1" thickBot="1" x14ac:dyDescent="0.3">
      <c r="B4" s="80" t="s">
        <v>3</v>
      </c>
      <c r="C4" s="81"/>
      <c r="D4" s="81"/>
      <c r="E4" s="81"/>
      <c r="F4" s="81"/>
      <c r="G4" s="81"/>
      <c r="H4" s="81"/>
      <c r="I4" s="8" t="s">
        <v>4</v>
      </c>
    </row>
    <row r="5" spans="2:11" ht="15.75" thickTop="1" x14ac:dyDescent="0.25">
      <c r="B5" s="85"/>
      <c r="C5" s="85"/>
      <c r="D5" s="85"/>
      <c r="E5" s="85"/>
      <c r="F5" s="85"/>
      <c r="G5" s="85"/>
      <c r="H5" s="85"/>
      <c r="I5" s="85"/>
    </row>
    <row r="6" spans="2:11" x14ac:dyDescent="0.25">
      <c r="B6" s="85" t="s">
        <v>5</v>
      </c>
      <c r="C6" s="85"/>
      <c r="D6" s="85"/>
      <c r="E6" s="85"/>
      <c r="F6" s="85"/>
      <c r="G6" s="85"/>
      <c r="H6" s="85"/>
      <c r="I6" s="85"/>
    </row>
    <row r="7" spans="2:11" ht="60" x14ac:dyDescent="0.2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 x14ac:dyDescent="0.25">
      <c r="B8" s="15" t="s">
        <v>10</v>
      </c>
      <c r="C8" s="16"/>
      <c r="D8" s="3" t="s">
        <v>65</v>
      </c>
      <c r="E8" s="92"/>
      <c r="F8" s="92"/>
      <c r="G8" s="2" t="s">
        <v>12</v>
      </c>
      <c r="H8" s="92"/>
      <c r="I8" s="92"/>
      <c r="K8" s="11" t="s">
        <v>66</v>
      </c>
    </row>
    <row r="9" spans="2:11" ht="30" x14ac:dyDescent="0.25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 x14ac:dyDescent="0.25">
      <c r="B10" s="91" t="s">
        <v>17</v>
      </c>
      <c r="C10" s="75"/>
      <c r="D10" s="75"/>
      <c r="E10" s="75"/>
      <c r="F10" s="75"/>
      <c r="G10" s="75"/>
      <c r="H10" s="75"/>
      <c r="I10" s="75"/>
    </row>
    <row r="11" spans="2:11" x14ac:dyDescent="0.25">
      <c r="B11" s="91" t="s">
        <v>18</v>
      </c>
      <c r="C11" s="91"/>
      <c r="D11" s="85" t="s">
        <v>19</v>
      </c>
      <c r="E11" s="86"/>
      <c r="F11" s="86"/>
      <c r="G11" s="85" t="s">
        <v>20</v>
      </c>
      <c r="H11" s="86"/>
      <c r="I11" s="86"/>
    </row>
    <row r="12" spans="2:11" x14ac:dyDescent="0.25">
      <c r="B12" s="91"/>
      <c r="C12" s="91"/>
      <c r="D12" s="85"/>
      <c r="E12" s="86"/>
      <c r="F12" s="86"/>
      <c r="G12" s="85"/>
      <c r="H12" s="86"/>
      <c r="I12" s="86"/>
    </row>
    <row r="13" spans="2:11" x14ac:dyDescent="0.25">
      <c r="B13" s="75" t="s">
        <v>21</v>
      </c>
      <c r="C13" s="75"/>
      <c r="D13" s="75"/>
      <c r="E13" s="75"/>
      <c r="F13" s="75"/>
      <c r="G13" s="75"/>
      <c r="H13" s="75"/>
      <c r="I13" s="75"/>
    </row>
    <row r="14" spans="2:11" x14ac:dyDescent="0.25">
      <c r="B14" s="3" t="s">
        <v>22</v>
      </c>
      <c r="C14" s="92"/>
      <c r="D14" s="92"/>
      <c r="E14" s="3" t="s">
        <v>23</v>
      </c>
      <c r="F14" s="1"/>
      <c r="G14" s="3" t="s">
        <v>24</v>
      </c>
      <c r="H14" s="92"/>
      <c r="I14" s="92"/>
    </row>
    <row r="15" spans="2:11" x14ac:dyDescent="0.25">
      <c r="B15" s="75" t="s">
        <v>25</v>
      </c>
      <c r="C15" s="75"/>
      <c r="D15" s="75"/>
      <c r="E15" s="75"/>
      <c r="F15" s="75"/>
      <c r="G15" s="75"/>
      <c r="H15" s="75"/>
      <c r="I15" s="75"/>
    </row>
    <row r="16" spans="2:11" x14ac:dyDescent="0.25">
      <c r="B16" s="91" t="s">
        <v>26</v>
      </c>
      <c r="C16" s="91"/>
      <c r="D16" s="86" t="s">
        <v>68</v>
      </c>
      <c r="E16" s="86"/>
      <c r="F16" s="86"/>
      <c r="G16" s="86"/>
      <c r="H16" s="86"/>
      <c r="I16" s="86"/>
    </row>
    <row r="17" spans="2:12" x14ac:dyDescent="0.25">
      <c r="B17" s="91"/>
      <c r="C17" s="91"/>
      <c r="D17" s="86"/>
      <c r="E17" s="86"/>
      <c r="F17" s="86"/>
      <c r="G17" s="86"/>
      <c r="H17" s="86"/>
      <c r="I17" s="86"/>
    </row>
    <row r="18" spans="2:12" x14ac:dyDescent="0.25">
      <c r="B18" s="96" t="s">
        <v>27</v>
      </c>
      <c r="C18" s="97"/>
      <c r="D18" s="98"/>
      <c r="E18" s="98"/>
      <c r="F18" s="98"/>
      <c r="G18" s="98"/>
      <c r="H18" s="98"/>
      <c r="I18" s="98"/>
    </row>
    <row r="19" spans="2:12" x14ac:dyDescent="0.25">
      <c r="B19" s="99" t="s">
        <v>28</v>
      </c>
      <c r="C19" s="99"/>
      <c r="D19" s="98"/>
      <c r="E19" s="98"/>
      <c r="F19" s="98"/>
      <c r="G19" s="98"/>
      <c r="H19" s="98"/>
      <c r="I19" s="98"/>
    </row>
    <row r="20" spans="2:12" x14ac:dyDescent="0.25">
      <c r="B20" s="99"/>
      <c r="C20" s="99"/>
      <c r="D20" s="98"/>
      <c r="E20" s="98"/>
      <c r="F20" s="98"/>
      <c r="G20" s="98"/>
      <c r="H20" s="98"/>
      <c r="I20" s="98"/>
    </row>
    <row r="21" spans="2:12" x14ac:dyDescent="0.25">
      <c r="B21" s="99" t="s">
        <v>29</v>
      </c>
      <c r="C21" s="99"/>
      <c r="D21" s="98" t="s">
        <v>69</v>
      </c>
      <c r="E21" s="98"/>
      <c r="F21" s="98"/>
      <c r="G21" s="98"/>
      <c r="H21" s="98"/>
      <c r="I21" s="98"/>
    </row>
    <row r="22" spans="2:12" x14ac:dyDescent="0.25">
      <c r="B22" s="99"/>
      <c r="C22" s="99"/>
      <c r="D22" s="98"/>
      <c r="E22" s="98"/>
      <c r="F22" s="98"/>
      <c r="G22" s="98"/>
      <c r="H22" s="98"/>
      <c r="I22" s="98"/>
    </row>
    <row r="23" spans="2:12" x14ac:dyDescent="0.25">
      <c r="B23" s="100" t="s">
        <v>30</v>
      </c>
      <c r="C23" s="100"/>
      <c r="D23" s="98" t="s">
        <v>31</v>
      </c>
      <c r="E23" s="98"/>
      <c r="F23" s="98"/>
      <c r="G23" s="98"/>
      <c r="H23" s="98"/>
      <c r="I23" s="98"/>
    </row>
    <row r="24" spans="2:12" x14ac:dyDescent="0.25">
      <c r="B24" s="100"/>
      <c r="C24" s="100"/>
      <c r="D24" s="98" t="s">
        <v>32</v>
      </c>
      <c r="E24" s="98"/>
      <c r="F24" s="98"/>
      <c r="G24" s="98"/>
      <c r="H24" s="98"/>
      <c r="I24" s="98"/>
    </row>
    <row r="25" spans="2:12" x14ac:dyDescent="0.25">
      <c r="B25" s="100"/>
      <c r="C25" s="100"/>
      <c r="D25" s="98" t="s">
        <v>33</v>
      </c>
      <c r="E25" s="98"/>
      <c r="F25" s="98"/>
      <c r="G25" s="98"/>
      <c r="H25" s="98"/>
      <c r="I25" s="98"/>
    </row>
    <row r="26" spans="2:12" x14ac:dyDescent="0.25">
      <c r="B26" s="100"/>
      <c r="C26" s="100"/>
      <c r="D26" s="98" t="s">
        <v>34</v>
      </c>
      <c r="E26" s="98"/>
      <c r="F26" s="98"/>
      <c r="G26" s="98"/>
      <c r="H26" s="98"/>
      <c r="I26" s="98"/>
    </row>
    <row r="27" spans="2:12" ht="99.6" customHeight="1" x14ac:dyDescent="0.25">
      <c r="B27" s="87" t="s">
        <v>70</v>
      </c>
      <c r="C27" s="87"/>
      <c r="D27" s="101" t="s">
        <v>71</v>
      </c>
      <c r="E27" s="102"/>
      <c r="F27" s="103"/>
      <c r="G27" s="93" t="s">
        <v>72</v>
      </c>
      <c r="H27" s="102"/>
      <c r="I27" s="103"/>
      <c r="L27" s="11" t="s">
        <v>73</v>
      </c>
    </row>
    <row r="28" spans="2:12" ht="90.6" customHeight="1" x14ac:dyDescent="0.25">
      <c r="B28" s="87"/>
      <c r="C28" s="87"/>
      <c r="D28" s="104" t="s">
        <v>74</v>
      </c>
      <c r="E28" s="105"/>
      <c r="F28" s="106"/>
      <c r="G28" s="93" t="s">
        <v>75</v>
      </c>
      <c r="H28" s="108"/>
      <c r="I28" s="109"/>
      <c r="L28" s="11" t="s">
        <v>76</v>
      </c>
    </row>
    <row r="29" spans="2:12" ht="75.599999999999994" customHeight="1" x14ac:dyDescent="0.25">
      <c r="B29" s="87"/>
      <c r="C29" s="87"/>
      <c r="D29" s="101" t="s">
        <v>77</v>
      </c>
      <c r="E29" s="102"/>
      <c r="F29" s="103"/>
      <c r="G29" s="93" t="s">
        <v>78</v>
      </c>
      <c r="H29" s="94"/>
      <c r="I29" s="95"/>
      <c r="L29" s="11" t="s">
        <v>79</v>
      </c>
    </row>
    <row r="30" spans="2:12" x14ac:dyDescent="0.25">
      <c r="B30" s="75" t="s">
        <v>46</v>
      </c>
      <c r="C30" s="75"/>
      <c r="D30" s="75"/>
      <c r="E30" s="75"/>
      <c r="F30" s="75"/>
      <c r="G30" s="75"/>
      <c r="H30" s="75"/>
      <c r="I30" s="75"/>
    </row>
    <row r="31" spans="2:12" x14ac:dyDescent="0.25">
      <c r="B31" s="74" t="s">
        <v>47</v>
      </c>
      <c r="C31" s="74"/>
      <c r="D31" s="74"/>
      <c r="E31" s="74"/>
      <c r="F31" s="74"/>
      <c r="G31" s="74"/>
      <c r="H31" s="74"/>
      <c r="I31" s="74"/>
    </row>
    <row r="32" spans="2:12" x14ac:dyDescent="0.25">
      <c r="B32" s="74"/>
      <c r="C32" s="74"/>
      <c r="D32" s="74"/>
      <c r="E32" s="74"/>
      <c r="F32" s="74"/>
      <c r="G32" s="74"/>
      <c r="H32" s="74"/>
      <c r="I32" s="74"/>
    </row>
    <row r="33" spans="2:9" x14ac:dyDescent="0.25">
      <c r="B33" s="74"/>
      <c r="C33" s="74"/>
      <c r="D33" s="74"/>
      <c r="E33" s="74"/>
      <c r="F33" s="74"/>
      <c r="G33" s="74"/>
      <c r="H33" s="74"/>
      <c r="I33" s="74"/>
    </row>
    <row r="34" spans="2:9" x14ac:dyDescent="0.25">
      <c r="B34" s="82" t="s">
        <v>80</v>
      </c>
      <c r="C34" s="82"/>
      <c r="D34" s="82"/>
      <c r="E34" s="82"/>
      <c r="F34" s="107" t="s">
        <v>49</v>
      </c>
      <c r="G34" s="107"/>
      <c r="H34" s="107"/>
      <c r="I34" s="107"/>
    </row>
    <row r="35" spans="2:9" x14ac:dyDescent="0.25">
      <c r="B35" s="82"/>
      <c r="C35" s="82"/>
      <c r="D35" s="82"/>
      <c r="E35" s="82"/>
      <c r="F35" s="107"/>
      <c r="G35" s="107"/>
      <c r="H35" s="107"/>
      <c r="I35" s="107"/>
    </row>
    <row r="36" spans="2:9" x14ac:dyDescent="0.25">
      <c r="B36" s="82"/>
      <c r="C36" s="82"/>
      <c r="D36" s="82"/>
      <c r="E36" s="82"/>
      <c r="F36" s="107"/>
      <c r="G36" s="107"/>
      <c r="H36" s="107"/>
      <c r="I36" s="107"/>
    </row>
    <row r="37" spans="2:9" x14ac:dyDescent="0.25">
      <c r="B37" s="82"/>
      <c r="C37" s="82"/>
      <c r="D37" s="82"/>
      <c r="E37" s="82"/>
      <c r="F37" s="107"/>
      <c r="G37" s="107"/>
      <c r="H37" s="107"/>
      <c r="I37" s="107"/>
    </row>
    <row r="38" spans="2:9" x14ac:dyDescent="0.25">
      <c r="B38" s="82"/>
      <c r="C38" s="82"/>
      <c r="D38" s="82"/>
      <c r="E38" s="82"/>
      <c r="F38" s="107"/>
      <c r="G38" s="107"/>
      <c r="H38" s="107"/>
      <c r="I38" s="107"/>
    </row>
    <row r="39" spans="2:9" x14ac:dyDescent="0.25">
      <c r="B39" s="82"/>
      <c r="C39" s="82"/>
      <c r="D39" s="82"/>
      <c r="E39" s="82"/>
      <c r="F39" s="107"/>
      <c r="G39" s="107"/>
      <c r="H39" s="107"/>
      <c r="I39" s="107"/>
    </row>
    <row r="40" spans="2:9" x14ac:dyDescent="0.25">
      <c r="B40" s="82"/>
      <c r="C40" s="82"/>
      <c r="D40" s="82"/>
      <c r="E40" s="82"/>
      <c r="F40" s="107"/>
      <c r="G40" s="107"/>
      <c r="H40" s="107"/>
      <c r="I40" s="107"/>
    </row>
    <row r="41" spans="2:9" x14ac:dyDescent="0.25">
      <c r="B41" s="82"/>
      <c r="C41" s="82"/>
      <c r="D41" s="82"/>
      <c r="E41" s="82"/>
      <c r="F41" s="107"/>
      <c r="G41" s="107"/>
      <c r="H41" s="107"/>
      <c r="I41" s="107"/>
    </row>
    <row r="42" spans="2:9" x14ac:dyDescent="0.25">
      <c r="B42" s="82"/>
      <c r="C42" s="82"/>
      <c r="D42" s="82"/>
      <c r="E42" s="82"/>
      <c r="F42" s="107"/>
      <c r="G42" s="107"/>
      <c r="H42" s="107"/>
      <c r="I42" s="107"/>
    </row>
    <row r="43" spans="2:9" x14ac:dyDescent="0.25">
      <c r="B43" s="75" t="s">
        <v>50</v>
      </c>
      <c r="C43" s="75"/>
      <c r="D43" s="75"/>
      <c r="E43" s="75"/>
      <c r="F43" s="75"/>
      <c r="G43" s="75"/>
      <c r="H43" s="75"/>
      <c r="I43" s="75"/>
    </row>
    <row r="44" spans="2:9" x14ac:dyDescent="0.25">
      <c r="B44" s="84" t="s">
        <v>81</v>
      </c>
      <c r="C44" s="84"/>
      <c r="D44" s="84"/>
      <c r="E44" s="84"/>
      <c r="F44" s="82" t="s">
        <v>82</v>
      </c>
      <c r="G44" s="82"/>
      <c r="H44" s="82"/>
      <c r="I44" s="82"/>
    </row>
    <row r="45" spans="2:9" x14ac:dyDescent="0.25">
      <c r="B45" s="84"/>
      <c r="C45" s="84"/>
      <c r="D45" s="84"/>
      <c r="E45" s="84"/>
      <c r="F45" s="82"/>
      <c r="G45" s="82"/>
      <c r="H45" s="82"/>
      <c r="I45" s="82"/>
    </row>
    <row r="46" spans="2:9" x14ac:dyDescent="0.25">
      <c r="B46" s="84"/>
      <c r="C46" s="84"/>
      <c r="D46" s="84"/>
      <c r="E46" s="84"/>
      <c r="F46" s="82"/>
      <c r="G46" s="82"/>
      <c r="H46" s="82"/>
      <c r="I46" s="82"/>
    </row>
    <row r="47" spans="2:9" x14ac:dyDescent="0.25">
      <c r="B47" s="84"/>
      <c r="C47" s="84"/>
      <c r="D47" s="84"/>
      <c r="E47" s="84"/>
      <c r="F47" s="82"/>
      <c r="G47" s="82"/>
      <c r="H47" s="82"/>
      <c r="I47" s="82"/>
    </row>
    <row r="48" spans="2:9" x14ac:dyDescent="0.25">
      <c r="B48" s="84"/>
      <c r="C48" s="84"/>
      <c r="D48" s="84"/>
      <c r="E48" s="84"/>
      <c r="F48" s="82"/>
      <c r="G48" s="82"/>
      <c r="H48" s="82"/>
      <c r="I48" s="82"/>
    </row>
    <row r="49" spans="2:9" x14ac:dyDescent="0.25">
      <c r="B49" s="84"/>
      <c r="C49" s="84"/>
      <c r="D49" s="84"/>
      <c r="E49" s="84"/>
      <c r="F49" s="82"/>
      <c r="G49" s="82"/>
      <c r="H49" s="82"/>
      <c r="I49" s="82"/>
    </row>
    <row r="50" spans="2:9" x14ac:dyDescent="0.25">
      <c r="B50" s="84"/>
      <c r="C50" s="84"/>
      <c r="D50" s="84"/>
      <c r="E50" s="84"/>
      <c r="F50" s="82"/>
      <c r="G50" s="82"/>
      <c r="H50" s="82"/>
      <c r="I50" s="82"/>
    </row>
    <row r="51" spans="2:9" x14ac:dyDescent="0.25">
      <c r="B51" s="84"/>
      <c r="C51" s="84"/>
      <c r="D51" s="84"/>
      <c r="E51" s="84"/>
      <c r="F51" s="82"/>
      <c r="G51" s="82"/>
      <c r="H51" s="82"/>
      <c r="I51" s="82"/>
    </row>
    <row r="52" spans="2:9" x14ac:dyDescent="0.25">
      <c r="B52" s="84"/>
      <c r="C52" s="84"/>
      <c r="D52" s="84"/>
      <c r="E52" s="84"/>
      <c r="F52" s="82"/>
      <c r="G52" s="82"/>
      <c r="H52" s="82"/>
      <c r="I52" s="82"/>
    </row>
    <row r="53" spans="2:9" x14ac:dyDescent="0.25">
      <c r="B53" s="84"/>
      <c r="C53" s="84"/>
      <c r="D53" s="84"/>
      <c r="E53" s="84"/>
      <c r="F53" s="82"/>
      <c r="G53" s="82"/>
      <c r="H53" s="82"/>
      <c r="I53" s="82"/>
    </row>
    <row r="54" spans="2:9" x14ac:dyDescent="0.25">
      <c r="B54" s="84"/>
      <c r="C54" s="84"/>
      <c r="D54" s="84"/>
      <c r="E54" s="84"/>
      <c r="F54" s="82"/>
      <c r="G54" s="82"/>
      <c r="H54" s="82"/>
      <c r="I54" s="82"/>
    </row>
    <row r="55" spans="2:9" x14ac:dyDescent="0.25">
      <c r="B55" s="85" t="s">
        <v>83</v>
      </c>
      <c r="C55" s="85"/>
      <c r="D55" s="85"/>
      <c r="E55" s="85"/>
      <c r="F55" s="86" t="s">
        <v>84</v>
      </c>
      <c r="G55" s="86"/>
      <c r="H55" s="85" t="s">
        <v>54</v>
      </c>
      <c r="I55" s="5"/>
    </row>
    <row r="56" spans="2:9" x14ac:dyDescent="0.25">
      <c r="B56" s="85"/>
      <c r="C56" s="85"/>
      <c r="D56" s="85"/>
      <c r="E56" s="85"/>
      <c r="F56" s="86"/>
      <c r="G56" s="86"/>
      <c r="H56" s="85"/>
      <c r="I56" s="5"/>
    </row>
    <row r="57" spans="2:9" x14ac:dyDescent="0.25">
      <c r="B57" s="85"/>
      <c r="C57" s="85"/>
      <c r="D57" s="85"/>
      <c r="E57" s="85"/>
      <c r="F57" s="86"/>
      <c r="G57" s="86"/>
      <c r="H57" s="85"/>
      <c r="I57" s="5"/>
    </row>
    <row r="58" spans="2:9" x14ac:dyDescent="0.25">
      <c r="B58" s="85"/>
      <c r="C58" s="85"/>
      <c r="D58" s="85"/>
      <c r="E58" s="85"/>
      <c r="F58" s="86"/>
      <c r="G58" s="86"/>
      <c r="H58" s="85"/>
      <c r="I58" s="5"/>
    </row>
    <row r="59" spans="2:9" x14ac:dyDescent="0.25">
      <c r="B59" s="85"/>
      <c r="C59" s="85"/>
      <c r="D59" s="85"/>
      <c r="E59" s="85"/>
      <c r="F59" s="86"/>
      <c r="G59" s="86"/>
      <c r="H59" s="85"/>
      <c r="I59" s="5"/>
    </row>
    <row r="60" spans="2:9" x14ac:dyDescent="0.25">
      <c r="B60" s="75" t="s">
        <v>55</v>
      </c>
      <c r="C60" s="75"/>
      <c r="D60" s="75"/>
      <c r="E60" s="75"/>
      <c r="F60" s="75"/>
      <c r="G60" s="75"/>
      <c r="H60" s="75"/>
      <c r="I60" s="75"/>
    </row>
    <row r="61" spans="2:9" x14ac:dyDescent="0.25">
      <c r="B61" s="82" t="s">
        <v>56</v>
      </c>
      <c r="C61" s="82"/>
      <c r="D61" s="82"/>
      <c r="E61" s="82"/>
      <c r="F61" s="82" t="s">
        <v>57</v>
      </c>
      <c r="G61" s="82"/>
      <c r="H61" s="82"/>
      <c r="I61" s="82"/>
    </row>
    <row r="62" spans="2:9" x14ac:dyDescent="0.25">
      <c r="B62" s="82"/>
      <c r="C62" s="82"/>
      <c r="D62" s="82"/>
      <c r="E62" s="82"/>
      <c r="F62" s="82"/>
      <c r="G62" s="82"/>
      <c r="H62" s="82"/>
      <c r="I62" s="82"/>
    </row>
    <row r="63" spans="2:9" x14ac:dyDescent="0.25">
      <c r="B63" s="82"/>
      <c r="C63" s="82"/>
      <c r="D63" s="82"/>
      <c r="E63" s="82"/>
      <c r="F63" s="82"/>
      <c r="G63" s="82"/>
      <c r="H63" s="82"/>
      <c r="I63" s="82"/>
    </row>
    <row r="64" spans="2:9" x14ac:dyDescent="0.25">
      <c r="B64" s="82"/>
      <c r="C64" s="82"/>
      <c r="D64" s="82"/>
      <c r="E64" s="82"/>
      <c r="F64" s="82"/>
      <c r="G64" s="82"/>
      <c r="H64" s="82"/>
      <c r="I64" s="82"/>
    </row>
    <row r="65" spans="2:9" x14ac:dyDescent="0.25">
      <c r="B65" s="82"/>
      <c r="C65" s="82"/>
      <c r="D65" s="82"/>
      <c r="E65" s="82"/>
      <c r="F65" s="82"/>
      <c r="G65" s="82"/>
      <c r="H65" s="82"/>
      <c r="I65" s="82"/>
    </row>
    <row r="66" spans="2:9" x14ac:dyDescent="0.25">
      <c r="B66" s="82"/>
      <c r="C66" s="82"/>
      <c r="D66" s="82"/>
      <c r="E66" s="82"/>
      <c r="F66" s="82"/>
      <c r="G66" s="82"/>
      <c r="H66" s="82"/>
      <c r="I66" s="82"/>
    </row>
    <row r="67" spans="2:9" x14ac:dyDescent="0.25">
      <c r="B67" s="82"/>
      <c r="C67" s="82"/>
      <c r="D67" s="82"/>
      <c r="E67" s="82"/>
      <c r="F67" s="82"/>
      <c r="G67" s="82"/>
      <c r="H67" s="82"/>
      <c r="I67" s="82"/>
    </row>
    <row r="68" spans="2:9" x14ac:dyDescent="0.25">
      <c r="B68" s="82"/>
      <c r="C68" s="82"/>
      <c r="D68" s="82"/>
      <c r="E68" s="82"/>
      <c r="F68" s="82"/>
      <c r="G68" s="82"/>
      <c r="H68" s="82"/>
      <c r="I68" s="82"/>
    </row>
    <row r="69" spans="2:9" x14ac:dyDescent="0.25">
      <c r="B69" s="82"/>
      <c r="C69" s="82"/>
      <c r="D69" s="82"/>
      <c r="E69" s="82"/>
      <c r="F69" s="82"/>
      <c r="G69" s="82"/>
      <c r="H69" s="82"/>
      <c r="I69" s="82"/>
    </row>
    <row r="70" spans="2:9" x14ac:dyDescent="0.25">
      <c r="B70" s="82"/>
      <c r="C70" s="82"/>
      <c r="D70" s="82"/>
      <c r="E70" s="82"/>
      <c r="F70" s="82"/>
      <c r="G70" s="82"/>
      <c r="H70" s="82"/>
      <c r="I70" s="82"/>
    </row>
    <row r="71" spans="2:9" x14ac:dyDescent="0.25">
      <c r="B71" s="82"/>
      <c r="C71" s="82"/>
      <c r="D71" s="82"/>
      <c r="E71" s="82"/>
      <c r="F71" s="82"/>
      <c r="G71" s="82"/>
      <c r="H71" s="82"/>
      <c r="I71" s="82"/>
    </row>
    <row r="72" spans="2:9" x14ac:dyDescent="0.25">
      <c r="B72" s="82"/>
      <c r="C72" s="82"/>
      <c r="D72" s="82"/>
      <c r="E72" s="82"/>
      <c r="F72" s="82"/>
      <c r="G72" s="82"/>
      <c r="H72" s="82"/>
      <c r="I72" s="82"/>
    </row>
    <row r="73" spans="2:9" x14ac:dyDescent="0.25">
      <c r="B73" s="82"/>
      <c r="C73" s="82"/>
      <c r="D73" s="82"/>
      <c r="E73" s="82"/>
      <c r="F73" s="82"/>
      <c r="G73" s="82"/>
      <c r="H73" s="82"/>
      <c r="I73" s="82"/>
    </row>
    <row r="74" spans="2:9" x14ac:dyDescent="0.25">
      <c r="B74" s="82"/>
      <c r="C74" s="82"/>
      <c r="D74" s="82"/>
      <c r="E74" s="82"/>
      <c r="F74" s="82"/>
      <c r="G74" s="82"/>
      <c r="H74" s="82"/>
      <c r="I74" s="82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75" t="s">
        <v>58</v>
      </c>
      <c r="C76" s="75"/>
      <c r="D76" s="75"/>
      <c r="E76" s="75"/>
      <c r="F76" s="75"/>
      <c r="G76" s="75"/>
      <c r="H76" s="75"/>
      <c r="I76" s="75"/>
    </row>
    <row r="77" spans="2:9" x14ac:dyDescent="0.25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75" t="s">
        <v>64</v>
      </c>
      <c r="H77" s="75"/>
      <c r="I77" s="75"/>
    </row>
    <row r="78" spans="2:9" x14ac:dyDescent="0.25">
      <c r="B78" s="10"/>
      <c r="C78" s="10"/>
      <c r="D78" s="10"/>
      <c r="E78" s="10"/>
      <c r="F78" s="10"/>
      <c r="G78" s="74"/>
      <c r="H78" s="74"/>
      <c r="I78" s="74"/>
    </row>
    <row r="79" spans="2:9" x14ac:dyDescent="0.25">
      <c r="B79" s="10"/>
      <c r="C79" s="10"/>
      <c r="D79" s="10"/>
      <c r="E79" s="10"/>
      <c r="F79" s="10"/>
      <c r="G79" s="74"/>
      <c r="H79" s="74"/>
      <c r="I79" s="74"/>
    </row>
    <row r="80" spans="2:9" x14ac:dyDescent="0.25">
      <c r="B80" s="10"/>
      <c r="C80" s="10"/>
      <c r="D80" s="10"/>
      <c r="E80" s="10"/>
      <c r="F80" s="10"/>
      <c r="G80" s="74"/>
      <c r="H80" s="74"/>
      <c r="I80" s="74"/>
    </row>
    <row r="81" spans="2:9" x14ac:dyDescent="0.25">
      <c r="B81" s="10"/>
      <c r="C81" s="10"/>
      <c r="D81" s="10"/>
      <c r="E81" s="10"/>
      <c r="F81" s="10"/>
      <c r="G81" s="74"/>
      <c r="H81" s="74"/>
      <c r="I81" s="74"/>
    </row>
    <row r="82" spans="2:9" x14ac:dyDescent="0.25">
      <c r="B82" s="10"/>
      <c r="C82" s="10"/>
      <c r="D82" s="10"/>
      <c r="E82" s="10"/>
      <c r="F82" s="10"/>
      <c r="G82" s="74"/>
      <c r="H82" s="74"/>
      <c r="I82" s="74"/>
    </row>
    <row r="83" spans="2:9" x14ac:dyDescent="0.25">
      <c r="B83" s="10"/>
      <c r="C83" s="10"/>
      <c r="D83" s="10"/>
      <c r="E83" s="10"/>
      <c r="F83" s="10"/>
      <c r="G83" s="74"/>
      <c r="H83" s="74"/>
      <c r="I83" s="74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A1:R36"/>
  <sheetViews>
    <sheetView topLeftCell="B1" zoomScale="70" zoomScaleNormal="70" workbookViewId="0">
      <pane xSplit="2" ySplit="2" topLeftCell="D3" activePane="bottomRight" state="frozen"/>
      <selection pane="topRight" activeCell="D1" sqref="D1"/>
      <selection pane="bottomLeft" activeCell="B3" sqref="B3"/>
      <selection pane="bottomRight" activeCell="I15" sqref="I15:L15"/>
    </sheetView>
  </sheetViews>
  <sheetFormatPr baseColWidth="10" defaultColWidth="11.42578125" defaultRowHeight="15" x14ac:dyDescent="0.25"/>
  <cols>
    <col min="3" max="3" width="20.42578125" customWidth="1"/>
    <col min="4" max="4" width="32.85546875" customWidth="1"/>
    <col min="5" max="7" width="16.28515625" customWidth="1"/>
    <col min="8" max="8" width="44.140625" customWidth="1"/>
    <col min="9" max="9" width="14.7109375" customWidth="1"/>
    <col min="10" max="16" width="13.140625" customWidth="1"/>
    <col min="17" max="17" width="13.140625" style="63" customWidth="1"/>
    <col min="18" max="18" width="13.140625" customWidth="1"/>
  </cols>
  <sheetData>
    <row r="1" spans="1:18" ht="15.75" thickBot="1" x14ac:dyDescent="0.3"/>
    <row r="2" spans="1:18" ht="50.25" customHeight="1" thickBot="1" x14ac:dyDescent="0.3">
      <c r="H2" s="56" t="s">
        <v>154</v>
      </c>
      <c r="I2" s="56" t="str">
        <f>+I10</f>
        <v>Cadena de Suministro Circular</v>
      </c>
      <c r="J2" s="56" t="str">
        <f t="shared" ref="J2:L2" si="0">+J10</f>
        <v>Logística humanitaria y gestión de crisis</v>
      </c>
      <c r="K2" s="56" t="str">
        <f t="shared" si="0"/>
        <v>Logística inteligente</v>
      </c>
      <c r="L2" s="56" t="str">
        <f t="shared" si="0"/>
        <v>Movilidad y entorno internacional</v>
      </c>
      <c r="M2" s="61"/>
      <c r="N2" s="61"/>
      <c r="O2" s="61"/>
      <c r="P2" s="61"/>
      <c r="Q2" s="64"/>
      <c r="R2" s="61"/>
    </row>
    <row r="3" spans="1:18" ht="50.25" customHeight="1" thickBot="1" x14ac:dyDescent="0.3">
      <c r="H3" s="58" t="str">
        <f>+I3</f>
        <v>Información Extraída</v>
      </c>
      <c r="I3" s="55" t="s">
        <v>85</v>
      </c>
      <c r="J3" s="37" t="s">
        <v>86</v>
      </c>
      <c r="K3" s="37" t="s">
        <v>87</v>
      </c>
      <c r="L3" s="37" t="s">
        <v>88</v>
      </c>
      <c r="M3" s="37"/>
      <c r="N3" s="37"/>
      <c r="O3" s="37"/>
      <c r="P3" s="37"/>
      <c r="Q3" s="60"/>
      <c r="R3" s="54"/>
    </row>
    <row r="4" spans="1:18" ht="17.25" thickBot="1" x14ac:dyDescent="0.3">
      <c r="A4">
        <v>3</v>
      </c>
      <c r="B4">
        <v>1</v>
      </c>
      <c r="C4" s="33" t="s">
        <v>6</v>
      </c>
      <c r="D4" s="40">
        <v>2026</v>
      </c>
      <c r="H4" s="57">
        <f>HLOOKUP(H$2,$I$2:$R$36,A4,0)</f>
        <v>2025</v>
      </c>
      <c r="I4" s="204">
        <v>2024</v>
      </c>
      <c r="J4" s="204">
        <v>2025</v>
      </c>
      <c r="K4" s="204">
        <v>2025</v>
      </c>
      <c r="L4" s="204">
        <v>2025</v>
      </c>
      <c r="M4" s="36"/>
      <c r="N4" s="36"/>
      <c r="O4" s="36"/>
      <c r="P4" s="36"/>
      <c r="Q4" s="59"/>
      <c r="R4" s="36"/>
    </row>
    <row r="5" spans="1:18" ht="30.75" thickBot="1" x14ac:dyDescent="0.3">
      <c r="A5">
        <v>4</v>
      </c>
      <c r="B5">
        <v>2</v>
      </c>
      <c r="C5" s="33" t="s">
        <v>7</v>
      </c>
      <c r="D5" s="40" t="s">
        <v>210</v>
      </c>
      <c r="H5" s="57" t="str">
        <f>HLOOKUP(H$2,$I$2:$R$36,A5,0)</f>
        <v>No especificado</v>
      </c>
      <c r="I5" s="204" t="s">
        <v>90</v>
      </c>
      <c r="J5" s="204" t="s">
        <v>90</v>
      </c>
      <c r="K5" s="204" t="s">
        <v>90</v>
      </c>
      <c r="L5" s="204" t="s">
        <v>90</v>
      </c>
      <c r="M5" s="60"/>
      <c r="N5" s="60"/>
      <c r="O5" s="60"/>
      <c r="P5" s="60"/>
      <c r="Q5" s="60"/>
      <c r="R5" s="60"/>
    </row>
    <row r="6" spans="1:18" ht="17.25" thickBot="1" x14ac:dyDescent="0.3">
      <c r="A6">
        <v>5</v>
      </c>
      <c r="B6">
        <v>3</v>
      </c>
      <c r="C6" s="33" t="s">
        <v>8</v>
      </c>
      <c r="D6" s="40" t="s">
        <v>89</v>
      </c>
      <c r="H6" s="57" t="str">
        <f>HLOOKUP(H$2,$I$2:$R$36,A6,0)</f>
        <v>IEPN0018</v>
      </c>
      <c r="I6" s="209" t="s">
        <v>212</v>
      </c>
      <c r="J6" s="209" t="s">
        <v>214</v>
      </c>
      <c r="K6" s="209" t="s">
        <v>211</v>
      </c>
      <c r="L6" s="209" t="s">
        <v>213</v>
      </c>
      <c r="M6" s="62"/>
      <c r="N6" s="62"/>
      <c r="O6" s="62"/>
      <c r="P6" s="62"/>
      <c r="Q6" s="60"/>
      <c r="R6" s="62"/>
    </row>
    <row r="7" spans="1:18" ht="17.25" thickBot="1" x14ac:dyDescent="0.3">
      <c r="A7">
        <v>6</v>
      </c>
      <c r="B7">
        <v>4</v>
      </c>
      <c r="C7" s="33" t="s">
        <v>9</v>
      </c>
      <c r="D7" s="5" t="str">
        <f>+H7</f>
        <v>Nuclear</v>
      </c>
      <c r="H7" s="57" t="str">
        <f>HLOOKUP(H$2,$I$2:$R$36,A7,0)</f>
        <v>Nuclear</v>
      </c>
      <c r="I7" s="204" t="s">
        <v>91</v>
      </c>
      <c r="J7" s="204" t="s">
        <v>91</v>
      </c>
      <c r="K7" s="204" t="s">
        <v>91</v>
      </c>
      <c r="L7" s="204" t="s">
        <v>91</v>
      </c>
      <c r="M7" s="37"/>
      <c r="N7" s="37"/>
      <c r="O7" s="37"/>
      <c r="P7" s="37"/>
      <c r="Q7" s="60"/>
      <c r="R7" s="37"/>
    </row>
    <row r="8" spans="1:18" ht="17.25" thickBot="1" x14ac:dyDescent="0.3">
      <c r="A8">
        <v>7</v>
      </c>
      <c r="B8">
        <v>5</v>
      </c>
      <c r="C8" s="33" t="s">
        <v>10</v>
      </c>
      <c r="D8" s="5" t="str">
        <f>+H8</f>
        <v>Ingeniería</v>
      </c>
      <c r="H8" s="57" t="str">
        <f>HLOOKUP(H$2,$I$2:$R$36,A8,0)</f>
        <v>Ingeniería</v>
      </c>
      <c r="I8" s="204" t="s">
        <v>149</v>
      </c>
      <c r="J8" s="204" t="s">
        <v>149</v>
      </c>
      <c r="K8" s="204" t="s">
        <v>149</v>
      </c>
      <c r="L8" s="204" t="s">
        <v>149</v>
      </c>
      <c r="M8" s="65"/>
      <c r="N8" s="65"/>
      <c r="O8" s="65"/>
      <c r="P8" s="65"/>
      <c r="Q8" s="65"/>
      <c r="R8" s="65"/>
    </row>
    <row r="9" spans="1:18" ht="90.75" thickBot="1" x14ac:dyDescent="0.3">
      <c r="A9">
        <v>8</v>
      </c>
      <c r="B9">
        <v>6</v>
      </c>
      <c r="C9" s="33" t="s">
        <v>11</v>
      </c>
      <c r="D9" s="5" t="str">
        <f>+H9</f>
        <v>Especialización en Gerencia Logística Global y Digital</v>
      </c>
      <c r="H9" s="57" t="str">
        <f>HLOOKUP(H$2,$I$2:$R$36,A9,0)</f>
        <v>Especialización en Gerencia Logística Global y Digital</v>
      </c>
      <c r="I9" s="204" t="s">
        <v>150</v>
      </c>
      <c r="J9" s="204" t="s">
        <v>150</v>
      </c>
      <c r="K9" s="204" t="s">
        <v>150</v>
      </c>
      <c r="L9" s="204" t="s">
        <v>150</v>
      </c>
      <c r="M9" s="37"/>
      <c r="N9" s="37"/>
      <c r="O9" s="37"/>
      <c r="P9" s="37"/>
      <c r="Q9" s="37"/>
      <c r="R9" s="37"/>
    </row>
    <row r="10" spans="1:18" ht="52.5" customHeight="1" thickBot="1" x14ac:dyDescent="0.3">
      <c r="A10">
        <v>9</v>
      </c>
      <c r="B10">
        <v>7</v>
      </c>
      <c r="C10" s="33" t="s">
        <v>93</v>
      </c>
      <c r="D10" s="49" t="str">
        <f>+H10</f>
        <v>Movilidad y entorno internacional</v>
      </c>
      <c r="H10" s="57" t="str">
        <f>HLOOKUP(H$2,$I$2:$R$36,A10,0)</f>
        <v>Movilidad y entorno internacional</v>
      </c>
      <c r="I10" s="208" t="s">
        <v>151</v>
      </c>
      <c r="J10" s="208" t="s">
        <v>152</v>
      </c>
      <c r="K10" s="208" t="s">
        <v>153</v>
      </c>
      <c r="L10" s="208" t="s">
        <v>154</v>
      </c>
      <c r="M10" s="37"/>
      <c r="N10" s="37"/>
      <c r="O10" s="37"/>
      <c r="P10" s="37"/>
      <c r="Q10" s="60"/>
      <c r="R10" s="54"/>
    </row>
    <row r="11" spans="1:18" ht="17.25" thickBot="1" x14ac:dyDescent="0.3">
      <c r="A11">
        <v>10</v>
      </c>
      <c r="B11">
        <v>8</v>
      </c>
      <c r="C11" s="33" t="s">
        <v>13</v>
      </c>
      <c r="D11" s="5">
        <v>3</v>
      </c>
      <c r="H11" s="57">
        <f>HLOOKUP(H$2,$I$2:$R$36,A11,0)</f>
        <v>3</v>
      </c>
      <c r="I11" s="204">
        <v>3</v>
      </c>
      <c r="J11" s="204">
        <v>3</v>
      </c>
      <c r="K11" s="204">
        <v>3</v>
      </c>
      <c r="L11" s="204">
        <v>3</v>
      </c>
      <c r="M11" s="36"/>
      <c r="N11" s="36"/>
      <c r="O11" s="36"/>
      <c r="P11" s="59"/>
      <c r="Q11" s="59"/>
      <c r="R11" s="36"/>
    </row>
    <row r="12" spans="1:18" ht="17.25" thickBot="1" x14ac:dyDescent="0.3">
      <c r="A12">
        <v>11</v>
      </c>
      <c r="B12">
        <v>9</v>
      </c>
      <c r="C12" s="33" t="s">
        <v>14</v>
      </c>
      <c r="D12" s="5">
        <f t="shared" ref="D12:D19" si="1">+H12</f>
        <v>36</v>
      </c>
      <c r="H12" s="57">
        <f>HLOOKUP(H$2,$I$2:$R$36,A12,0)</f>
        <v>36</v>
      </c>
      <c r="I12" s="204">
        <v>36</v>
      </c>
      <c r="J12" s="204">
        <v>36</v>
      </c>
      <c r="K12" s="204">
        <v>36</v>
      </c>
      <c r="L12" s="204">
        <v>36</v>
      </c>
      <c r="M12" s="36"/>
      <c r="N12" s="36"/>
      <c r="O12" s="36"/>
      <c r="P12" s="59"/>
      <c r="Q12" s="59"/>
      <c r="R12" s="36"/>
    </row>
    <row r="13" spans="1:18" ht="17.25" thickBot="1" x14ac:dyDescent="0.3">
      <c r="A13">
        <v>12</v>
      </c>
      <c r="B13">
        <v>10</v>
      </c>
      <c r="C13" s="33" t="s">
        <v>15</v>
      </c>
      <c r="D13" s="5">
        <f t="shared" si="1"/>
        <v>108</v>
      </c>
      <c r="H13" s="57">
        <f>HLOOKUP(H$2,$I$2:$R$36,A13,0)</f>
        <v>108</v>
      </c>
      <c r="I13" s="204">
        <v>108</v>
      </c>
      <c r="J13" s="204">
        <v>108</v>
      </c>
      <c r="K13" s="204">
        <v>108</v>
      </c>
      <c r="L13" s="204">
        <v>108</v>
      </c>
      <c r="M13" s="36"/>
      <c r="N13" s="36"/>
      <c r="O13" s="36"/>
      <c r="P13" s="59"/>
      <c r="Q13" s="59"/>
      <c r="R13" s="36"/>
    </row>
    <row r="14" spans="1:18" ht="17.25" thickBot="1" x14ac:dyDescent="0.3">
      <c r="A14">
        <v>13</v>
      </c>
      <c r="B14">
        <v>11</v>
      </c>
      <c r="C14" s="33" t="s">
        <v>16</v>
      </c>
      <c r="D14" s="5">
        <f t="shared" si="1"/>
        <v>144</v>
      </c>
      <c r="H14" s="57">
        <f>HLOOKUP(H$2,$I$2:$R$36,A14,0)</f>
        <v>144</v>
      </c>
      <c r="I14" s="204">
        <v>144</v>
      </c>
      <c r="J14" s="204">
        <v>144</v>
      </c>
      <c r="K14" s="204">
        <v>144</v>
      </c>
      <c r="L14" s="204">
        <v>144</v>
      </c>
      <c r="M14" s="36"/>
      <c r="N14" s="36"/>
      <c r="O14" s="36"/>
      <c r="P14" s="59"/>
      <c r="Q14" s="59"/>
      <c r="R14" s="36"/>
    </row>
    <row r="15" spans="1:18" ht="17.25" thickBot="1" x14ac:dyDescent="0.3">
      <c r="A15">
        <v>14</v>
      </c>
      <c r="B15">
        <v>12</v>
      </c>
      <c r="C15" s="33" t="s">
        <v>94</v>
      </c>
      <c r="D15" s="5" t="str">
        <f t="shared" si="1"/>
        <v>Presencial</v>
      </c>
      <c r="E15" s="45" t="str">
        <f>IF(D15="Presencial","SI","")</f>
        <v>SI</v>
      </c>
      <c r="F15" s="45" t="str">
        <f>IF(D15="Virtual","SI","")</f>
        <v/>
      </c>
      <c r="H15" s="57" t="str">
        <f>HLOOKUP(H$2,$I$2:$R$36,A15,0)</f>
        <v>Presencial</v>
      </c>
      <c r="I15" s="204" t="s">
        <v>19</v>
      </c>
      <c r="J15" s="204" t="s">
        <v>19</v>
      </c>
      <c r="K15" s="204" t="s">
        <v>19</v>
      </c>
      <c r="L15" s="204" t="s">
        <v>19</v>
      </c>
      <c r="M15" s="37"/>
      <c r="N15" s="37"/>
      <c r="O15" s="37"/>
      <c r="P15" s="37"/>
      <c r="Q15" s="60"/>
      <c r="R15" s="37"/>
    </row>
    <row r="16" spans="1:18" ht="90.75" thickBot="1" x14ac:dyDescent="0.3">
      <c r="A16">
        <v>15</v>
      </c>
      <c r="B16">
        <v>13</v>
      </c>
      <c r="C16" s="33" t="s">
        <v>95</v>
      </c>
      <c r="D16" s="5" t="str">
        <f t="shared" si="1"/>
        <v>Casos, aprendizaje experiencial, problemas, investigación</v>
      </c>
      <c r="H16" s="57" t="str">
        <f>HLOOKUP(H$2,$I$2:$R$36,A16,0)</f>
        <v>Casos, aprendizaje experiencial, problemas, investigación</v>
      </c>
      <c r="I16" s="204" t="s">
        <v>155</v>
      </c>
      <c r="J16" s="204" t="s">
        <v>156</v>
      </c>
      <c r="K16" s="204" t="s">
        <v>157</v>
      </c>
      <c r="L16" s="204" t="s">
        <v>158</v>
      </c>
      <c r="M16" s="37"/>
      <c r="N16" s="37"/>
      <c r="O16" s="37"/>
      <c r="P16" s="37"/>
      <c r="Q16" s="60"/>
      <c r="R16" s="37"/>
    </row>
    <row r="17" spans="1:18" ht="110.25" customHeight="1" thickBot="1" x14ac:dyDescent="0.3">
      <c r="A17">
        <v>16</v>
      </c>
      <c r="B17">
        <v>14</v>
      </c>
      <c r="C17" s="33" t="s">
        <v>26</v>
      </c>
      <c r="D17" s="5" t="str">
        <f t="shared" si="1"/>
        <v>Diseño de estrategias de movilidad y transporte en entornos nacionales e internacionales</v>
      </c>
      <c r="H17" s="66" t="str">
        <f>HLOOKUP(H$2,$I$2:$R$36,A17,0)</f>
        <v>Diseño de estrategias de movilidad y transporte en entornos nacionales e internacionales</v>
      </c>
      <c r="I17" s="204" t="s">
        <v>159</v>
      </c>
      <c r="J17" s="204" t="s">
        <v>160</v>
      </c>
      <c r="K17" s="204" t="s">
        <v>161</v>
      </c>
      <c r="L17" s="204" t="s">
        <v>162</v>
      </c>
      <c r="M17" s="68"/>
      <c r="N17" s="68"/>
      <c r="O17" s="68"/>
      <c r="P17" s="68"/>
      <c r="Q17" s="70"/>
      <c r="R17" s="67"/>
    </row>
    <row r="18" spans="1:18" ht="90.75" thickBot="1" x14ac:dyDescent="0.3">
      <c r="A18">
        <v>17</v>
      </c>
      <c r="B18">
        <v>15</v>
      </c>
      <c r="C18" s="33" t="s">
        <v>27</v>
      </c>
      <c r="D18" s="5" t="str">
        <f t="shared" si="1"/>
        <v>Diseña estrategias aplicadas a sistemas de transporte</v>
      </c>
      <c r="H18" s="57" t="str">
        <f>HLOOKUP(H$2,$I$2:$R$36,A18,0)</f>
        <v>Diseña estrategias aplicadas a sistemas de transporte</v>
      </c>
      <c r="I18" s="204" t="s">
        <v>163</v>
      </c>
      <c r="J18" s="204" t="s">
        <v>164</v>
      </c>
      <c r="K18" s="204" t="s">
        <v>165</v>
      </c>
      <c r="L18" s="204" t="s">
        <v>166</v>
      </c>
      <c r="M18" s="37"/>
      <c r="N18" s="37"/>
      <c r="O18" s="37"/>
      <c r="P18" s="37"/>
      <c r="Q18" s="60"/>
      <c r="R18" s="37"/>
    </row>
    <row r="19" spans="1:18" ht="60.75" thickBot="1" x14ac:dyDescent="0.3">
      <c r="A19">
        <v>18</v>
      </c>
      <c r="B19">
        <v>16</v>
      </c>
      <c r="C19" s="33" t="s">
        <v>96</v>
      </c>
      <c r="D19" s="5" t="str">
        <f t="shared" si="1"/>
        <v>Diseño de propuestas en movilidad y transporte</v>
      </c>
      <c r="H19" s="57" t="str">
        <f>HLOOKUP(H$2,$I$2:$R$36,A19,0)</f>
        <v>Diseño de propuestas en movilidad y transporte</v>
      </c>
      <c r="I19" s="204" t="s">
        <v>167</v>
      </c>
      <c r="J19" s="204" t="s">
        <v>168</v>
      </c>
      <c r="K19" s="204" t="s">
        <v>169</v>
      </c>
      <c r="L19" s="204" t="s">
        <v>170</v>
      </c>
      <c r="M19" s="37"/>
      <c r="N19" s="37"/>
      <c r="O19" s="37"/>
      <c r="P19" s="37"/>
      <c r="Q19" s="60"/>
      <c r="R19" s="37"/>
    </row>
    <row r="20" spans="1:18" ht="90.75" thickBot="1" x14ac:dyDescent="0.3">
      <c r="A20">
        <v>19</v>
      </c>
      <c r="B20">
        <v>17</v>
      </c>
      <c r="C20" s="33" t="s">
        <v>97</v>
      </c>
      <c r="D20" s="5"/>
      <c r="H20" s="57" t="str">
        <f>HLOOKUP(H$2,$I$2:$R$36,A20,0)</f>
        <v>Propone estrategias de valor agregado en movilidad</v>
      </c>
      <c r="I20" s="204" t="s">
        <v>171</v>
      </c>
      <c r="J20" s="204" t="s">
        <v>172</v>
      </c>
      <c r="K20" s="204" t="s">
        <v>173</v>
      </c>
      <c r="L20" s="204" t="s">
        <v>174</v>
      </c>
      <c r="M20" s="37"/>
      <c r="N20" s="37"/>
      <c r="O20" s="37"/>
      <c r="P20" s="37"/>
      <c r="Q20" s="60"/>
      <c r="R20" s="37"/>
    </row>
    <row r="21" spans="1:18" ht="60.75" thickBot="1" x14ac:dyDescent="0.3">
      <c r="A21">
        <v>20</v>
      </c>
      <c r="B21">
        <v>18</v>
      </c>
      <c r="C21" s="33" t="s">
        <v>98</v>
      </c>
      <c r="D21" s="5"/>
      <c r="H21" s="57" t="str">
        <f>HLOOKUP(H$2,$I$2:$R$36,A21,0)</f>
        <v>Evaluaciones y proyecto final</v>
      </c>
      <c r="I21" s="204" t="s">
        <v>175</v>
      </c>
      <c r="J21" s="204" t="s">
        <v>176</v>
      </c>
      <c r="K21" s="204" t="s">
        <v>177</v>
      </c>
      <c r="L21" s="204" t="s">
        <v>178</v>
      </c>
      <c r="M21" s="37"/>
      <c r="N21" s="37"/>
      <c r="O21" s="37"/>
      <c r="P21" s="37"/>
      <c r="Q21" s="37"/>
      <c r="R21" s="37"/>
    </row>
    <row r="22" spans="1:18" ht="45.75" thickBot="1" x14ac:dyDescent="0.3">
      <c r="A22">
        <v>21</v>
      </c>
      <c r="B22">
        <v>19</v>
      </c>
      <c r="C22" s="33" t="s">
        <v>99</v>
      </c>
      <c r="D22" s="5"/>
      <c r="H22" s="57" t="str">
        <f>HLOOKUP(H$2,$I$2:$R$36,A22,0)</f>
        <v>EM, SH, IN, CO, SO, AU, SE, COL, DI</v>
      </c>
      <c r="I22" s="204" t="s">
        <v>179</v>
      </c>
      <c r="J22" s="204" t="s">
        <v>180</v>
      </c>
      <c r="K22" s="204" t="s">
        <v>180</v>
      </c>
      <c r="L22" s="204" t="s">
        <v>180</v>
      </c>
      <c r="M22" s="37"/>
      <c r="N22" s="37"/>
      <c r="O22" s="37"/>
      <c r="P22" s="37"/>
      <c r="Q22" s="60"/>
      <c r="R22" s="37"/>
    </row>
    <row r="23" spans="1:18" ht="112.5" customHeight="1" thickBot="1" x14ac:dyDescent="0.3">
      <c r="A23">
        <v>22</v>
      </c>
      <c r="B23">
        <v>20</v>
      </c>
      <c r="C23" s="53" t="s">
        <v>100</v>
      </c>
      <c r="D23" s="5" t="s">
        <v>101</v>
      </c>
      <c r="E23" s="34" t="str">
        <f>IF(D23="4.5 Semanas",H23,"")</f>
        <v>Movilidad, transporte, logística urbana, entorno internacional, Incoterms</v>
      </c>
      <c r="F23" s="34" t="str">
        <f>IF(D23="9 Semanas",H23,"")</f>
        <v/>
      </c>
      <c r="G23" s="34" t="str">
        <f>IF(D23="18 Semanas",H23,"")</f>
        <v/>
      </c>
      <c r="H23" s="57" t="str">
        <f>HLOOKUP(H$2,$I$2:$R$36,A23,0)</f>
        <v>Movilidad, transporte, logística urbana, entorno internacional, Incoterms</v>
      </c>
      <c r="I23" s="204" t="s">
        <v>181</v>
      </c>
      <c r="J23" s="204" t="s">
        <v>182</v>
      </c>
      <c r="K23" s="204" t="s">
        <v>183</v>
      </c>
      <c r="L23" s="204" t="s">
        <v>184</v>
      </c>
      <c r="M23" s="71"/>
      <c r="N23" s="71"/>
      <c r="O23" s="71"/>
      <c r="P23" s="71"/>
      <c r="Q23" s="72"/>
      <c r="R23" s="73"/>
    </row>
    <row r="24" spans="1:18" ht="75.75" thickBot="1" x14ac:dyDescent="0.3">
      <c r="A24">
        <v>23</v>
      </c>
      <c r="B24">
        <v>21</v>
      </c>
      <c r="C24" s="33" t="s">
        <v>102</v>
      </c>
      <c r="D24" s="5"/>
      <c r="H24" s="57" t="str">
        <f>HLOOKUP(H$2,$I$2:$R$36,A24,0)</f>
        <v>Estudios de caso, talleres, análisis estratégico</v>
      </c>
      <c r="I24" s="204" t="s">
        <v>185</v>
      </c>
      <c r="J24" s="204" t="s">
        <v>186</v>
      </c>
      <c r="K24" s="204" t="s">
        <v>187</v>
      </c>
      <c r="L24" s="204" t="s">
        <v>188</v>
      </c>
      <c r="M24" s="37"/>
      <c r="N24" s="37"/>
      <c r="O24" s="37"/>
      <c r="P24" s="37"/>
      <c r="Q24" s="60"/>
      <c r="R24" s="37"/>
    </row>
    <row r="25" spans="1:18" ht="45.75" thickBot="1" x14ac:dyDescent="0.3">
      <c r="A25">
        <v>24</v>
      </c>
      <c r="B25">
        <v>22</v>
      </c>
      <c r="C25" s="33" t="s">
        <v>103</v>
      </c>
      <c r="D25" s="5" t="str">
        <f t="shared" ref="D25:D34" si="2">+H25</f>
        <v>Evaluaciones + Proyecto final</v>
      </c>
      <c r="H25" s="57" t="str">
        <f>HLOOKUP(H$2,$I$2:$R$36,A25,0)</f>
        <v>Evaluaciones + Proyecto final</v>
      </c>
      <c r="I25" s="204" t="s">
        <v>189</v>
      </c>
      <c r="J25" s="204" t="s">
        <v>190</v>
      </c>
      <c r="K25" s="204" t="s">
        <v>191</v>
      </c>
      <c r="L25" s="204" t="s">
        <v>192</v>
      </c>
      <c r="M25" s="37"/>
      <c r="N25" s="37"/>
      <c r="O25" s="37"/>
      <c r="P25" s="37"/>
      <c r="Q25" s="60"/>
      <c r="R25" s="37"/>
    </row>
    <row r="26" spans="1:18" ht="60.75" thickBot="1" x14ac:dyDescent="0.3">
      <c r="A26">
        <v>25</v>
      </c>
      <c r="B26">
        <v>23</v>
      </c>
      <c r="C26" s="33" t="s">
        <v>52</v>
      </c>
      <c r="D26" s="5" t="str">
        <f t="shared" si="2"/>
        <v>Excel, LMS</v>
      </c>
      <c r="H26" s="57" t="str">
        <f>HLOOKUP(H$2,$I$2:$R$36,A26,0)</f>
        <v>Excel, LMS</v>
      </c>
      <c r="I26" s="204" t="s">
        <v>193</v>
      </c>
      <c r="J26" s="204" t="s">
        <v>194</v>
      </c>
      <c r="K26" s="204" t="s">
        <v>195</v>
      </c>
      <c r="L26" s="204" t="s">
        <v>194</v>
      </c>
      <c r="M26" s="37"/>
      <c r="N26" s="37"/>
      <c r="O26" s="37"/>
      <c r="P26" s="37"/>
      <c r="Q26" s="60"/>
      <c r="R26" s="37"/>
    </row>
    <row r="27" spans="1:18" ht="17.25" thickBot="1" x14ac:dyDescent="0.3">
      <c r="A27">
        <v>26</v>
      </c>
      <c r="B27">
        <v>24</v>
      </c>
      <c r="C27" s="33" t="s">
        <v>104</v>
      </c>
      <c r="D27" s="5" t="str">
        <f t="shared" si="2"/>
        <v>Inglés</v>
      </c>
      <c r="H27" s="57" t="str">
        <f>HLOOKUP(H$2,$I$2:$R$36,A27,0)</f>
        <v>Inglés</v>
      </c>
      <c r="I27" s="204" t="s">
        <v>84</v>
      </c>
      <c r="J27" s="204" t="s">
        <v>84</v>
      </c>
      <c r="K27" s="204" t="s">
        <v>84</v>
      </c>
      <c r="L27" s="204" t="s">
        <v>84</v>
      </c>
      <c r="M27" s="37"/>
      <c r="N27" s="37"/>
      <c r="O27" s="37"/>
      <c r="P27" s="37"/>
      <c r="Q27" s="37"/>
      <c r="R27" s="37"/>
    </row>
    <row r="28" spans="1:18" ht="17.25" thickBot="1" x14ac:dyDescent="0.3">
      <c r="A28">
        <v>27</v>
      </c>
      <c r="B28">
        <v>25</v>
      </c>
      <c r="C28" s="33" t="s">
        <v>54</v>
      </c>
      <c r="D28" s="42">
        <f t="shared" si="2"/>
        <v>0.1</v>
      </c>
      <c r="H28" s="57">
        <f>HLOOKUP(H$2,$I$2:$R$36,A28,0)</f>
        <v>0.1</v>
      </c>
      <c r="I28" s="205">
        <v>0.5</v>
      </c>
      <c r="J28" s="205">
        <v>0.2</v>
      </c>
      <c r="K28" s="205">
        <v>0.1</v>
      </c>
      <c r="L28" s="205">
        <v>0.1</v>
      </c>
      <c r="M28" s="38"/>
      <c r="N28" s="38"/>
      <c r="O28" s="38"/>
      <c r="P28" s="38"/>
      <c r="Q28" s="60"/>
      <c r="R28" s="38"/>
    </row>
    <row r="29" spans="1:18" ht="57" customHeight="1" thickBot="1" x14ac:dyDescent="0.3">
      <c r="A29">
        <v>28</v>
      </c>
      <c r="B29">
        <v>26</v>
      </c>
      <c r="C29" s="33" t="s">
        <v>56</v>
      </c>
      <c r="D29" s="46" t="str">
        <f t="shared" si="2"/>
        <v>Eslava (2019), Langley (2021), Quintanilla (2019)</v>
      </c>
      <c r="E29" s="47" t="str">
        <f>CONCATENATE("Bibliografía Obligatoria",": ",D29)</f>
        <v>Bibliografía Obligatoria: Eslava (2019), Langley (2021), Quintanilla (2019)</v>
      </c>
      <c r="H29" s="57" t="str">
        <f>HLOOKUP(H$2,$I$2:$R$36,A29,0)</f>
        <v>Eslava (2019), Langley (2021), Quintanilla (2019)</v>
      </c>
      <c r="I29" s="204" t="s">
        <v>196</v>
      </c>
      <c r="J29" s="204" t="s">
        <v>197</v>
      </c>
      <c r="K29" s="204" t="s">
        <v>198</v>
      </c>
      <c r="L29" s="204" t="s">
        <v>199</v>
      </c>
      <c r="M29" s="69"/>
      <c r="N29" s="69"/>
      <c r="O29" s="69"/>
      <c r="P29" s="69"/>
      <c r="Q29" s="60"/>
      <c r="R29" s="54"/>
    </row>
    <row r="30" spans="1:18" ht="56.25" customHeight="1" thickBot="1" x14ac:dyDescent="0.3">
      <c r="A30">
        <v>29</v>
      </c>
      <c r="B30">
        <v>27</v>
      </c>
      <c r="C30" s="33" t="s">
        <v>57</v>
      </c>
      <c r="D30" s="46" t="str">
        <f t="shared" si="2"/>
        <v>Costos logísticos, Incoterms</v>
      </c>
      <c r="E30" s="47" t="str">
        <f>CONCATENATE("Bibliografía Complementaria",": ",D30)</f>
        <v>Bibliografía Complementaria: Costos logísticos, Incoterms</v>
      </c>
      <c r="H30" s="57" t="str">
        <f>HLOOKUP(H$2,$I$2:$R$36,A30,0)</f>
        <v>Costos logísticos, Incoterms</v>
      </c>
      <c r="I30" s="204" t="s">
        <v>200</v>
      </c>
      <c r="J30" s="204" t="s">
        <v>201</v>
      </c>
      <c r="K30" s="204" t="s">
        <v>202</v>
      </c>
      <c r="L30" s="204" t="s">
        <v>203</v>
      </c>
      <c r="M30" s="69"/>
      <c r="N30" s="69"/>
      <c r="O30" s="69"/>
      <c r="P30" s="69"/>
      <c r="Q30" s="60"/>
      <c r="R30" s="54"/>
    </row>
    <row r="31" spans="1:18" ht="17.25" thickBot="1" x14ac:dyDescent="0.3">
      <c r="A31">
        <v>30</v>
      </c>
      <c r="B31">
        <v>28</v>
      </c>
      <c r="C31" s="33" t="s">
        <v>105</v>
      </c>
      <c r="D31" s="5">
        <f>+H31</f>
        <v>1</v>
      </c>
      <c r="H31" s="57">
        <f>HLOOKUP(H$2,$I$2:$R$36,A31,0)</f>
        <v>1</v>
      </c>
      <c r="I31" s="204">
        <v>1</v>
      </c>
      <c r="J31" s="204">
        <v>1</v>
      </c>
      <c r="K31" s="204">
        <v>1</v>
      </c>
      <c r="L31" s="204">
        <v>1</v>
      </c>
      <c r="M31" s="37"/>
      <c r="N31" s="37"/>
      <c r="O31" s="36"/>
      <c r="P31" s="37"/>
      <c r="Q31" s="60"/>
      <c r="R31" s="37"/>
    </row>
    <row r="32" spans="1:18" ht="17.25" thickBot="1" x14ac:dyDescent="0.3">
      <c r="A32">
        <v>31</v>
      </c>
      <c r="B32">
        <v>29</v>
      </c>
      <c r="C32" s="33" t="s">
        <v>60</v>
      </c>
      <c r="D32" s="44">
        <f t="shared" si="2"/>
        <v>45677</v>
      </c>
      <c r="H32" s="57">
        <f>HLOOKUP(H$2,$I$2:$R$36,A32,0)</f>
        <v>45677</v>
      </c>
      <c r="I32" s="206">
        <v>45536</v>
      </c>
      <c r="J32" s="207">
        <v>45677</v>
      </c>
      <c r="K32" s="207">
        <v>45194</v>
      </c>
      <c r="L32" s="207">
        <v>45677</v>
      </c>
      <c r="M32" s="39"/>
      <c r="N32" s="39"/>
      <c r="O32" s="39"/>
      <c r="P32" s="39"/>
      <c r="Q32" s="39"/>
      <c r="R32" s="39"/>
    </row>
    <row r="33" spans="1:18" ht="45.75" thickBot="1" x14ac:dyDescent="0.3">
      <c r="A33">
        <v>32</v>
      </c>
      <c r="B33">
        <v>30</v>
      </c>
      <c r="C33" s="33" t="s">
        <v>106</v>
      </c>
      <c r="D33" s="5" t="str">
        <f t="shared" si="2"/>
        <v>José Divitt Velosa</v>
      </c>
      <c r="H33" s="57" t="str">
        <f>HLOOKUP(H$2,$I$2:$R$36,A33,0)</f>
        <v>José Divitt Velosa</v>
      </c>
      <c r="I33" s="204" t="s">
        <v>204</v>
      </c>
      <c r="J33" s="204" t="s">
        <v>205</v>
      </c>
      <c r="K33" s="204" t="s">
        <v>205</v>
      </c>
      <c r="L33" s="204" t="s">
        <v>205</v>
      </c>
      <c r="M33" s="37"/>
      <c r="N33" s="37"/>
      <c r="O33" s="37"/>
      <c r="P33" s="37"/>
      <c r="Q33" s="37"/>
      <c r="R33" s="37"/>
    </row>
    <row r="34" spans="1:18" ht="30.75" thickBot="1" x14ac:dyDescent="0.3">
      <c r="A34">
        <v>33</v>
      </c>
      <c r="B34">
        <v>31</v>
      </c>
      <c r="C34" s="33" t="s">
        <v>62</v>
      </c>
      <c r="D34" s="5" t="str">
        <f t="shared" si="2"/>
        <v>José Divitt Velosa</v>
      </c>
      <c r="H34" s="57" t="str">
        <f>HLOOKUP(H$2,$I$2:$R$36,A34,0)</f>
        <v>José Divitt Velosa</v>
      </c>
      <c r="I34" s="204" t="s">
        <v>108</v>
      </c>
      <c r="J34" s="204" t="s">
        <v>205</v>
      </c>
      <c r="K34" s="204" t="s">
        <v>205</v>
      </c>
      <c r="L34" s="204" t="s">
        <v>205</v>
      </c>
      <c r="M34" s="37"/>
      <c r="N34" s="37"/>
      <c r="O34" s="37"/>
      <c r="P34" s="37"/>
      <c r="Q34" s="37"/>
      <c r="R34" s="37"/>
    </row>
    <row r="35" spans="1:18" ht="30.75" thickBot="1" x14ac:dyDescent="0.3">
      <c r="A35">
        <v>34</v>
      </c>
      <c r="B35">
        <v>32</v>
      </c>
      <c r="C35" s="33" t="s">
        <v>63</v>
      </c>
      <c r="D35" s="34" t="s">
        <v>107</v>
      </c>
      <c r="H35" s="57" t="str">
        <f>HLOOKUP(H$2,$I$2:$R$36,A35,0)</f>
        <v>Jeffrey Leon</v>
      </c>
      <c r="I35" s="204" t="s">
        <v>108</v>
      </c>
      <c r="J35" s="204" t="s">
        <v>206</v>
      </c>
      <c r="K35" s="204" t="s">
        <v>207</v>
      </c>
      <c r="L35" s="204" t="s">
        <v>206</v>
      </c>
      <c r="M35" s="37"/>
      <c r="N35" s="37"/>
      <c r="O35" s="37"/>
      <c r="P35" s="37"/>
      <c r="Q35" s="37"/>
      <c r="R35" s="37"/>
    </row>
    <row r="36" spans="1:18" ht="45.75" thickBot="1" x14ac:dyDescent="0.3">
      <c r="A36">
        <v>35</v>
      </c>
      <c r="B36">
        <v>33</v>
      </c>
      <c r="C36" s="33" t="s">
        <v>64</v>
      </c>
      <c r="D36" s="5" t="str">
        <f>+H36</f>
        <v>Actualización contenido y bibliografía</v>
      </c>
      <c r="H36" s="57" t="str">
        <f>HLOOKUP(H$2,$I$2:$R$36,A36,0)</f>
        <v>Actualización contenido y bibliografía</v>
      </c>
      <c r="I36" s="204" t="s">
        <v>208</v>
      </c>
      <c r="J36" s="204" t="s">
        <v>208</v>
      </c>
      <c r="K36" s="204" t="s">
        <v>209</v>
      </c>
      <c r="L36" s="204" t="s">
        <v>208</v>
      </c>
      <c r="M36" s="35"/>
      <c r="N36" s="35"/>
      <c r="O36" s="37"/>
      <c r="P36" s="35"/>
      <c r="Q36" s="35"/>
      <c r="R36" s="35"/>
    </row>
  </sheetData>
  <phoneticPr fontId="13" type="noConversion"/>
  <dataValidations count="1">
    <dataValidation type="list" allowBlank="1" showInputMessage="1" showErrorMessage="1" sqref="H2" xr:uid="{6B51C7FD-8EC8-4D10-B20E-1260E0B663BC}">
      <formula1>$I$2:$R$2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B12" sqref="B12:C12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76"/>
      <c r="C2" s="78" t="s">
        <v>0</v>
      </c>
      <c r="D2" s="78"/>
      <c r="E2" s="78"/>
      <c r="F2" s="78"/>
      <c r="G2" s="78"/>
      <c r="H2" s="78"/>
      <c r="I2" s="6" t="s">
        <v>109</v>
      </c>
    </row>
    <row r="3" spans="2:9" ht="20.25" customHeight="1" x14ac:dyDescent="0.25">
      <c r="B3" s="77"/>
      <c r="C3" s="79"/>
      <c r="D3" s="79"/>
      <c r="E3" s="79"/>
      <c r="F3" s="79"/>
      <c r="G3" s="79"/>
      <c r="H3" s="79"/>
      <c r="I3" s="7" t="s">
        <v>2</v>
      </c>
    </row>
    <row r="4" spans="2:9" ht="21" customHeight="1" thickBot="1" x14ac:dyDescent="0.3">
      <c r="B4" s="80" t="s">
        <v>3</v>
      </c>
      <c r="C4" s="81"/>
      <c r="D4" s="81"/>
      <c r="E4" s="81"/>
      <c r="F4" s="81"/>
      <c r="G4" s="81"/>
      <c r="H4" s="81"/>
      <c r="I4" s="8" t="s">
        <v>110</v>
      </c>
    </row>
    <row r="5" spans="2:9" ht="16.5" thickTop="1" thickBot="1" x14ac:dyDescent="0.3">
      <c r="B5" s="200"/>
      <c r="C5" s="200"/>
      <c r="D5" s="200"/>
      <c r="E5" s="200"/>
      <c r="F5" s="200"/>
      <c r="G5" s="200"/>
      <c r="H5" s="200"/>
      <c r="I5" s="200"/>
    </row>
    <row r="6" spans="2:9" x14ac:dyDescent="0.25">
      <c r="B6" s="201" t="s">
        <v>5</v>
      </c>
      <c r="C6" s="202"/>
      <c r="D6" s="202"/>
      <c r="E6" s="202"/>
      <c r="F6" s="202"/>
      <c r="G6" s="202"/>
      <c r="H6" s="202"/>
      <c r="I6" s="203"/>
    </row>
    <row r="7" spans="2:9" ht="60" x14ac:dyDescent="0.25">
      <c r="B7" s="26" t="s">
        <v>6</v>
      </c>
      <c r="C7" s="1">
        <f>+Hoja1!D4</f>
        <v>2026</v>
      </c>
      <c r="D7" s="2" t="s">
        <v>7</v>
      </c>
      <c r="E7" s="48" t="str">
        <f>+Hoja1!D5</f>
        <v>ESPGLOBOG005</v>
      </c>
      <c r="F7" s="2" t="s">
        <v>8</v>
      </c>
      <c r="G7" s="41" t="str">
        <f>+Hoja1!D6</f>
        <v>IFVN0001+</v>
      </c>
      <c r="H7" s="2" t="s">
        <v>9</v>
      </c>
      <c r="I7" s="27" t="str">
        <f>+Hoja1!D7</f>
        <v>Nuclear</v>
      </c>
    </row>
    <row r="8" spans="2:9" ht="30" x14ac:dyDescent="0.25">
      <c r="B8" s="26" t="s">
        <v>111</v>
      </c>
      <c r="C8" s="3" t="s">
        <v>19</v>
      </c>
      <c r="D8" s="2" t="str">
        <f>+Hoja1!E15</f>
        <v>SI</v>
      </c>
      <c r="E8" s="3" t="s">
        <v>20</v>
      </c>
      <c r="F8" s="2" t="str">
        <f>+Hoja1!F15</f>
        <v/>
      </c>
      <c r="G8" s="2" t="s">
        <v>112</v>
      </c>
      <c r="H8" s="198"/>
      <c r="I8" s="199"/>
    </row>
    <row r="9" spans="2:9" ht="45" x14ac:dyDescent="0.25">
      <c r="B9" s="28" t="s">
        <v>113</v>
      </c>
      <c r="C9" s="25" t="s">
        <v>114</v>
      </c>
      <c r="D9" s="3" t="s">
        <v>65</v>
      </c>
      <c r="E9" s="196" t="str">
        <f>+Hoja1!D9</f>
        <v>Especialización en Gerencia Logística Global y Digital</v>
      </c>
      <c r="F9" s="196"/>
      <c r="G9" s="2" t="s">
        <v>12</v>
      </c>
      <c r="H9" s="196" t="str">
        <f>+Hoja1!D10</f>
        <v>Movilidad y entorno internacional</v>
      </c>
      <c r="I9" s="197"/>
    </row>
    <row r="10" spans="2:9" ht="30.75" thickBot="1" x14ac:dyDescent="0.3">
      <c r="B10" s="29" t="s">
        <v>13</v>
      </c>
      <c r="C10" s="31">
        <f>+Hoja1!D11</f>
        <v>3</v>
      </c>
      <c r="D10" s="30" t="s">
        <v>14</v>
      </c>
      <c r="E10" s="31">
        <f>+Hoja1!D12</f>
        <v>36</v>
      </c>
      <c r="F10" s="30" t="s">
        <v>15</v>
      </c>
      <c r="G10" s="31">
        <f>+Hoja1!D13</f>
        <v>108</v>
      </c>
      <c r="H10" s="30" t="s">
        <v>16</v>
      </c>
      <c r="I10" s="32">
        <f>E10+G10</f>
        <v>144</v>
      </c>
    </row>
    <row r="11" spans="2:9" x14ac:dyDescent="0.25">
      <c r="B11" s="113" t="s">
        <v>115</v>
      </c>
      <c r="C11" s="114"/>
      <c r="D11" s="114"/>
      <c r="E11" s="114"/>
      <c r="F11" s="114"/>
      <c r="G11" s="114"/>
      <c r="H11" s="114"/>
      <c r="I11" s="115"/>
    </row>
    <row r="12" spans="2:9" ht="37.5" customHeight="1" x14ac:dyDescent="0.25">
      <c r="B12" s="195" t="s">
        <v>116</v>
      </c>
      <c r="C12" s="90"/>
      <c r="D12" s="192" t="str">
        <f>+Hoja1!D17</f>
        <v>Diseño de estrategias de movilidad y transporte en entornos nacionales e internacionales</v>
      </c>
      <c r="E12" s="193"/>
      <c r="F12" s="193"/>
      <c r="G12" s="193"/>
      <c r="H12" s="193"/>
      <c r="I12" s="194"/>
    </row>
    <row r="13" spans="2:9" ht="54" customHeight="1" x14ac:dyDescent="0.25">
      <c r="B13" s="190" t="s">
        <v>117</v>
      </c>
      <c r="C13" s="191"/>
      <c r="D13" s="192" t="s">
        <v>118</v>
      </c>
      <c r="E13" s="193"/>
      <c r="F13" s="193"/>
      <c r="G13" s="193"/>
      <c r="H13" s="193"/>
      <c r="I13" s="194"/>
    </row>
    <row r="14" spans="2:9" x14ac:dyDescent="0.25">
      <c r="B14" s="113" t="s">
        <v>119</v>
      </c>
      <c r="C14" s="114"/>
      <c r="D14" s="114"/>
      <c r="E14" s="114"/>
      <c r="F14" s="114"/>
      <c r="G14" s="114"/>
      <c r="H14" s="114"/>
      <c r="I14" s="115"/>
    </row>
    <row r="15" spans="2:9" x14ac:dyDescent="0.25">
      <c r="B15" s="155" t="s">
        <v>120</v>
      </c>
      <c r="C15" s="74"/>
      <c r="D15" s="74"/>
      <c r="E15" s="74"/>
      <c r="F15" s="74"/>
      <c r="G15" s="74"/>
      <c r="H15" s="74"/>
      <c r="I15" s="110"/>
    </row>
    <row r="16" spans="2:9" x14ac:dyDescent="0.25">
      <c r="B16" s="155"/>
      <c r="C16" s="74"/>
      <c r="D16" s="74"/>
      <c r="E16" s="74"/>
      <c r="F16" s="74"/>
      <c r="G16" s="74"/>
      <c r="H16" s="74"/>
      <c r="I16" s="110"/>
    </row>
    <row r="17" spans="2:9" ht="15.75" thickBot="1" x14ac:dyDescent="0.3">
      <c r="B17" s="156"/>
      <c r="C17" s="157"/>
      <c r="D17" s="157"/>
      <c r="E17" s="157"/>
      <c r="F17" s="157"/>
      <c r="G17" s="157"/>
      <c r="H17" s="157"/>
      <c r="I17" s="158"/>
    </row>
    <row r="18" spans="2:9" ht="15.75" thickBot="1" x14ac:dyDescent="0.3">
      <c r="B18" s="174" t="s">
        <v>121</v>
      </c>
      <c r="C18" s="175"/>
      <c r="D18" s="175"/>
      <c r="E18" s="175"/>
      <c r="F18" s="175"/>
      <c r="G18" s="175"/>
      <c r="H18" s="175"/>
      <c r="I18" s="176"/>
    </row>
    <row r="19" spans="2:9" x14ac:dyDescent="0.25">
      <c r="B19" s="17" t="s">
        <v>122</v>
      </c>
      <c r="C19" s="18" t="s">
        <v>101</v>
      </c>
      <c r="D19" s="17" t="s">
        <v>123</v>
      </c>
      <c r="E19" s="179" t="s">
        <v>124</v>
      </c>
      <c r="F19" s="180"/>
      <c r="G19" s="19" t="s">
        <v>125</v>
      </c>
      <c r="H19" s="177" t="s">
        <v>126</v>
      </c>
      <c r="I19" s="178"/>
    </row>
    <row r="20" spans="2:9" x14ac:dyDescent="0.25">
      <c r="B20" s="168" t="str">
        <f>+Hoja1!E23</f>
        <v>Movilidad, transporte, logística urbana, entorno internacional, Incoterms</v>
      </c>
      <c r="C20" s="169"/>
      <c r="D20" s="159" t="str">
        <f>+Hoja1!F23</f>
        <v/>
      </c>
      <c r="E20" s="160"/>
      <c r="F20" s="161"/>
      <c r="G20" s="181" t="str">
        <f>+Hoja1!G23</f>
        <v/>
      </c>
      <c r="H20" s="182"/>
      <c r="I20" s="183"/>
    </row>
    <row r="21" spans="2:9" x14ac:dyDescent="0.25">
      <c r="B21" s="170"/>
      <c r="C21" s="171"/>
      <c r="D21" s="162"/>
      <c r="E21" s="163"/>
      <c r="F21" s="164"/>
      <c r="G21" s="184"/>
      <c r="H21" s="185"/>
      <c r="I21" s="186"/>
    </row>
    <row r="22" spans="2:9" x14ac:dyDescent="0.25">
      <c r="B22" s="170"/>
      <c r="C22" s="171"/>
      <c r="D22" s="162"/>
      <c r="E22" s="163"/>
      <c r="F22" s="164"/>
      <c r="G22" s="184"/>
      <c r="H22" s="185"/>
      <c r="I22" s="186"/>
    </row>
    <row r="23" spans="2:9" x14ac:dyDescent="0.25">
      <c r="B23" s="170"/>
      <c r="C23" s="171"/>
      <c r="D23" s="162"/>
      <c r="E23" s="163"/>
      <c r="F23" s="164"/>
      <c r="G23" s="184"/>
      <c r="H23" s="185"/>
      <c r="I23" s="186"/>
    </row>
    <row r="24" spans="2:9" x14ac:dyDescent="0.25">
      <c r="B24" s="170"/>
      <c r="C24" s="171"/>
      <c r="D24" s="162"/>
      <c r="E24" s="163"/>
      <c r="F24" s="164"/>
      <c r="G24" s="184"/>
      <c r="H24" s="185"/>
      <c r="I24" s="186"/>
    </row>
    <row r="25" spans="2:9" x14ac:dyDescent="0.25">
      <c r="B25" s="170"/>
      <c r="C25" s="171"/>
      <c r="D25" s="162"/>
      <c r="E25" s="163"/>
      <c r="F25" s="164"/>
      <c r="G25" s="184"/>
      <c r="H25" s="185"/>
      <c r="I25" s="186"/>
    </row>
    <row r="26" spans="2:9" ht="40.5" customHeight="1" thickBot="1" x14ac:dyDescent="0.3">
      <c r="B26" s="172"/>
      <c r="C26" s="173"/>
      <c r="D26" s="165"/>
      <c r="E26" s="166"/>
      <c r="F26" s="167"/>
      <c r="G26" s="187"/>
      <c r="H26" s="188"/>
      <c r="I26" s="189"/>
    </row>
    <row r="27" spans="2:9" ht="15.75" thickBot="1" x14ac:dyDescent="0.3">
      <c r="B27" s="119" t="s">
        <v>127</v>
      </c>
      <c r="C27" s="120"/>
      <c r="D27" s="120"/>
      <c r="E27" s="120"/>
      <c r="F27" s="120"/>
      <c r="G27" s="120"/>
      <c r="H27" s="120"/>
      <c r="I27" s="121"/>
    </row>
    <row r="28" spans="2:9" ht="14.45" customHeight="1" x14ac:dyDescent="0.25">
      <c r="B28" s="131" t="str">
        <f>+Hoja1!D25</f>
        <v>Evaluaciones + Proyecto final</v>
      </c>
      <c r="C28" s="132"/>
      <c r="D28" s="132"/>
      <c r="E28" s="132"/>
      <c r="F28" s="132"/>
      <c r="G28" s="132"/>
      <c r="H28" s="132"/>
      <c r="I28" s="133"/>
    </row>
    <row r="29" spans="2:9" x14ac:dyDescent="0.25">
      <c r="B29" s="134"/>
      <c r="C29" s="135"/>
      <c r="D29" s="135"/>
      <c r="E29" s="135"/>
      <c r="F29" s="135"/>
      <c r="G29" s="135"/>
      <c r="H29" s="135"/>
      <c r="I29" s="136"/>
    </row>
    <row r="30" spans="2:9" x14ac:dyDescent="0.25">
      <c r="B30" s="134"/>
      <c r="C30" s="135"/>
      <c r="D30" s="135"/>
      <c r="E30" s="135"/>
      <c r="F30" s="135"/>
      <c r="G30" s="135"/>
      <c r="H30" s="135"/>
      <c r="I30" s="136"/>
    </row>
    <row r="31" spans="2:9" x14ac:dyDescent="0.25">
      <c r="B31" s="134"/>
      <c r="C31" s="135"/>
      <c r="D31" s="135"/>
      <c r="E31" s="135"/>
      <c r="F31" s="135"/>
      <c r="G31" s="135"/>
      <c r="H31" s="135"/>
      <c r="I31" s="136"/>
    </row>
    <row r="32" spans="2:9" ht="15.75" thickBot="1" x14ac:dyDescent="0.3">
      <c r="B32" s="137"/>
      <c r="C32" s="138"/>
      <c r="D32" s="138"/>
      <c r="E32" s="138"/>
      <c r="F32" s="138"/>
      <c r="G32" s="138"/>
      <c r="H32" s="138"/>
      <c r="I32" s="139"/>
    </row>
    <row r="33" spans="2:9" ht="34.5" customHeight="1" thickBot="1" x14ac:dyDescent="0.3">
      <c r="B33" s="125" t="s">
        <v>128</v>
      </c>
      <c r="C33" s="126"/>
      <c r="D33" s="126"/>
      <c r="E33" s="127"/>
      <c r="F33" s="128" t="str">
        <f>+Hoja1!D26</f>
        <v>Excel, LMS</v>
      </c>
      <c r="G33" s="129"/>
      <c r="H33" s="129"/>
      <c r="I33" s="130"/>
    </row>
    <row r="34" spans="2:9" ht="15.75" thickBot="1" x14ac:dyDescent="0.3">
      <c r="B34" s="122" t="s">
        <v>129</v>
      </c>
      <c r="C34" s="123"/>
      <c r="D34" s="123"/>
      <c r="E34" s="123"/>
      <c r="F34" s="124" t="s">
        <v>84</v>
      </c>
      <c r="G34" s="124"/>
      <c r="H34" s="20" t="s">
        <v>54</v>
      </c>
      <c r="I34" s="43">
        <f>+Hoja1!D28</f>
        <v>0.1</v>
      </c>
    </row>
    <row r="35" spans="2:9" x14ac:dyDescent="0.25">
      <c r="B35" s="113" t="s">
        <v>130</v>
      </c>
      <c r="C35" s="114"/>
      <c r="D35" s="114"/>
      <c r="E35" s="114"/>
      <c r="F35" s="114"/>
      <c r="G35" s="114"/>
      <c r="H35" s="114"/>
      <c r="I35" s="115"/>
    </row>
    <row r="36" spans="2:9" ht="14.45" customHeight="1" x14ac:dyDescent="0.25">
      <c r="B36" s="140" t="str">
        <f>+Hoja1!E29</f>
        <v>Bibliografía Obligatoria: Eslava (2019), Langley (2021), Quintanilla (2019)</v>
      </c>
      <c r="C36" s="141"/>
      <c r="D36" s="141"/>
      <c r="E36" s="142"/>
      <c r="F36" s="149" t="str">
        <f>+Hoja1!E30</f>
        <v>Bibliografía Complementaria: Costos logísticos, Incoterms</v>
      </c>
      <c r="G36" s="141"/>
      <c r="H36" s="141"/>
      <c r="I36" s="150"/>
    </row>
    <row r="37" spans="2:9" x14ac:dyDescent="0.25">
      <c r="B37" s="143"/>
      <c r="C37" s="144"/>
      <c r="D37" s="144"/>
      <c r="E37" s="145"/>
      <c r="F37" s="151"/>
      <c r="G37" s="144"/>
      <c r="H37" s="144"/>
      <c r="I37" s="152"/>
    </row>
    <row r="38" spans="2:9" x14ac:dyDescent="0.25">
      <c r="B38" s="143"/>
      <c r="C38" s="144"/>
      <c r="D38" s="144"/>
      <c r="E38" s="145"/>
      <c r="F38" s="151"/>
      <c r="G38" s="144"/>
      <c r="H38" s="144"/>
      <c r="I38" s="152"/>
    </row>
    <row r="39" spans="2:9" x14ac:dyDescent="0.25">
      <c r="B39" s="143"/>
      <c r="C39" s="144"/>
      <c r="D39" s="144"/>
      <c r="E39" s="145"/>
      <c r="F39" s="151"/>
      <c r="G39" s="144"/>
      <c r="H39" s="144"/>
      <c r="I39" s="152"/>
    </row>
    <row r="40" spans="2:9" x14ac:dyDescent="0.25">
      <c r="B40" s="143"/>
      <c r="C40" s="144"/>
      <c r="D40" s="144"/>
      <c r="E40" s="145"/>
      <c r="F40" s="151"/>
      <c r="G40" s="144"/>
      <c r="H40" s="144"/>
      <c r="I40" s="152"/>
    </row>
    <row r="41" spans="2:9" x14ac:dyDescent="0.25">
      <c r="B41" s="143"/>
      <c r="C41" s="144"/>
      <c r="D41" s="144"/>
      <c r="E41" s="145"/>
      <c r="F41" s="151"/>
      <c r="G41" s="144"/>
      <c r="H41" s="144"/>
      <c r="I41" s="152"/>
    </row>
    <row r="42" spans="2:9" ht="15.75" thickBot="1" x14ac:dyDescent="0.3">
      <c r="B42" s="146"/>
      <c r="C42" s="147"/>
      <c r="D42" s="147"/>
      <c r="E42" s="148"/>
      <c r="F42" s="153"/>
      <c r="G42" s="147"/>
      <c r="H42" s="147"/>
      <c r="I42" s="154"/>
    </row>
    <row r="43" spans="2:9" x14ac:dyDescent="0.25">
      <c r="B43" s="113" t="s">
        <v>131</v>
      </c>
      <c r="C43" s="114"/>
      <c r="D43" s="114"/>
      <c r="E43" s="114"/>
      <c r="F43" s="114"/>
      <c r="G43" s="114"/>
      <c r="H43" s="114"/>
      <c r="I43" s="115"/>
    </row>
    <row r="44" spans="2:9" x14ac:dyDescent="0.25">
      <c r="B44" s="21" t="s">
        <v>59</v>
      </c>
      <c r="C44" s="9" t="s">
        <v>60</v>
      </c>
      <c r="D44" s="9" t="s">
        <v>106</v>
      </c>
      <c r="E44" s="9" t="s">
        <v>62</v>
      </c>
      <c r="F44" s="9" t="s">
        <v>63</v>
      </c>
      <c r="G44" s="75" t="s">
        <v>64</v>
      </c>
      <c r="H44" s="75"/>
      <c r="I44" s="116"/>
    </row>
    <row r="45" spans="2:9" ht="24.75" x14ac:dyDescent="0.25">
      <c r="B45" s="50">
        <f>+Hoja1!D31</f>
        <v>1</v>
      </c>
      <c r="C45" s="51">
        <f>+Hoja1!D32</f>
        <v>45677</v>
      </c>
      <c r="D45" s="52" t="str">
        <f>+Hoja1!D33</f>
        <v>José Divitt Velosa</v>
      </c>
      <c r="E45" s="52" t="str">
        <f>+Hoja1!D34</f>
        <v>José Divitt Velosa</v>
      </c>
      <c r="F45" s="52" t="str">
        <f>+Hoja1!D35</f>
        <v>Jose Divitt Velosa</v>
      </c>
      <c r="G45" s="117" t="str">
        <f>+Hoja1!D36</f>
        <v>Actualización contenido y bibliografía</v>
      </c>
      <c r="H45" s="117"/>
      <c r="I45" s="118"/>
    </row>
    <row r="46" spans="2:9" x14ac:dyDescent="0.25">
      <c r="B46" s="22"/>
      <c r="C46" s="10"/>
      <c r="D46" s="10"/>
      <c r="E46" s="10"/>
      <c r="F46" s="10"/>
      <c r="G46" s="74"/>
      <c r="H46" s="74"/>
      <c r="I46" s="110"/>
    </row>
    <row r="47" spans="2:9" x14ac:dyDescent="0.25">
      <c r="B47" s="22"/>
      <c r="C47" s="10"/>
      <c r="D47" s="10"/>
      <c r="E47" s="10"/>
      <c r="F47" s="10"/>
      <c r="G47" s="74"/>
      <c r="H47" s="74"/>
      <c r="I47" s="110"/>
    </row>
    <row r="48" spans="2:9" x14ac:dyDescent="0.25">
      <c r="B48" s="22"/>
      <c r="C48" s="10"/>
      <c r="D48" s="10"/>
      <c r="E48" s="10"/>
      <c r="F48" s="10"/>
      <c r="G48" s="74"/>
      <c r="H48" s="74"/>
      <c r="I48" s="110"/>
    </row>
    <row r="49" spans="2:9" x14ac:dyDescent="0.25">
      <c r="B49" s="22"/>
      <c r="C49" s="10"/>
      <c r="D49" s="10"/>
      <c r="E49" s="10"/>
      <c r="F49" s="10"/>
      <c r="G49" s="74"/>
      <c r="H49" s="74"/>
      <c r="I49" s="110"/>
    </row>
    <row r="50" spans="2:9" ht="15.75" thickBot="1" x14ac:dyDescent="0.3">
      <c r="B50" s="23"/>
      <c r="C50" s="24"/>
      <c r="D50" s="24"/>
      <c r="E50" s="24"/>
      <c r="F50" s="24"/>
      <c r="G50" s="111"/>
      <c r="H50" s="111"/>
      <c r="I50" s="112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 x14ac:dyDescent="0.25">
      <c r="A1" s="11" t="s">
        <v>91</v>
      </c>
      <c r="B1" s="11" t="s">
        <v>132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133</v>
      </c>
    </row>
    <row r="2" spans="1:8" x14ac:dyDescent="0.25">
      <c r="A2" s="11" t="s">
        <v>134</v>
      </c>
      <c r="B2" s="11" t="s">
        <v>135</v>
      </c>
      <c r="C2" s="11">
        <v>3</v>
      </c>
      <c r="D2" s="11">
        <v>54</v>
      </c>
      <c r="E2" s="11">
        <v>90</v>
      </c>
      <c r="F2" s="11" t="s">
        <v>136</v>
      </c>
      <c r="G2" s="13">
        <v>0.2</v>
      </c>
      <c r="H2" s="11" t="s">
        <v>114</v>
      </c>
    </row>
    <row r="3" spans="1:8" x14ac:dyDescent="0.25">
      <c r="A3" s="11" t="s">
        <v>92</v>
      </c>
      <c r="B3" s="11" t="s">
        <v>137</v>
      </c>
      <c r="C3" s="11">
        <v>4</v>
      </c>
      <c r="D3" s="11">
        <v>72</v>
      </c>
      <c r="E3" s="11">
        <v>120</v>
      </c>
      <c r="F3" s="11" t="s">
        <v>138</v>
      </c>
      <c r="G3" s="13">
        <v>0.3</v>
      </c>
    </row>
    <row r="4" spans="1:8" x14ac:dyDescent="0.25">
      <c r="A4" s="11" t="s">
        <v>139</v>
      </c>
      <c r="B4" s="11" t="s">
        <v>140</v>
      </c>
      <c r="C4" s="11">
        <v>5</v>
      </c>
      <c r="D4" s="11">
        <v>90</v>
      </c>
      <c r="E4" s="11">
        <v>102</v>
      </c>
      <c r="F4" s="11" t="s">
        <v>141</v>
      </c>
      <c r="G4" s="13">
        <v>0.4</v>
      </c>
    </row>
    <row r="5" spans="1:8" x14ac:dyDescent="0.25">
      <c r="A5" s="11" t="s">
        <v>142</v>
      </c>
      <c r="B5" s="11" t="s">
        <v>143</v>
      </c>
      <c r="C5" s="11">
        <v>6</v>
      </c>
      <c r="D5" s="11">
        <v>90</v>
      </c>
      <c r="E5" s="11">
        <v>150</v>
      </c>
      <c r="F5" s="11" t="s">
        <v>144</v>
      </c>
      <c r="G5" s="13">
        <v>0.5</v>
      </c>
    </row>
    <row r="6" spans="1:8" x14ac:dyDescent="0.25">
      <c r="B6" s="11" t="s">
        <v>145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5">
      <c r="B7" s="11" t="s">
        <v>146</v>
      </c>
      <c r="D7" s="11">
        <v>144</v>
      </c>
      <c r="E7" s="11">
        <v>240</v>
      </c>
      <c r="G7" s="13">
        <v>0.7</v>
      </c>
    </row>
    <row r="8" spans="1:8" x14ac:dyDescent="0.25">
      <c r="B8" s="11" t="s">
        <v>147</v>
      </c>
      <c r="D8" s="11">
        <v>32</v>
      </c>
      <c r="E8" s="11">
        <v>64</v>
      </c>
      <c r="G8" s="13">
        <v>0.8</v>
      </c>
    </row>
    <row r="9" spans="1:8" x14ac:dyDescent="0.25">
      <c r="B9" s="11" t="s">
        <v>148</v>
      </c>
      <c r="D9" s="11">
        <v>36</v>
      </c>
      <c r="E9" s="11">
        <v>108</v>
      </c>
      <c r="G9" s="13">
        <v>0.9</v>
      </c>
    </row>
    <row r="10" spans="1:8" x14ac:dyDescent="0.25">
      <c r="D10" s="11">
        <v>40</v>
      </c>
      <c r="E10" s="11">
        <v>152</v>
      </c>
      <c r="G10" s="13">
        <v>1</v>
      </c>
    </row>
    <row r="11" spans="1:8" x14ac:dyDescent="0.25">
      <c r="D11" s="11">
        <v>54</v>
      </c>
      <c r="E11" s="11">
        <v>234</v>
      </c>
      <c r="G11" s="13"/>
    </row>
    <row r="12" spans="1:8" x14ac:dyDescent="0.25">
      <c r="D12" s="11">
        <v>64</v>
      </c>
      <c r="E12" s="11">
        <v>320</v>
      </c>
    </row>
    <row r="13" spans="1:8" x14ac:dyDescent="0.25">
      <c r="D13" s="11">
        <v>24</v>
      </c>
      <c r="E13" s="11">
        <v>72</v>
      </c>
    </row>
    <row r="14" spans="1:8" x14ac:dyDescent="0.25">
      <c r="D14" s="11">
        <v>36</v>
      </c>
      <c r="E14" s="11">
        <v>108</v>
      </c>
    </row>
    <row r="15" spans="1:8" x14ac:dyDescent="0.25">
      <c r="D15" s="11">
        <v>48</v>
      </c>
      <c r="E15" s="11">
        <v>144</v>
      </c>
    </row>
    <row r="25" spans="1:1" x14ac:dyDescent="0.25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Formato Syllabus</vt:lpstr>
      <vt:lpstr>Formato Syllabus_NV</vt:lpstr>
      <vt:lpstr>Hoja1</vt:lpstr>
      <vt:lpstr>Formato Syllabus_NV (2)</vt:lpstr>
      <vt:lpstr>Parámetros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EDWARD DIVITT VELOSA GARCIA</cp:lastModifiedBy>
  <cp:revision/>
  <dcterms:created xsi:type="dcterms:W3CDTF">2025-08-27T15:39:23Z</dcterms:created>
  <dcterms:modified xsi:type="dcterms:W3CDTF">2026-02-21T16:44:30Z</dcterms:modified>
  <cp:category/>
  <cp:contentStatus/>
</cp:coreProperties>
</file>