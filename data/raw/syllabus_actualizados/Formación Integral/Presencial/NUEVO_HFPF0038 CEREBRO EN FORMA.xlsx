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utoFilterDateGrouping="1"/>
  </bookViews>
  <sheets>
    <sheet xmlns:r="http://schemas.openxmlformats.org/officeDocument/2006/relationships" name="Formato Syllabus" sheetId="1" state="visible" r:id="rId1"/>
    <sheet xmlns:r="http://schemas.openxmlformats.org/officeDocument/2006/relationships" name="Parámetros"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family val="2"/>
      <color rgb="FF231F20"/>
      <sz val="10"/>
    </font>
    <font>
      <name val="Arial"/>
      <family val="2"/>
      <b val="1"/>
      <color rgb="FF231F20"/>
      <sz val="10"/>
    </font>
    <font>
      <name val="Calibri"/>
      <family val="2"/>
      <color theme="1"/>
      <sz val="10"/>
      <scheme val="minor"/>
    </font>
    <font>
      <name val="Arial Narrow"/>
      <family val="2"/>
      <b val="1"/>
      <color theme="1"/>
      <sz val="10"/>
    </font>
    <font>
      <name val="Arial Narrow"/>
      <family val="2"/>
      <b val="1"/>
      <color rgb="FF3D7357"/>
      <sz val="11"/>
    </font>
    <font>
      <name val="Arial Narrow"/>
      <family val="2"/>
      <b val="1"/>
      <color rgb="FFFF0000"/>
      <sz val="10"/>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top/>
      <bottom/>
      <diagonal/>
    </border>
    <border>
      <left style="double">
        <color indexed="64"/>
      </left>
      <right style="dashed">
        <color indexed="64"/>
      </right>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bottom/>
      <diagonal/>
    </border>
    <border>
      <left/>
      <right style="dashed">
        <color indexed="64"/>
      </right>
      <top style="double">
        <color indexed="64"/>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dashed">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1">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0" fillId="0" borderId="1" pivotButton="0" quotePrefix="0" xfId="0"/>
    <xf numFmtId="0" fontId="5" fillId="0" borderId="7" applyAlignment="1" pivotButton="0" quotePrefix="0" xfId="0">
      <alignment vertical="center" wrapText="1"/>
    </xf>
    <xf numFmtId="0" fontId="5" fillId="0" borderId="10" applyAlignment="1" pivotButton="0" quotePrefix="0" xfId="0">
      <alignment vertical="center" wrapText="1"/>
    </xf>
    <xf numFmtId="0" fontId="5" fillId="0" borderId="13" applyAlignment="1" pivotButton="0" quotePrefix="0" xfId="0">
      <alignment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wrapText="1"/>
    </xf>
    <xf numFmtId="0" fontId="0" fillId="0" borderId="1" applyAlignment="1" pivotButton="0" quotePrefix="0" xfId="0">
      <alignment wrapText="1"/>
    </xf>
    <xf numFmtId="0" fontId="0" fillId="2" borderId="0" pivotButton="0" quotePrefix="0" xfId="0"/>
    <xf numFmtId="0" fontId="0" fillId="2" borderId="4" pivotButton="0" quotePrefix="0" xfId="0"/>
    <xf numFmtId="9" fontId="0" fillId="2" borderId="0" pivotButton="0" quotePrefix="0" xfId="0"/>
    <xf numFmtId="14" fontId="0" fillId="2" borderId="0" pivotButton="0" quotePrefix="0" xfId="0"/>
    <xf numFmtId="0" fontId="1" fillId="3" borderId="1" applyAlignment="1" pivotButton="0" quotePrefix="0" xfId="0">
      <alignment horizontal="center" vertical="center" wrapText="1"/>
    </xf>
    <xf numFmtId="0" fontId="0"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2" borderId="21" applyAlignment="1" pivotButton="0" quotePrefix="0" xfId="0">
      <alignment horizontal="center" vertical="center"/>
    </xf>
    <xf numFmtId="0" fontId="1" fillId="0" borderId="44" applyAlignment="1" pivotButton="0" quotePrefix="0" xfId="0">
      <alignment horizontal="center" vertical="center"/>
    </xf>
    <xf numFmtId="0" fontId="0" fillId="0" borderId="45" pivotButton="0" quotePrefix="0" xfId="0"/>
    <xf numFmtId="0" fontId="1" fillId="0" borderId="36" applyAlignment="1" pivotButton="0" quotePrefix="0" xfId="0">
      <alignment horizontal="center"/>
    </xf>
    <xf numFmtId="0" fontId="0" fillId="0" borderId="36" applyAlignment="1" pivotButton="0" quotePrefix="0" xfId="0">
      <alignment wrapText="1"/>
    </xf>
    <xf numFmtId="0" fontId="0" fillId="0" borderId="38" applyAlignment="1" pivotButton="0" quotePrefix="0" xfId="0">
      <alignment wrapText="1"/>
    </xf>
    <xf numFmtId="0" fontId="0" fillId="0" borderId="39" applyAlignment="1" pivotButton="0" quotePrefix="0" xfId="0">
      <alignment wrapText="1"/>
    </xf>
    <xf numFmtId="0" fontId="0" fillId="2" borderId="1" applyAlignment="1" pivotButton="0" quotePrefix="0" xfId="0">
      <alignment horizontal="center" vertical="center"/>
    </xf>
    <xf numFmtId="0" fontId="1" fillId="0" borderId="36" applyAlignment="1" pivotButton="0" quotePrefix="0" xfId="0">
      <alignment horizontal="center" vertical="center"/>
    </xf>
    <xf numFmtId="0" fontId="0" fillId="0" borderId="37" applyAlignment="1" pivotButton="0" quotePrefix="0" xfId="0">
      <alignment horizontal="center" vertical="center"/>
    </xf>
    <xf numFmtId="0" fontId="1" fillId="2" borderId="36" applyAlignment="1" pivotButton="0" quotePrefix="0" xfId="0">
      <alignment horizontal="center" vertical="center" wrapText="1"/>
    </xf>
    <xf numFmtId="0" fontId="1" fillId="0" borderId="38" applyAlignment="1" pivotButton="0" quotePrefix="0" xfId="0">
      <alignment horizontal="center" vertical="center" wrapText="1"/>
    </xf>
    <xf numFmtId="0" fontId="1" fillId="0" borderId="39" applyAlignment="1" pivotButton="0" quotePrefix="0" xfId="0">
      <alignment horizontal="center" vertical="center" wrapText="1"/>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0" fontId="0" fillId="0" borderId="1" applyAlignment="1" pivotButton="0" quotePrefix="0" xfId="0">
      <alignment horizontal="center" wrapText="1"/>
    </xf>
    <xf numFmtId="0" fontId="1" fillId="0" borderId="1" applyAlignment="1" pivotButton="0" quotePrefix="0" xfId="0">
      <alignment horizontal="center"/>
    </xf>
    <xf numFmtId="0" fontId="4" fillId="0" borderId="5" applyAlignment="1" pivotButton="0" quotePrefix="0" xfId="0">
      <alignment vertical="center" wrapText="1"/>
    </xf>
    <xf numFmtId="0" fontId="4" fillId="0" borderId="8" applyAlignment="1" pivotButton="0" quotePrefix="0" xfId="0">
      <alignment vertical="center" wrapText="1"/>
    </xf>
    <xf numFmtId="0" fontId="5" fillId="0" borderId="6"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1" fillId="0" borderId="1" applyAlignment="1" pivotButton="0" quotePrefix="0" xfId="0">
      <alignment horizontal="left" vertical="top"/>
    </xf>
    <xf numFmtId="0" fontId="1" fillId="0" borderId="14"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3" applyAlignment="1" pivotButton="0" quotePrefix="0" xfId="0">
      <alignment horizontal="center" vertical="center" wrapText="1"/>
    </xf>
    <xf numFmtId="0" fontId="1" fillId="3" borderId="2" applyAlignment="1" pivotButton="0" quotePrefix="0" xfId="0">
      <alignment horizontal="center" wrapText="1"/>
    </xf>
    <xf numFmtId="0" fontId="1" fillId="3" borderId="3" applyAlignment="1" pivotButton="0" quotePrefix="0" xfId="0">
      <alignment horizontal="center" wrapText="1"/>
    </xf>
    <xf numFmtId="0" fontId="0" fillId="3" borderId="1" applyAlignment="1" pivotButton="0" quotePrefix="0" xfId="0">
      <alignment horizontal="center"/>
    </xf>
    <xf numFmtId="0" fontId="1" fillId="3" borderId="1" applyAlignment="1" pivotButton="0" quotePrefix="0" xfId="0">
      <alignment horizontal="center" wrapText="1"/>
    </xf>
    <xf numFmtId="0" fontId="1" fillId="3" borderId="1" applyAlignment="1" pivotButton="0" quotePrefix="0" xfId="0">
      <alignment horizontal="center" vertical="center"/>
    </xf>
    <xf numFmtId="0" fontId="1" fillId="0" borderId="2" applyAlignment="1" pivotButton="0" quotePrefix="0" xfId="0">
      <alignment horizontal="center" vertical="center"/>
    </xf>
    <xf numFmtId="0" fontId="1" fillId="0" borderId="15" applyAlignment="1" pivotButton="0" quotePrefix="0" xfId="0">
      <alignment horizontal="center" vertical="center"/>
    </xf>
    <xf numFmtId="0" fontId="1" fillId="0" borderId="3" applyAlignment="1" pivotButton="0" quotePrefix="0" xfId="0">
      <alignment horizontal="center" vertical="center"/>
    </xf>
    <xf numFmtId="0" fontId="1" fillId="2" borderId="2" applyAlignment="1" pivotButton="0" quotePrefix="0" xfId="0">
      <alignment horizontal="center" vertical="center"/>
    </xf>
    <xf numFmtId="0" fontId="1" fillId="2" borderId="15" applyAlignment="1" pivotButton="0" quotePrefix="0" xfId="0">
      <alignment horizontal="center" vertical="center"/>
    </xf>
    <xf numFmtId="0" fontId="1" fillId="2" borderId="3" applyAlignment="1" pivotButton="0" quotePrefix="0" xfId="0">
      <alignment horizontal="center" vertical="center"/>
    </xf>
    <xf numFmtId="0" fontId="1" fillId="3" borderId="1" applyAlignment="1" pivotButton="0" quotePrefix="0" xfId="0">
      <alignment horizontal="left" vertical="top"/>
    </xf>
    <xf numFmtId="0" fontId="1" fillId="0" borderId="15"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37" applyAlignment="1" pivotButton="0" quotePrefix="0" xfId="0">
      <alignment horizontal="center" wrapText="1"/>
    </xf>
    <xf numFmtId="0" fontId="0" fillId="0" borderId="39" applyAlignment="1" pivotButton="0" quotePrefix="0" xfId="0">
      <alignment horizontal="center" wrapText="1"/>
    </xf>
    <xf numFmtId="0" fontId="0" fillId="0" borderId="40" applyAlignment="1" pivotButton="0" quotePrefix="0" xfId="0">
      <alignment horizontal="center" wrapText="1"/>
    </xf>
    <xf numFmtId="0" fontId="1" fillId="0" borderId="21" applyAlignment="1" pivotButton="0" quotePrefix="0" xfId="0">
      <alignment horizontal="center"/>
    </xf>
    <xf numFmtId="0" fontId="1" fillId="0" borderId="35" applyAlignment="1" pivotButton="0" quotePrefix="0" xfId="0">
      <alignment horizontal="center"/>
    </xf>
    <xf numFmtId="0" fontId="1" fillId="0" borderId="22" applyAlignment="1" pivotButton="0" quotePrefix="0" xfId="0">
      <alignment horizontal="center"/>
    </xf>
    <xf numFmtId="0" fontId="1" fillId="0" borderId="37" applyAlignment="1" pivotButton="0" quotePrefix="0" xfId="0">
      <alignment horizontal="center"/>
    </xf>
    <xf numFmtId="0" fontId="1" fillId="0" borderId="48" applyAlignment="1" pivotButton="0" quotePrefix="0" xfId="0">
      <alignment horizontal="center"/>
    </xf>
    <xf numFmtId="0" fontId="1" fillId="0" borderId="49" applyAlignment="1" pivotButton="0" quotePrefix="0" xfId="0">
      <alignment horizontal="center"/>
    </xf>
    <xf numFmtId="0" fontId="1" fillId="0" borderId="50" applyAlignment="1" pivotButton="0" quotePrefix="0" xfId="0">
      <alignment horizont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0" fillId="0" borderId="44" applyAlignment="1" pivotButton="0" quotePrefix="0" xfId="0">
      <alignment horizontal="center"/>
    </xf>
    <xf numFmtId="0" fontId="1" fillId="0" borderId="32" applyAlignment="1" pivotButton="0" quotePrefix="0" xfId="0">
      <alignment horizontal="center" vertical="top" wrapText="1"/>
    </xf>
    <xf numFmtId="0" fontId="1" fillId="0" borderId="33" applyAlignment="1" pivotButton="0" quotePrefix="0" xfId="0">
      <alignment horizontal="center" vertical="top" wrapText="1"/>
    </xf>
    <xf numFmtId="0" fontId="1" fillId="0" borderId="41" applyAlignment="1" pivotButton="0" quotePrefix="0" xfId="0">
      <alignment horizontal="center" vertical="top" wrapText="1"/>
    </xf>
    <xf numFmtId="0" fontId="1" fillId="0" borderId="42" applyAlignment="1" pivotButton="0" quotePrefix="0" xfId="0">
      <alignment horizontal="center" vertical="top"/>
    </xf>
    <xf numFmtId="0" fontId="1" fillId="0" borderId="33" applyAlignment="1" pivotButton="0" quotePrefix="0" xfId="0">
      <alignment horizontal="center" vertical="top"/>
    </xf>
    <xf numFmtId="0" fontId="1" fillId="0" borderId="34" applyAlignment="1" pivotButton="0" quotePrefix="0" xfId="0">
      <alignment horizontal="center" vertical="top"/>
    </xf>
    <xf numFmtId="0" fontId="0" fillId="0" borderId="51" applyAlignment="1" pivotButton="0" quotePrefix="0" xfId="0">
      <alignment horizontal="center" vertical="top" wrapText="1"/>
    </xf>
    <xf numFmtId="0" fontId="0" fillId="0" borderId="52" applyAlignment="1" pivotButton="0" quotePrefix="0" xfId="0">
      <alignment horizontal="center" vertical="top" wrapText="1"/>
    </xf>
    <xf numFmtId="0" fontId="0" fillId="0" borderId="53" applyAlignment="1" pivotButton="0" quotePrefix="0" xfId="0">
      <alignment horizontal="center" vertical="top" wrapText="1"/>
    </xf>
    <xf numFmtId="0" fontId="0" fillId="0" borderId="25" applyAlignment="1" pivotButton="0" quotePrefix="0" xfId="0">
      <alignment horizontal="center" vertical="top" wrapText="1"/>
    </xf>
    <xf numFmtId="0" fontId="0" fillId="0" borderId="0" applyAlignment="1" pivotButton="0" quotePrefix="0" xfId="0">
      <alignment horizontal="center" vertical="top" wrapText="1"/>
    </xf>
    <xf numFmtId="0" fontId="0" fillId="0" borderId="26" applyAlignment="1" pivotButton="0" quotePrefix="0" xfId="0">
      <alignment horizontal="center" vertical="top" wrapText="1"/>
    </xf>
    <xf numFmtId="0" fontId="0" fillId="0" borderId="27" applyAlignment="1" pivotButton="0" quotePrefix="0" xfId="0">
      <alignment horizontal="center" vertical="top" wrapText="1"/>
    </xf>
    <xf numFmtId="0" fontId="0" fillId="0" borderId="31" applyAlignment="1" pivotButton="0" quotePrefix="0" xfId="0">
      <alignment horizontal="center" vertical="top" wrapText="1"/>
    </xf>
    <xf numFmtId="0" fontId="0" fillId="0" borderId="28" applyAlignment="1" pivotButton="0" quotePrefix="0" xfId="0">
      <alignment horizontal="center" vertical="top" wrapText="1"/>
    </xf>
    <xf numFmtId="0" fontId="1" fillId="0" borderId="23"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25" applyAlignment="1" pivotButton="0" quotePrefix="0" xfId="0">
      <alignment horizontal="center" vertical="top" wrapText="1"/>
    </xf>
    <xf numFmtId="0" fontId="1" fillId="0" borderId="0" applyAlignment="1" pivotButton="0" quotePrefix="0" xfId="0">
      <alignment horizontal="center" vertical="top" wrapText="1"/>
    </xf>
    <xf numFmtId="0" fontId="1" fillId="0" borderId="20" applyAlignment="1" pivotButton="0" quotePrefix="0" xfId="0">
      <alignment horizontal="center" vertical="top" wrapText="1"/>
    </xf>
    <xf numFmtId="0" fontId="1" fillId="0" borderId="27" applyAlignment="1" pivotButton="0" quotePrefix="0" xfId="0">
      <alignment horizontal="center" vertical="top" wrapText="1"/>
    </xf>
    <xf numFmtId="0" fontId="1" fillId="0" borderId="31" applyAlignment="1" pivotButton="0" quotePrefix="0" xfId="0">
      <alignment horizontal="center" vertical="top" wrapText="1"/>
    </xf>
    <xf numFmtId="0" fontId="1" fillId="0" borderId="54" applyAlignment="1" pivotButton="0" quotePrefix="0" xfId="0">
      <alignment horizontal="center" vertical="top" wrapText="1"/>
    </xf>
    <xf numFmtId="0" fontId="1" fillId="0" borderId="16" applyAlignment="1" pivotButton="0" quotePrefix="0" xfId="0">
      <alignment horizontal="center" vertical="top"/>
    </xf>
    <xf numFmtId="0" fontId="1" fillId="0" borderId="17" applyAlignment="1" pivotButton="0" quotePrefix="0" xfId="0">
      <alignment horizontal="center" vertical="top"/>
    </xf>
    <xf numFmtId="0" fontId="1" fillId="0" borderId="24" applyAlignment="1" pivotButton="0" quotePrefix="0" xfId="0">
      <alignment horizontal="center" vertical="top"/>
    </xf>
    <xf numFmtId="0" fontId="1" fillId="0" borderId="19" applyAlignment="1" pivotButton="0" quotePrefix="0" xfId="0">
      <alignment horizontal="center" vertical="top"/>
    </xf>
    <xf numFmtId="0" fontId="1" fillId="0" borderId="0" applyAlignment="1" pivotButton="0" quotePrefix="0" xfId="0">
      <alignment horizontal="center" vertical="top"/>
    </xf>
    <xf numFmtId="0" fontId="1" fillId="0" borderId="26" applyAlignment="1" pivotButton="0" quotePrefix="0" xfId="0">
      <alignment horizontal="center" vertical="top"/>
    </xf>
    <xf numFmtId="0" fontId="1" fillId="0" borderId="55" applyAlignment="1" pivotButton="0" quotePrefix="0" xfId="0">
      <alignment horizontal="center" vertical="top"/>
    </xf>
    <xf numFmtId="0" fontId="1" fillId="0" borderId="31" applyAlignment="1" pivotButton="0" quotePrefix="0" xfId="0">
      <alignment horizontal="center" vertical="top"/>
    </xf>
    <xf numFmtId="0" fontId="1" fillId="0" borderId="28" applyAlignment="1" pivotButton="0" quotePrefix="0" xfId="0">
      <alignment horizontal="center" vertical="top"/>
    </xf>
    <xf numFmtId="0" fontId="0" fillId="0" borderId="36" applyAlignment="1" pivotButton="0" quotePrefix="0" xfId="0">
      <alignment horizontal="center" wrapText="1"/>
    </xf>
    <xf numFmtId="0" fontId="0" fillId="0" borderId="46" applyAlignment="1" pivotButton="0" quotePrefix="0" xfId="0">
      <alignment horizontal="center" wrapText="1"/>
    </xf>
    <xf numFmtId="0" fontId="0" fillId="0" borderId="14" applyAlignment="1" pivotButton="0" quotePrefix="0" xfId="0">
      <alignment horizontal="center" wrapText="1"/>
    </xf>
    <xf numFmtId="0" fontId="0" fillId="0" borderId="47" applyAlignment="1" pivotButton="0" quotePrefix="0" xfId="0">
      <alignment horizontal="center" wrapText="1"/>
    </xf>
    <xf numFmtId="0" fontId="1" fillId="0" borderId="23" applyAlignment="1" pivotButton="0" quotePrefix="0" xfId="0">
      <alignment horizontal="center" vertical="top"/>
    </xf>
    <xf numFmtId="0" fontId="1" fillId="0" borderId="25" applyAlignment="1" pivotButton="0" quotePrefix="0" xfId="0">
      <alignment horizontal="center" vertical="top"/>
    </xf>
    <xf numFmtId="0" fontId="1" fillId="0" borderId="27" applyAlignment="1" pivotButton="0" quotePrefix="0" xfId="0">
      <alignment horizontal="center" vertical="top"/>
    </xf>
    <xf numFmtId="0" fontId="1" fillId="0" borderId="32" applyAlignment="1" pivotButton="0" quotePrefix="0" xfId="0">
      <alignment horizontal="center" vertical="top"/>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0" borderId="29" applyAlignment="1" pivotButton="0" quotePrefix="0" xfId="0">
      <alignment horizontal="center" vertical="center"/>
    </xf>
    <xf numFmtId="0" fontId="1" fillId="0" borderId="30" applyAlignment="1" pivotButton="0" quotePrefix="0" xfId="0">
      <alignment horizontal="center" vertical="center"/>
    </xf>
    <xf numFmtId="0" fontId="1" fillId="2" borderId="23" applyAlignment="1" pivotButton="0" quotePrefix="0" xfId="0">
      <alignment horizontal="center" vertical="center"/>
    </xf>
    <xf numFmtId="0" fontId="1" fillId="2" borderId="17" applyAlignment="1" pivotButton="0" quotePrefix="0" xfId="0">
      <alignment horizontal="center" vertical="center"/>
    </xf>
    <xf numFmtId="0" fontId="1" fillId="2" borderId="24" applyAlignment="1" pivotButton="0" quotePrefix="0" xfId="0">
      <alignment horizontal="center" vertical="center"/>
    </xf>
    <xf numFmtId="0" fontId="1" fillId="2" borderId="25" applyAlignment="1" pivotButton="0" quotePrefix="0" xfId="0">
      <alignment horizontal="center" vertical="center"/>
    </xf>
    <xf numFmtId="0" fontId="1" fillId="2" borderId="0" applyAlignment="1" pivotButton="0" quotePrefix="0" xfId="0">
      <alignment horizontal="center" vertical="center"/>
    </xf>
    <xf numFmtId="0" fontId="1" fillId="2" borderId="26" applyAlignment="1" pivotButton="0" quotePrefix="0" xfId="0">
      <alignment horizontal="center" vertical="center"/>
    </xf>
    <xf numFmtId="0" fontId="1" fillId="2" borderId="27" applyAlignment="1" pivotButton="0" quotePrefix="0" xfId="0">
      <alignment horizontal="center" vertical="center"/>
    </xf>
    <xf numFmtId="0" fontId="1" fillId="2" borderId="31" applyAlignment="1" pivotButton="0" quotePrefix="0" xfId="0">
      <alignment horizontal="center" vertical="center"/>
    </xf>
    <xf numFmtId="0" fontId="1" fillId="2" borderId="28" applyAlignment="1" pivotButton="0" quotePrefix="0" xfId="0">
      <alignment horizontal="center" vertical="center"/>
    </xf>
    <xf numFmtId="0" fontId="1" fillId="0" borderId="57" applyAlignment="1" pivotButton="0" quotePrefix="0" xfId="0">
      <alignment horizontal="center" wrapText="1"/>
    </xf>
    <xf numFmtId="0" fontId="1" fillId="0" borderId="58" applyAlignment="1" pivotButton="0" quotePrefix="0" xfId="0">
      <alignment horizontal="center" wrapText="1"/>
    </xf>
    <xf numFmtId="0" fontId="0" fillId="0" borderId="59"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1" fillId="0" borderId="62" applyAlignment="1" pivotButton="0" quotePrefix="0" xfId="0">
      <alignment horizontal="center" wrapText="1"/>
    </xf>
    <xf numFmtId="0" fontId="1" fillId="0" borderId="2" applyAlignment="1" pivotButton="0" quotePrefix="0" xfId="0">
      <alignment horizontal="center"/>
    </xf>
    <xf numFmtId="0" fontId="1" fillId="0" borderId="15" applyAlignment="1" pivotButton="0" quotePrefix="0" xfId="0">
      <alignment horizontal="center"/>
    </xf>
    <xf numFmtId="0" fontId="1" fillId="0" borderId="56" applyAlignment="1" pivotButton="0" quotePrefix="0" xfId="0">
      <alignment horizontal="center"/>
    </xf>
    <xf numFmtId="0" fontId="0" fillId="0" borderId="37" applyAlignment="1" pivotButton="0" quotePrefix="0" xfId="0">
      <alignment horizontal="center" vertical="center"/>
    </xf>
    <xf numFmtId="0" fontId="1" fillId="0" borderId="2" applyAlignment="1" pivotButton="0" quotePrefix="0" xfId="0">
      <alignment horizontal="center" vertical="center" wrapText="1"/>
    </xf>
    <xf numFmtId="0" fontId="1" fillId="0" borderId="56" applyAlignment="1" pivotButton="0" quotePrefix="0" xfId="0">
      <alignment horizontal="center" vertical="center" wrapText="1"/>
    </xf>
    <xf numFmtId="0" fontId="1" fillId="0" borderId="14" applyAlignment="1" pivotButton="0" quotePrefix="0" xfId="0">
      <alignment horizontal="center" vertical="center"/>
    </xf>
    <xf numFmtId="0" fontId="1" fillId="0" borderId="21" applyAlignment="1" pivotButton="0" quotePrefix="0" xfId="0">
      <alignment horizontal="center" vertical="center"/>
    </xf>
    <xf numFmtId="0" fontId="1" fillId="0" borderId="35" applyAlignment="1" pivotButton="0" quotePrefix="0" xfId="0">
      <alignment horizontal="center" vertical="center"/>
    </xf>
    <xf numFmtId="0" fontId="1" fillId="0" borderId="22" applyAlignment="1" pivotButton="0" quotePrefix="0" xfId="0">
      <alignment horizontal="center" vertical="center"/>
    </xf>
    <xf numFmtId="0" fontId="0" fillId="0" borderId="71" pivotButton="0" quotePrefix="0" xfId="0"/>
    <xf numFmtId="0" fontId="0" fillId="0" borderId="73" pivotButton="0" quotePrefix="0" xfId="0"/>
    <xf numFmtId="0" fontId="0" fillId="0" borderId="70"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80" pivotButton="0" quotePrefix="0" xfId="0"/>
    <xf numFmtId="0" fontId="0" fillId="0" borderId="81" pivotButton="0" quotePrefix="0" xfId="0"/>
    <xf numFmtId="0" fontId="0" fillId="0" borderId="37" applyAlignment="1" pivotButton="0" quotePrefix="0" xfId="0">
      <alignment horizontal="left" vertical="top" wrapText="1"/>
    </xf>
    <xf numFmtId="0" fontId="1" fillId="0" borderId="37" applyAlignment="1" pivotButton="0" quotePrefix="0" xfId="0">
      <alignment horizontal="center" vertical="center" wrapText="1"/>
    </xf>
    <xf numFmtId="0" fontId="0" fillId="0" borderId="56" pivotButton="0" quotePrefix="0" xfId="0"/>
    <xf numFmtId="0" fontId="0" fillId="2" borderId="1" applyAlignment="1" pivotButton="0" quotePrefix="0" xfId="0">
      <alignment horizontal="left" vertical="top" wrapText="1"/>
    </xf>
    <xf numFmtId="0" fontId="0" fillId="0" borderId="3" pivotButton="0" quotePrefix="0" xfId="0"/>
    <xf numFmtId="0" fontId="0" fillId="0" borderId="39" applyAlignment="1" pivotButton="0" quotePrefix="0" xfId="0">
      <alignment horizontal="center" vertical="center" wrapText="1"/>
    </xf>
    <xf numFmtId="0" fontId="1" fillId="0" borderId="36" applyAlignment="1" pivotButton="0" quotePrefix="0" xfId="0">
      <alignment horizontal="center" wrapText="1"/>
    </xf>
    <xf numFmtId="0" fontId="1" fillId="0" borderId="37" applyAlignment="1" pivotButton="0" quotePrefix="0" xfId="0">
      <alignment horizontal="justify" vertical="top" wrapText="1"/>
    </xf>
    <xf numFmtId="0" fontId="0" fillId="0" borderId="15" pivotButton="0" quotePrefix="0" xfId="0"/>
    <xf numFmtId="0" fontId="1" fillId="0" borderId="38" applyAlignment="1" pivotButton="0" quotePrefix="0" xfId="0">
      <alignment horizontal="center" wrapText="1"/>
    </xf>
    <xf numFmtId="0" fontId="0" fillId="0" borderId="58" pivotButton="0" quotePrefix="0" xfId="0"/>
    <xf numFmtId="0" fontId="0" fillId="0" borderId="40" applyAlignment="1" pivotButton="0" quotePrefix="0" xfId="0">
      <alignment horizontal="justify" vertical="top" wrapText="1"/>
    </xf>
    <xf numFmtId="0" fontId="0" fillId="0" borderId="60" pivotButton="0" quotePrefix="0" xfId="0"/>
    <xf numFmtId="0" fontId="0" fillId="0" borderId="61" pivotButton="0" quotePrefix="0" xfId="0"/>
    <xf numFmtId="0" fontId="0" fillId="0" borderId="25" pivotButton="0" quotePrefix="0" xfId="0"/>
    <xf numFmtId="0" fontId="0" fillId="0" borderId="20" pivotButton="0" quotePrefix="0" xfId="0"/>
    <xf numFmtId="0" fontId="0" fillId="0" borderId="82" pivotButton="0" quotePrefix="0" xfId="0"/>
    <xf numFmtId="0" fontId="0" fillId="0" borderId="67" pivotButton="0" quotePrefix="0" xfId="0"/>
    <xf numFmtId="0" fontId="0" fillId="0" borderId="64" pivotButton="0" quotePrefix="0" xfId="0"/>
    <xf numFmtId="0" fontId="1" fillId="0" borderId="84" applyAlignment="1" pivotButton="0" quotePrefix="0" xfId="0">
      <alignment horizontal="center" vertical="top"/>
    </xf>
    <xf numFmtId="0" fontId="0" fillId="0" borderId="33" pivotButton="0" quotePrefix="0" xfId="0"/>
    <xf numFmtId="0" fontId="0" fillId="0" borderId="34" pivotButton="0" quotePrefix="0" xfId="0"/>
    <xf numFmtId="0" fontId="0" fillId="0" borderId="30" pivotButton="0" quotePrefix="0" xfId="0"/>
    <xf numFmtId="0" fontId="1" fillId="2" borderId="22" applyAlignment="1" pivotButton="0" quotePrefix="0" xfId="0">
      <alignment horizontal="center" vertical="center"/>
    </xf>
    <xf numFmtId="0" fontId="1" fillId="0" borderId="83" applyAlignment="1" pivotButton="0" quotePrefix="0" xfId="0">
      <alignment horizontal="center" vertical="top"/>
    </xf>
    <xf numFmtId="0" fontId="0" fillId="0" borderId="24" pivotButton="0" quotePrefix="0" xfId="0"/>
    <xf numFmtId="0" fontId="1" fillId="0" borderId="83" applyAlignment="1" pivotButton="0" quotePrefix="0" xfId="0">
      <alignment horizontal="justify" vertical="top" wrapText="1"/>
    </xf>
    <xf numFmtId="0" fontId="1" fillId="2" borderId="83" applyAlignment="1" pivotButton="0" quotePrefix="0" xfId="0">
      <alignment horizontal="center" vertical="center"/>
    </xf>
    <xf numFmtId="0" fontId="0" fillId="0" borderId="26" pivotButton="0" quotePrefix="0" xfId="0"/>
    <xf numFmtId="0" fontId="0" fillId="0" borderId="27" pivotButton="0" quotePrefix="0" xfId="0"/>
    <xf numFmtId="0" fontId="0" fillId="0" borderId="28" pivotButton="0" quotePrefix="0" xfId="0"/>
    <xf numFmtId="0" fontId="0" fillId="0" borderId="31" pivotButton="0" quotePrefix="0" xfId="0"/>
    <xf numFmtId="0" fontId="0" fillId="0" borderId="52" pivotButton="0" quotePrefix="0" xfId="0"/>
    <xf numFmtId="0" fontId="0" fillId="0" borderId="79" pivotButton="0" quotePrefix="0" xfId="0"/>
    <xf numFmtId="0" fontId="0" fillId="0" borderId="84" applyAlignment="1" pivotButton="0" quotePrefix="0" xfId="0">
      <alignment horizontal="justify" vertical="top" wrapText="1"/>
    </xf>
    <xf numFmtId="0" fontId="0" fillId="0" borderId="53" pivotButton="0" quotePrefix="0" xfId="0"/>
    <xf numFmtId="0" fontId="1" fillId="0" borderId="43" applyAlignment="1" pivotButton="0" quotePrefix="0" xfId="0">
      <alignment horizontal="center" vertical="top" wrapText="1"/>
    </xf>
    <xf numFmtId="0" fontId="0" fillId="0" borderId="41" pivotButton="0" quotePrefix="0" xfId="0"/>
    <xf numFmtId="0" fontId="1" fillId="0" borderId="45" applyAlignment="1" pivotButton="0" quotePrefix="0" xfId="0">
      <alignment horizontal="justify" vertical="top" wrapText="1"/>
    </xf>
    <xf numFmtId="0" fontId="0" fillId="0" borderId="44" applyAlignment="1" pivotButton="0" quotePrefix="0" xfId="0">
      <alignment horizontal="left" vertical="top" wrapText="1"/>
    </xf>
    <xf numFmtId="0" fontId="0" fillId="0" borderId="45" applyAlignment="1" pivotButton="0" quotePrefix="0" xfId="0">
      <alignment horizontal="center" vertical="center" wrapText="1"/>
    </xf>
    <xf numFmtId="0" fontId="1" fillId="0" borderId="38" applyAlignment="1" pivotButton="0" quotePrefix="0" xfId="0">
      <alignment horizontal="justify" vertical="top" wrapText="1"/>
    </xf>
    <xf numFmtId="0" fontId="1" fillId="0" borderId="40" applyAlignment="1" pivotButton="0" quotePrefix="0" xfId="0">
      <alignment horizontal="justify" vertical="top" wrapText="1"/>
    </xf>
    <xf numFmtId="0" fontId="0" fillId="0" borderId="19" pivotButton="0" quotePrefix="0" xfId="0"/>
    <xf numFmtId="0" fontId="0" fillId="0" borderId="54" pivotButton="0" quotePrefix="0" xfId="0"/>
    <xf numFmtId="0" fontId="0" fillId="0" borderId="55" pivotButton="0" quotePrefix="0" xfId="0"/>
    <xf numFmtId="0" fontId="0" fillId="0" borderId="3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1</col>
      <colOff>80679</colOff>
      <row>1</row>
      <rowOff>112643</rowOff>
    </from>
    <to>
      <col>2</col>
      <colOff>0</colOff>
      <row>2</row>
      <rowOff>174734</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2929" y="303143"/>
          <a:ext cx="916271" cy="35101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50"/>
  <sheetViews>
    <sheetView tabSelected="1" zoomScaleNormal="100" workbookViewId="0">
      <selection activeCell="L4" sqref="L4"/>
    </sheetView>
  </sheetViews>
  <sheetFormatPr baseColWidth="10" defaultColWidth="10.85546875" defaultRowHeight="15"/>
  <cols>
    <col width="3.140625" customWidth="1" style="15" min="1" max="1"/>
    <col width="14.28515625" customWidth="1" style="15" min="2" max="2"/>
    <col width="11.28515625" bestFit="1" customWidth="1" style="15" min="3" max="3"/>
    <col width="12.28515625" customWidth="1" style="15" min="4" max="4"/>
    <col width="10.140625" customWidth="1" style="15" min="5" max="5"/>
    <col width="10.85546875" customWidth="1" style="15" min="6" max="6"/>
    <col width="10.85546875" customWidth="1" style="15" min="7" max="7"/>
    <col width="9.85546875" customWidth="1" style="15" min="8" max="8"/>
    <col width="16.7109375" customWidth="1" style="15" min="9" max="9"/>
    <col width="10.85546875" customWidth="1" style="15" min="10" max="16384"/>
  </cols>
  <sheetData>
    <row r="1" ht="15.75" customHeight="1" thickBot="1">
      <c r="C1" s="16" t="n"/>
      <c r="D1" s="16" t="n"/>
      <c r="E1" s="16" t="n"/>
      <c r="F1" s="16" t="n"/>
      <c r="G1" s="16" t="n"/>
      <c r="H1" s="16" t="n"/>
    </row>
    <row r="2" ht="22.5" customHeight="1" thickTop="1">
      <c r="B2" s="46" t="n"/>
      <c r="C2" s="48" t="inlineStr">
        <is>
          <t>FORMATO</t>
        </is>
      </c>
      <c r="D2" s="163" t="n"/>
      <c r="E2" s="163" t="n"/>
      <c r="F2" s="163" t="n"/>
      <c r="G2" s="163" t="n"/>
      <c r="H2" s="164" t="n"/>
      <c r="I2" s="6" t="inlineStr">
        <is>
          <t>Versión:  1</t>
        </is>
      </c>
    </row>
    <row r="3" ht="20.25" customHeight="1">
      <c r="B3" s="165" t="n"/>
      <c r="C3" s="166" t="n"/>
      <c r="D3" s="167" t="n"/>
      <c r="E3" s="167" t="n"/>
      <c r="F3" s="167" t="n"/>
      <c r="G3" s="167" t="n"/>
      <c r="H3" s="168" t="n"/>
      <c r="I3" s="7" t="inlineStr">
        <is>
          <t>Código: IAC-201-f1</t>
        </is>
      </c>
    </row>
    <row r="4" ht="21" customHeight="1" thickBot="1">
      <c r="B4" s="50" t="inlineStr">
        <is>
          <t xml:space="preserve">SYLLABUS </t>
        </is>
      </c>
      <c r="C4" s="169" t="n"/>
      <c r="D4" s="169" t="n"/>
      <c r="E4" s="169" t="n"/>
      <c r="F4" s="169" t="n"/>
      <c r="G4" s="169" t="n"/>
      <c r="H4" s="169" t="n"/>
      <c r="I4" s="8" t="inlineStr">
        <is>
          <t>Fecha: PENDIENTE</t>
        </is>
      </c>
    </row>
    <row r="5" ht="16.5" customHeight="1" thickBot="1" thickTop="1">
      <c r="B5" s="159" t="n"/>
      <c r="C5" s="170" t="n"/>
      <c r="D5" s="170" t="n"/>
      <c r="E5" s="170" t="n"/>
      <c r="F5" s="170" t="n"/>
      <c r="G5" s="170" t="n"/>
      <c r="H5" s="170" t="n"/>
      <c r="I5" s="171" t="n"/>
    </row>
    <row r="6">
      <c r="B6" s="160" t="inlineStr">
        <is>
          <t>1.	Información General de la Unidad de Estudio</t>
        </is>
      </c>
      <c r="C6" s="172" t="n"/>
      <c r="D6" s="172" t="n"/>
      <c r="E6" s="172" t="n"/>
      <c r="F6" s="172" t="n"/>
      <c r="G6" s="172" t="n"/>
      <c r="H6" s="172" t="n"/>
      <c r="I6" s="173" t="n"/>
    </row>
    <row r="7" ht="60" customHeight="1">
      <c r="B7" s="37" t="inlineStr">
        <is>
          <t>Año</t>
        </is>
      </c>
      <c r="C7" s="54" t="inlineStr">
        <is>
          <t>2026</t>
        </is>
      </c>
      <c r="D7" s="57" t="inlineStr">
        <is>
          <t>Código Plan de estudios</t>
        </is>
      </c>
      <c r="E7" s="54" t="inlineStr">
        <is>
          <t>TODOS</t>
        </is>
      </c>
      <c r="F7" s="57" t="inlineStr">
        <is>
          <t>Código Unidad de Estudio</t>
        </is>
      </c>
      <c r="G7" s="54" t="inlineStr">
        <is>
          <t>HFPF0038</t>
        </is>
      </c>
      <c r="H7" s="57" t="inlineStr">
        <is>
          <t>Tipo Unidad de estudio</t>
        </is>
      </c>
      <c r="I7" s="174" t="inlineStr">
        <is>
          <t>Transversal</t>
        </is>
      </c>
    </row>
    <row r="8" ht="30" customHeight="1">
      <c r="B8" s="37" t="inlineStr">
        <is>
          <t>Modalidad</t>
        </is>
      </c>
      <c r="C8" s="55" t="inlineStr">
        <is>
          <t>Presencial</t>
        </is>
      </c>
      <c r="D8" s="57" t="inlineStr">
        <is>
          <t>X</t>
        </is>
      </c>
      <c r="E8" s="55" t="inlineStr">
        <is>
          <t>Virtual</t>
        </is>
      </c>
      <c r="F8" s="57" t="n"/>
      <c r="G8" s="57" t="inlineStr">
        <is>
          <t>Presencial y Virtual</t>
        </is>
      </c>
      <c r="H8" s="175" t="n"/>
      <c r="I8" s="176" t="n"/>
    </row>
    <row r="9" ht="45" customHeight="1">
      <c r="B9" s="39" t="inlineStr">
        <is>
          <t xml:space="preserve">Nivel </t>
        </is>
      </c>
      <c r="C9" s="177" t="inlineStr">
        <is>
          <t>Pregrado</t>
        </is>
      </c>
      <c r="D9" s="55" t="inlineStr">
        <is>
          <t>Programas</t>
        </is>
      </c>
      <c r="E9" s="54" t="inlineStr">
        <is>
          <t>TODOS</t>
        </is>
      </c>
      <c r="F9" s="178" t="n"/>
      <c r="G9" s="57" t="inlineStr">
        <is>
          <t>Nombre Unidad  de estudios</t>
        </is>
      </c>
      <c r="H9" s="54" t="inlineStr">
        <is>
          <t>CEREBRO EN FORMA</t>
        </is>
      </c>
      <c r="I9" s="178" t="n"/>
    </row>
    <row r="10" ht="30.75" customHeight="1" thickBot="1">
      <c r="B10" s="40" t="inlineStr">
        <is>
          <t>Créditos Académicos</t>
        </is>
      </c>
      <c r="C10" s="179" t="inlineStr">
        <is>
          <t>2</t>
        </is>
      </c>
      <c r="D10" s="41" t="inlineStr">
        <is>
          <t>HAD</t>
        </is>
      </c>
      <c r="E10" s="179" t="inlineStr">
        <is>
          <t>36</t>
        </is>
      </c>
      <c r="F10" s="41" t="inlineStr">
        <is>
          <t>HTA</t>
        </is>
      </c>
      <c r="G10" s="179" t="inlineStr">
        <is>
          <t>60</t>
        </is>
      </c>
      <c r="H10" s="41" t="inlineStr">
        <is>
          <t>HT</t>
        </is>
      </c>
      <c r="I10" s="43">
        <f>E10+G10</f>
        <v/>
      </c>
    </row>
    <row r="11">
      <c r="B11" s="83" t="inlineStr">
        <is>
          <t>2.	Descripción  Resultados de Aprendizaje.</t>
        </is>
      </c>
      <c r="C11" s="172" t="n"/>
      <c r="D11" s="172" t="n"/>
      <c r="E11" s="172" t="n"/>
      <c r="F11" s="172" t="n"/>
      <c r="G11" s="172" t="n"/>
      <c r="H11" s="172" t="n"/>
      <c r="I11" s="173" t="n"/>
    </row>
    <row r="12" ht="31.5" customHeight="1">
      <c r="B12" s="180" t="inlineStr">
        <is>
          <t>Descripción de la unidad de estudio</t>
        </is>
      </c>
      <c r="C12" s="178" t="n"/>
      <c r="D12" s="181" t="inlineStr">
        <is>
          <t>Fomentar una mentalidad abierta, flexible y analítica, como elementos de apoyo para tomar decisiones, resolver problemas de manera efectiva y adaptarse con agilidad a los cambios y desafíos constantes que presentan en la vida cotidiana.</t>
        </is>
      </c>
      <c r="E12" s="182" t="n"/>
      <c r="F12" s="182" t="n"/>
      <c r="G12" s="182" t="n"/>
      <c r="H12" s="182" t="n"/>
      <c r="I12" s="176" t="n"/>
    </row>
    <row r="13" ht="15.75" customHeight="1" thickBot="1">
      <c r="B13" s="183" t="inlineStr">
        <is>
          <t>Resultado de Aprendizaje</t>
        </is>
      </c>
      <c r="C13" s="184" t="n"/>
      <c r="D13" s="185" t="inlineStr">
        <is>
          <t>Desarrolla los procesos cognitivos y las habilidades para pensar, aplicando las metodologías del pensamiento crítico y la responsabilidad personal, tanto en la vida cotidiana como en los desafíos del día a día.</t>
        </is>
      </c>
      <c r="E13" s="186" t="n"/>
      <c r="F13" s="186" t="n"/>
      <c r="G13" s="186" t="n"/>
      <c r="H13" s="186" t="n"/>
      <c r="I13" s="187" t="n"/>
    </row>
    <row r="14">
      <c r="B14" s="83" t="inlineStr">
        <is>
          <t>3.	Contenidos</t>
        </is>
      </c>
      <c r="C14" s="172" t="n"/>
      <c r="D14" s="172" t="n"/>
      <c r="E14" s="172" t="n"/>
      <c r="F14" s="172" t="n"/>
      <c r="G14" s="172" t="n"/>
      <c r="H14" s="172" t="n"/>
      <c r="I14" s="173" t="n"/>
    </row>
    <row r="15">
      <c r="B15" s="126" t="inlineStr">
        <is>
          <t>En este apartado se solicita diligenciar los temas que harán parte de los contenidos de la UE teniendo en cuenta si la unidad se desarrolla de Ciclo, Módulo o Semestre</t>
        </is>
      </c>
      <c r="C15" s="170" t="n"/>
      <c r="D15" s="170" t="n"/>
      <c r="E15" s="170" t="n"/>
      <c r="F15" s="170" t="n"/>
      <c r="G15" s="170" t="n"/>
      <c r="H15" s="170" t="n"/>
      <c r="I15" s="171" t="n"/>
    </row>
    <row r="16">
      <c r="B16" s="188" t="n"/>
      <c r="I16" s="189" t="n"/>
    </row>
    <row r="17" ht="15.75" customHeight="1" thickBot="1">
      <c r="B17" s="190" t="n"/>
      <c r="C17" s="191" t="n"/>
      <c r="D17" s="191" t="n"/>
      <c r="E17" s="191" t="n"/>
      <c r="F17" s="191" t="n"/>
      <c r="G17" s="191" t="n"/>
      <c r="H17" s="191" t="n"/>
      <c r="I17" s="192" t="n"/>
    </row>
    <row r="18" ht="15.75" customHeight="1" thickBot="1">
      <c r="B18" s="193" t="inlineStr">
        <is>
          <t>Contenidos Unidad de estudio: dar tipología 4.5 semanas, 9 semanas y 18 semanas</t>
        </is>
      </c>
      <c r="C18" s="194" t="n"/>
      <c r="D18" s="194" t="n"/>
      <c r="E18" s="194" t="n"/>
      <c r="F18" s="194" t="n"/>
      <c r="G18" s="194" t="n"/>
      <c r="H18" s="194" t="n"/>
      <c r="I18" s="195" t="n"/>
    </row>
    <row r="19">
      <c r="B19" s="160" t="inlineStr">
        <is>
          <t>Módulo</t>
        </is>
      </c>
      <c r="C19" s="162" t="inlineStr">
        <is>
          <t>4.5 Semanas</t>
        </is>
      </c>
      <c r="D19" s="160" t="inlineStr">
        <is>
          <t>Ciclo</t>
        </is>
      </c>
      <c r="E19" s="162" t="inlineStr">
        <is>
          <t>9 Semanas</t>
        </is>
      </c>
      <c r="F19" s="196" t="n"/>
      <c r="G19" s="29" t="inlineStr">
        <is>
          <t>Semestre</t>
        </is>
      </c>
      <c r="H19" s="197" t="inlineStr">
        <is>
          <t>18 Semanas</t>
        </is>
      </c>
      <c r="I19" s="196" t="n"/>
    </row>
    <row r="20">
      <c r="B20" s="198" t="n"/>
      <c r="C20" s="199" t="n"/>
      <c r="D20" s="200" t="inlineStr">
        <is>
          <t>• Cerebro
• Inteligencia y comunicación
• Equilibrando nuestra vida. Propuesta de situación desafiante: reto
• Pensamiento Sistémico y 5E del Pensamiento Crítico en la idea
• Mapeando: Pensamiento Irradiante. Desarrollo de la Idea
• Planifica y decide
• Accountability
• Desarrollo del Accountability en Proyectos: Aterrizando la idea
• Proyectando la idea. Presentación de Proyectos
• Alineación y ajuste de la idea, propiciando avances y cambios.
• Ejercicios Consultivos</t>
        </is>
      </c>
      <c r="E20" s="170" t="n"/>
      <c r="F20" s="199" t="n"/>
      <c r="G20" s="201" t="n"/>
      <c r="H20" s="170" t="n"/>
      <c r="I20" s="199" t="n"/>
    </row>
    <row r="21">
      <c r="B21" s="188" t="n"/>
      <c r="C21" s="202" t="n"/>
      <c r="D21" s="188" t="n"/>
      <c r="F21" s="202" t="n"/>
      <c r="G21" s="188" t="n"/>
      <c r="I21" s="202" t="n"/>
    </row>
    <row r="22">
      <c r="B22" s="188" t="n"/>
      <c r="C22" s="202" t="n"/>
      <c r="D22" s="188" t="n"/>
      <c r="F22" s="202" t="n"/>
      <c r="G22" s="188" t="n"/>
      <c r="I22" s="202" t="n"/>
    </row>
    <row r="23">
      <c r="B23" s="188" t="n"/>
      <c r="C23" s="202" t="n"/>
      <c r="D23" s="188" t="n"/>
      <c r="F23" s="202" t="n"/>
      <c r="G23" s="188" t="n"/>
      <c r="I23" s="202" t="n"/>
    </row>
    <row r="24">
      <c r="B24" s="188" t="n"/>
      <c r="C24" s="202" t="n"/>
      <c r="D24" s="188" t="n"/>
      <c r="F24" s="202" t="n"/>
      <c r="G24" s="188" t="n"/>
      <c r="I24" s="202" t="n"/>
    </row>
    <row r="25">
      <c r="B25" s="188" t="n"/>
      <c r="C25" s="202" t="n"/>
      <c r="D25" s="188" t="n"/>
      <c r="F25" s="202" t="n"/>
      <c r="G25" s="188" t="n"/>
      <c r="I25" s="202" t="n"/>
    </row>
    <row r="26" ht="15.75" customHeight="1" thickBot="1">
      <c r="B26" s="203" t="n"/>
      <c r="C26" s="204" t="n"/>
      <c r="D26" s="203" t="n"/>
      <c r="E26" s="205" t="n"/>
      <c r="F26" s="204" t="n"/>
      <c r="G26" s="203" t="n"/>
      <c r="H26" s="205" t="n"/>
      <c r="I26" s="204" t="n"/>
    </row>
    <row r="27" ht="15.75" customHeight="1" thickBot="1">
      <c r="B27" s="87" t="inlineStr">
        <is>
          <t>4.	Esquema de Calificación</t>
        </is>
      </c>
      <c r="C27" s="206" t="n"/>
      <c r="D27" s="206" t="n"/>
      <c r="E27" s="206" t="n"/>
      <c r="F27" s="206" t="n"/>
      <c r="G27" s="206" t="n"/>
      <c r="H27" s="206" t="n"/>
      <c r="I27" s="207" t="n"/>
    </row>
    <row r="28" ht="14.45" customHeight="1">
      <c r="B28" s="208" t="inlineStr">
        <is>
          <t>Esquema de Calificación: (Asignación puntajes, notas y ponderación que tienen las actividades desarrolladas en la Unidad de Estudio).
40%
En cada clase: Observación directa, participación, ejercitando
Competencias + Autoevaluación
Desafío Aula Invertida: Estudio de caso, ejercicio de práctico para reforzar lo aprendido, revisión siguiente clase.
60%
Proyecto idea innovadora: Aplicación de metodologías aprendidas en el desarrollo de un proyecto innovador.
Desplazamiento</t>
        </is>
      </c>
      <c r="C28" s="206" t="n"/>
      <c r="D28" s="206" t="n"/>
      <c r="E28" s="206" t="n"/>
      <c r="F28" s="206" t="n"/>
      <c r="G28" s="206" t="n"/>
      <c r="H28" s="206" t="n"/>
      <c r="I28" s="209" t="n"/>
    </row>
    <row r="29">
      <c r="B29" s="188" t="n"/>
      <c r="I29" s="202" t="n"/>
    </row>
    <row r="30">
      <c r="B30" s="188" t="n"/>
      <c r="I30" s="202" t="n"/>
    </row>
    <row r="31">
      <c r="B31" s="188" t="n"/>
      <c r="I31" s="202" t="n"/>
    </row>
    <row r="32" ht="15.75" customHeight="1" thickBot="1">
      <c r="B32" s="203" t="n"/>
      <c r="C32" s="205" t="n"/>
      <c r="D32" s="205" t="n"/>
      <c r="E32" s="205" t="n"/>
      <c r="F32" s="205" t="n"/>
      <c r="G32" s="205" t="n"/>
      <c r="H32" s="205" t="n"/>
      <c r="I32" s="204" t="n"/>
    </row>
    <row r="33" ht="34.5" customHeight="1" thickBot="1">
      <c r="B33" s="210" t="inlineStr">
        <is>
          <t>5. Recursos Tecnológicos (Describir los recursos como software, sala de cómputos, laboratorios)</t>
        </is>
      </c>
      <c r="C33" s="194" t="n"/>
      <c r="D33" s="194" t="n"/>
      <c r="E33" s="211" t="n"/>
      <c r="F33" s="212" t="inlineStr">
        <is>
          <t>Proyector o Pantalla Interactiva
Aplicaciones en Google Docs/Google Slides/Google forms Aplicaciones para juegos interactivos
Encuestas en vivo
Videos educativos YouTube Comunidad de aprendizaje Telegram</t>
        </is>
      </c>
      <c r="G33" s="194" t="n"/>
      <c r="H33" s="194" t="n"/>
      <c r="I33" s="195" t="n"/>
    </row>
    <row r="34" ht="15.75" customHeight="1" thickBot="1">
      <c r="B34" s="90" t="inlineStr">
        <is>
          <t>6. Componente de Lengua extranjera</t>
        </is>
      </c>
      <c r="C34" s="194" t="n"/>
      <c r="D34" s="194" t="n"/>
      <c r="E34" s="211" t="n"/>
      <c r="F34" s="213" t="inlineStr">
        <is>
          <t>Inglés</t>
        </is>
      </c>
      <c r="G34" s="211" t="n"/>
      <c r="H34" s="91" t="inlineStr">
        <is>
          <t>Porcentaje</t>
        </is>
      </c>
      <c r="I34" s="214" t="inlineStr">
        <is>
          <t>0.1</t>
        </is>
      </c>
    </row>
    <row r="35">
      <c r="B35" s="83" t="inlineStr">
        <is>
          <t>7.	Bibliografía Obligatoria y Complementaria.</t>
        </is>
      </c>
      <c r="C35" s="172" t="n"/>
      <c r="D35" s="172" t="n"/>
      <c r="E35" s="172" t="n"/>
      <c r="F35" s="172" t="n"/>
      <c r="G35" s="172" t="n"/>
      <c r="H35" s="172" t="n"/>
      <c r="I35" s="173" t="n"/>
    </row>
    <row r="36" ht="14.45" customHeight="1">
      <c r="B36" s="215" t="inlineStr">
        <is>
          <t>Bibliografía Obligatoria
Cerebro
Montes, Z. G. de, Montes G., L., &amp; Gallardo M., S. (Eds.). (2017). Cerebro, inteligencias y mapas mentales. Ilustraciones de I. Montes G.
Zúñiga Gutiérrez, M. Á., &amp; Puente Berdasco, D. (2017). Music thinking: Explorando el cerebro creativo.
Ivanova, O. (2024). Lenguas naturales, sistemas cognitivos humanos y los límites del cerebro lingüístico. Borealis, 13, xxxvii–xl.
Sánchez, B. M. (2018). Cerebro productivo. Prólogo de N. Braidot.
Salmi, J., Pallesen, K. J., Neuvonen, T., Brattico, E., Korvenoja, A., Salonen, O., &amp; Carlson, S. (2010). Cognitive and motor loops of the human cerebro-cerebellar system. Journal of Cognitive Neuroscience, 22, 2663–2676.
Izaguirre Sotomayor, M. H. (2017). Neuroproceso de la enseñanza y el aprendizaje: Metodología de la aplicación de la neurociencia en la educación.
Accountability / Responsabilidad
Arendt, H. (2021). Responsabilidad personal y colectiva. En P. J. Grande Sánchez (Ed.), Anuario Filosófico, 54, 619–636.
García García, J., Belando Pedreño, N., Fernández Río, J., &amp; Valero Valenzuela, A. (2023). Conductas prosociales, actividad física y perfil de responsabilidad personal y social en niños y adolescentes. Apunts. Educación Física y Deportes, 3, 79–89.
Prat, Q., Camerino, O., Castañer, M., Andueza, J., &amp; Puigarnau, S. (2019). El modelo pedagógico de responsabilidad personal y social como motor de innovación en educación física. Apunts. Educación Física y Deportes, 2, 83–99.</t>
        </is>
      </c>
      <c r="C36" s="170" t="n"/>
      <c r="D36" s="170" t="n"/>
      <c r="E36" s="171" t="n"/>
      <c r="F36" s="216" t="inlineStr">
        <is>
          <t>Bibliografía Complementaria
Ribero, Lair, Inteligencia aplicada, Barcelona España, 2003
Manes, Facundo, Usar el Cerebro, conocer nuestra mente para vivir mejor, Buenos Aires, Argentina, 2016
Figallo, Rhaiza, Cerebro en Forma, Potenciando tu Potencial, Inglaterra, 2018
Bachrach, Estanislao, En Cambio, aprende a modificar tu Cerebro, Buenos aires Argentina, 2016
Ramírez, Luis Manuel, Responsabilidad Evolutiva, Inglaterra, 2017 Ramírez, Luis Manuel, Responsabilidad Personal, Venezuela, 2008
NEWSLETTER CEREBRO EN FORMA
https://www.linkedin.com/build-relation/newsletter-f
NEWSLETTER LIDERAZGO EVOLUTIVO
https://www.linkedin.com/newsletters/liderazgo-evolutivo- 7241532408997584896/ollow?entityUrn=7242922992043720705</t>
        </is>
      </c>
      <c r="G36" s="170" t="n"/>
      <c r="H36" s="170" t="n"/>
      <c r="I36" s="199" t="n"/>
    </row>
    <row r="37">
      <c r="B37" s="188" t="n"/>
      <c r="E37" s="189" t="n"/>
      <c r="F37" s="217" t="n"/>
      <c r="I37" s="202" t="n"/>
    </row>
    <row r="38">
      <c r="B38" s="188" t="n"/>
      <c r="E38" s="189" t="n"/>
      <c r="F38" s="217" t="n"/>
      <c r="I38" s="202" t="n"/>
    </row>
    <row r="39">
      <c r="B39" s="188" t="n"/>
      <c r="E39" s="189" t="n"/>
      <c r="F39" s="217" t="n"/>
      <c r="I39" s="202" t="n"/>
    </row>
    <row r="40">
      <c r="B40" s="188" t="n"/>
      <c r="E40" s="189" t="n"/>
      <c r="F40" s="217" t="n"/>
      <c r="I40" s="202" t="n"/>
    </row>
    <row r="41">
      <c r="B41" s="188" t="n"/>
      <c r="E41" s="189" t="n"/>
      <c r="F41" s="217" t="n"/>
      <c r="I41" s="202" t="n"/>
    </row>
    <row r="42" ht="15.75" customHeight="1" thickBot="1">
      <c r="B42" s="203" t="n"/>
      <c r="C42" s="205" t="n"/>
      <c r="D42" s="205" t="n"/>
      <c r="E42" s="218" t="n"/>
      <c r="F42" s="219" t="n"/>
      <c r="G42" s="205" t="n"/>
      <c r="H42" s="205" t="n"/>
      <c r="I42" s="204" t="n"/>
    </row>
    <row r="43">
      <c r="B43" s="83" t="inlineStr">
        <is>
          <t>8. Control de Cambios</t>
        </is>
      </c>
      <c r="C43" s="172" t="n"/>
      <c r="D43" s="172" t="n"/>
      <c r="E43" s="172" t="n"/>
      <c r="F43" s="172" t="n"/>
      <c r="G43" s="172" t="n"/>
      <c r="H43" s="172" t="n"/>
      <c r="I43" s="173" t="n"/>
    </row>
    <row r="44">
      <c r="B44" s="32" t="inlineStr">
        <is>
          <t># versión</t>
        </is>
      </c>
      <c r="C44" s="45" t="inlineStr">
        <is>
          <t>Fecha</t>
        </is>
      </c>
      <c r="D44" s="45" t="inlineStr">
        <is>
          <t>Elaboró</t>
        </is>
      </c>
      <c r="E44" s="45" t="inlineStr">
        <is>
          <t>Revisó</t>
        </is>
      </c>
      <c r="F44" s="45" t="inlineStr">
        <is>
          <t>Aprobó</t>
        </is>
      </c>
      <c r="G44" s="45" t="inlineStr">
        <is>
          <t>Descripción del cambio</t>
        </is>
      </c>
      <c r="H44" s="182" t="n"/>
      <c r="I44" s="178" t="n"/>
    </row>
    <row r="45">
      <c r="B45" s="220" t="inlineStr">
        <is>
          <t>0</t>
        </is>
      </c>
      <c r="C45" s="54" t="inlineStr">
        <is>
          <t>25/02/26</t>
        </is>
      </c>
      <c r="D45" s="14" t="n"/>
      <c r="E45" s="14" t="n"/>
      <c r="F45" s="14" t="n"/>
      <c r="G45" s="54" t="inlineStr">
        <is>
          <t>Adaptación Formato NV(2)</t>
        </is>
      </c>
      <c r="H45" s="182" t="n"/>
      <c r="I45" s="178" t="n"/>
    </row>
    <row r="46">
      <c r="B46" s="33" t="n"/>
      <c r="C46" s="14" t="n"/>
      <c r="D46" s="14" t="n"/>
      <c r="E46" s="14" t="n"/>
      <c r="F46" s="14" t="n"/>
      <c r="G46" s="44" t="n"/>
      <c r="H46" s="182" t="n"/>
      <c r="I46" s="178" t="n"/>
    </row>
    <row r="47">
      <c r="B47" s="33" t="n"/>
      <c r="C47" s="14" t="n"/>
      <c r="D47" s="14" t="n"/>
      <c r="E47" s="14" t="n"/>
      <c r="F47" s="14" t="n"/>
      <c r="G47" s="44" t="n"/>
      <c r="H47" s="182" t="n"/>
      <c r="I47" s="178" t="n"/>
    </row>
    <row r="48">
      <c r="B48" s="33" t="n"/>
      <c r="C48" s="14" t="n"/>
      <c r="D48" s="14" t="n"/>
      <c r="E48" s="14" t="n"/>
      <c r="F48" s="14" t="n"/>
      <c r="G48" s="44" t="n"/>
      <c r="H48" s="182" t="n"/>
      <c r="I48" s="178" t="n"/>
    </row>
    <row r="49">
      <c r="B49" s="33" t="n"/>
      <c r="C49" s="14" t="n"/>
      <c r="D49" s="14" t="n"/>
      <c r="E49" s="14" t="n"/>
      <c r="F49" s="14" t="n"/>
      <c r="G49" s="44" t="n"/>
      <c r="H49" s="182" t="n"/>
      <c r="I49" s="178" t="n"/>
    </row>
    <row r="50" ht="15.75" customHeight="1" thickBot="1">
      <c r="B50" s="34" t="n"/>
      <c r="C50" s="35" t="n"/>
      <c r="D50" s="35" t="n"/>
      <c r="E50" s="35" t="n"/>
      <c r="F50" s="35" t="n"/>
      <c r="G50" s="81" t="n"/>
      <c r="H50" s="186" t="n"/>
      <c r="I50" s="184" t="n"/>
    </row>
  </sheetData>
  <mergeCells count="38">
    <mergeCell ref="F36:I42"/>
    <mergeCell ref="D13:I13"/>
    <mergeCell ref="F34:G34"/>
    <mergeCell ref="B20:C26"/>
    <mergeCell ref="B33:E33"/>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G47:I47"/>
    <mergeCell ref="G20:I26"/>
    <mergeCell ref="G50:I50"/>
    <mergeCell ref="G44:I44"/>
    <mergeCell ref="G46:I46"/>
    <mergeCell ref="H19:I19"/>
    <mergeCell ref="F33:I33"/>
    <mergeCell ref="D20:F26"/>
    <mergeCell ref="C2:H3"/>
    <mergeCell ref="B6:I6"/>
    <mergeCell ref="B15:I17"/>
    <mergeCell ref="B28:I32"/>
    <mergeCell ref="B5:I5"/>
    <mergeCell ref="G48:I48"/>
    <mergeCell ref="H8:I8"/>
    <mergeCell ref="B35:I35"/>
    <mergeCell ref="B34:E34"/>
  </mergeCells>
  <pageMargins left="0.25" right="0.25" top="0.75" bottom="0.75" header="0.3" footer="0.3"/>
  <pageSetup orientation="portrait" paperSize="346" horizontalDpi="4294967293" vertic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2" sqref="D2"/>
    </sheetView>
  </sheetViews>
  <sheetFormatPr baseColWidth="10" defaultColWidth="10.85546875" defaultRowHeight="15"/>
  <cols>
    <col width="16.85546875" bestFit="1" customWidth="1" style="15" min="1" max="1"/>
    <col width="18.140625" bestFit="1" customWidth="1" style="15" min="2" max="2"/>
    <col width="1.85546875" bestFit="1" customWidth="1" style="15" min="3" max="3"/>
    <col width="3.85546875" bestFit="1" customWidth="1" style="15" min="4" max="5"/>
    <col width="9.140625" bestFit="1" customWidth="1" style="15" min="6" max="6"/>
    <col width="5.28515625" bestFit="1" customWidth="1" style="15" min="7" max="7"/>
    <col width="10.85546875" customWidth="1" style="15" min="8" max="16384"/>
  </cols>
  <sheetData>
    <row r="1">
      <c r="A1" s="15" t="inlineStr">
        <is>
          <t>Nuclear</t>
        </is>
      </c>
      <c r="B1" s="15" t="inlineStr">
        <is>
          <t>FAFCE</t>
        </is>
      </c>
      <c r="C1" s="15" t="n">
        <v>2</v>
      </c>
      <c r="D1" s="15" t="n">
        <v>36</v>
      </c>
      <c r="E1" s="15" t="n">
        <v>60</v>
      </c>
      <c r="F1" s="15" t="inlineStr">
        <is>
          <t>Inglés</t>
        </is>
      </c>
      <c r="G1" s="17" t="n">
        <v>0.1</v>
      </c>
      <c r="H1" s="15" t="inlineStr">
        <is>
          <t>Posgrado</t>
        </is>
      </c>
    </row>
    <row r="2">
      <c r="A2" s="15" t="inlineStr">
        <is>
          <t>Transversal</t>
        </is>
      </c>
      <c r="B2" s="15" t="inlineStr">
        <is>
          <t>FIN</t>
        </is>
      </c>
      <c r="C2" s="15" t="n">
        <v>3</v>
      </c>
      <c r="D2" s="15" t="n">
        <v>54</v>
      </c>
      <c r="E2" s="15" t="n">
        <v>90</v>
      </c>
      <c r="F2" s="15" t="inlineStr">
        <is>
          <t>Alemán</t>
        </is>
      </c>
      <c r="G2" s="17" t="n">
        <v>0.2</v>
      </c>
      <c r="H2" s="15" t="inlineStr">
        <is>
          <t>Pregrado</t>
        </is>
      </c>
    </row>
    <row r="3">
      <c r="A3" s="15" t="inlineStr">
        <is>
          <t>Electiva</t>
        </is>
      </c>
      <c r="B3" s="15" t="inlineStr">
        <is>
          <t>FCSH</t>
        </is>
      </c>
      <c r="C3" s="15" t="n">
        <v>4</v>
      </c>
      <c r="D3" s="15" t="n">
        <v>72</v>
      </c>
      <c r="E3" s="15" t="n">
        <v>120</v>
      </c>
      <c r="F3" s="15" t="inlineStr">
        <is>
          <t>Italiano</t>
        </is>
      </c>
      <c r="G3" s="17" t="n">
        <v>0.3</v>
      </c>
    </row>
    <row r="4">
      <c r="A4" s="15" t="inlineStr">
        <is>
          <t>Requisito de Grado</t>
        </is>
      </c>
      <c r="B4" s="15" t="inlineStr">
        <is>
          <t>EMPRENDIMIENTO</t>
        </is>
      </c>
      <c r="C4" s="15" t="n">
        <v>5</v>
      </c>
      <c r="D4" s="15" t="n">
        <v>90</v>
      </c>
      <c r="E4" s="15" t="n">
        <v>102</v>
      </c>
      <c r="F4" s="15" t="inlineStr">
        <is>
          <t>Francés</t>
        </is>
      </c>
      <c r="G4" s="17" t="n">
        <v>0.4</v>
      </c>
    </row>
    <row r="5">
      <c r="A5" s="15" t="inlineStr">
        <is>
          <t>Nuclear / Electiva</t>
        </is>
      </c>
      <c r="B5" s="15" t="inlineStr">
        <is>
          <t>INVESTIGACIÓN</t>
        </is>
      </c>
      <c r="C5" s="15" t="n">
        <v>6</v>
      </c>
      <c r="D5" s="15" t="n">
        <v>90</v>
      </c>
      <c r="E5" s="15" t="n">
        <v>150</v>
      </c>
      <c r="F5" s="15" t="inlineStr">
        <is>
          <t>Portugués</t>
        </is>
      </c>
      <c r="G5" s="17" t="n">
        <v>0.5</v>
      </c>
    </row>
    <row r="6">
      <c r="B6" s="15" t="inlineStr">
        <is>
          <t>IDIOMAS</t>
        </is>
      </c>
      <c r="C6" s="15" t="n">
        <v>8</v>
      </c>
      <c r="D6" s="15" t="n">
        <v>108</v>
      </c>
      <c r="E6" s="15" t="n">
        <v>180</v>
      </c>
      <c r="G6" s="17" t="n">
        <v>0.6</v>
      </c>
    </row>
    <row r="7">
      <c r="B7" s="15" t="inlineStr">
        <is>
          <t>PRÁCTICA</t>
        </is>
      </c>
      <c r="D7" s="15" t="n">
        <v>144</v>
      </c>
      <c r="E7" s="15" t="n">
        <v>240</v>
      </c>
      <c r="G7" s="17" t="n">
        <v>0.7</v>
      </c>
    </row>
    <row r="8">
      <c r="B8" s="15" t="inlineStr">
        <is>
          <t>CIENCIAS BÁSICAS</t>
        </is>
      </c>
      <c r="D8" s="15" t="n">
        <v>32</v>
      </c>
      <c r="E8" s="15" t="n">
        <v>64</v>
      </c>
      <c r="G8" s="17" t="n">
        <v>0.8</v>
      </c>
    </row>
    <row r="9">
      <c r="B9" s="15" t="inlineStr">
        <is>
          <t>SOCIOHUMANISTICA</t>
        </is>
      </c>
      <c r="D9" s="15" t="n">
        <v>36</v>
      </c>
      <c r="E9" s="15" t="n">
        <v>108</v>
      </c>
      <c r="G9" s="17" t="n">
        <v>0.9</v>
      </c>
    </row>
    <row r="10">
      <c r="D10" s="15" t="n">
        <v>40</v>
      </c>
      <c r="E10" s="15" t="n">
        <v>152</v>
      </c>
      <c r="G10" s="17" t="n">
        <v>1</v>
      </c>
    </row>
    <row r="11">
      <c r="D11" s="15" t="n">
        <v>54</v>
      </c>
      <c r="E11" s="15" t="n">
        <v>234</v>
      </c>
      <c r="G11" s="17" t="n"/>
    </row>
    <row r="12">
      <c r="D12" s="15" t="n">
        <v>64</v>
      </c>
      <c r="E12" s="15" t="n">
        <v>320</v>
      </c>
    </row>
    <row r="13">
      <c r="D13" s="15" t="n">
        <v>24</v>
      </c>
      <c r="E13" s="15" t="n">
        <v>72</v>
      </c>
    </row>
    <row r="14">
      <c r="D14" s="15" t="n">
        <v>36</v>
      </c>
      <c r="E14" s="15" t="n">
        <v>108</v>
      </c>
    </row>
    <row r="15">
      <c r="D15" s="15" t="n">
        <v>48</v>
      </c>
      <c r="E15" s="15" t="n">
        <v>144</v>
      </c>
    </row>
    <row r="25">
      <c r="A25" s="18" t="n">
        <v>45916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MEDINA BARRERA</dc:creator>
  <dcterms:created xmlns:dcterms="http://purl.org/dc/terms/" xmlns:xsi="http://www.w3.org/2001/XMLSchema-instance" xsi:type="dcterms:W3CDTF">2025-08-27T15:39:23Z</dcterms:created>
  <dcterms:modified xmlns:dcterms="http://purl.org/dc/terms/" xmlns:xsi="http://www.w3.org/2001/XMLSchema-instance" xsi:type="dcterms:W3CDTF">2026-02-26T03:49:18Z</dcterms:modified>
  <cp:lastModifiedBy>RODRIGO ALEJANDRO SIERRA ORDOÑEZ</cp:lastModifiedBy>
  <cp:lastPrinted>2025-09-05T15:01:32Z</cp:lastPrinted>
</cp:coreProperties>
</file>