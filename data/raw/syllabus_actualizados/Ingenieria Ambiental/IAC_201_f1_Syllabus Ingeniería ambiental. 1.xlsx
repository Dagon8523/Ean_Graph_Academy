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jmmedina_universidadean_edu_co/Documents/EAN JMMB/2026/Syllabus EAN/"/>
    </mc:Choice>
  </mc:AlternateContent>
  <xr:revisionPtr revIDLastSave="0" documentId="8_{82FF6C4E-A90C-457C-A330-89A98348AE17}" xr6:coauthVersionLast="47" xr6:coauthVersionMax="47" xr10:uidLastSave="{00000000-0000-0000-0000-000000000000}"/>
  <bookViews>
    <workbookView xWindow="-110" yWindow="-110" windowWidth="19420" windowHeight="11500" firstSheet="2" activeTab="11" xr2:uid="{79C19C23-9E31-446A-A15A-4EB9549A8DE9}"/>
  </bookViews>
  <sheets>
    <sheet name="Formato Syllabus" sheetId="1" state="hidden" r:id="rId1"/>
    <sheet name="Formato Syllabus_NV" sheetId="3" state="hidden" r:id="rId2"/>
    <sheet name="SosTECnibilidad 360" sheetId="4" r:id="rId3"/>
    <sheet name="Conexión ambiental y resilienci" sheetId="2" r:id="rId4"/>
    <sheet name="Accion climática" sheetId="5" r:id="rId5"/>
    <sheet name="Calidad del aire" sheetId="6" r:id="rId6"/>
    <sheet name="Ecología regenerativa y transfo" sheetId="7" r:id="rId7"/>
    <sheet name="Gestión del territorio y del su" sheetId="8" r:id="rId8"/>
    <sheet name="Gestion de la sostenibilidad" sheetId="9" r:id="rId9"/>
    <sheet name="Gestion del recurso hídrico" sheetId="10" r:id="rId10"/>
    <sheet name="Mecánica de fluidos" sheetId="11" r:id="rId11"/>
    <sheet name="Tecnologías geoespaciale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12" l="1"/>
  <c r="I10" i="11"/>
  <c r="I10" i="10"/>
  <c r="I10" i="9"/>
  <c r="I10" i="8"/>
  <c r="I10" i="7"/>
  <c r="I10" i="6"/>
  <c r="I10" i="5"/>
  <c r="I10" i="2" l="1"/>
  <c r="I10" i="4"/>
  <c r="I9" i="3"/>
  <c r="I9" i="1"/>
</calcChain>
</file>

<file path=xl/sharedStrings.xml><?xml version="1.0" encoding="utf-8"?>
<sst xmlns="http://schemas.openxmlformats.org/spreadsheetml/2006/main" count="761" uniqueCount="200">
  <si>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</si>
  <si>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</si>
  <si>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</si>
  <si>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</si>
  <si>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</si>
  <si>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</si>
  <si>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</si>
  <si>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</si>
  <si>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</si>
  <si>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</si>
  <si>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</si>
  <si>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</si>
  <si>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</si>
  <si>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</si>
  <si>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</si>
  <si>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</si>
  <si>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</si>
  <si>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</si>
  <si>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</si>
  <si>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</si>
  <si>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</si>
  <si>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</si>
  <si>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</si>
  <si>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</si>
  <si>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</si>
  <si>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</si>
  <si>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</si>
  <si>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</si>
  <si>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</si>
  <si>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</si>
  <si>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</si>
  <si>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</si>
  <si>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</si>
  <si>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</si>
  <si>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</si>
  <si>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</si>
  <si>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</si>
  <si>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</si>
  <si>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</si>
  <si>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</si>
  <si>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</si>
  <si>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</si>
  <si>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</si>
  <si>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</si>
  <si>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</si>
  <si>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</si>
  <si>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</si>
  <si>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</si>
  <si>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</si>
  <si>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</si>
  <si>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</si>
  <si>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</si>
  <si>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</si>
  <si>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</si>
  <si>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</si>
  <si>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</si>
  <si>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</si>
  <si>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</si>
  <si>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</si>
  <si>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</si>
  <si>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</si>
  <si>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</si>
  <si>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</si>
  <si>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</si>
  <si>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</si>
  <si>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</si>
  <si>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</si>
  <si>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</si>
  <si>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</si>
  <si>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</si>
  <si>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</si>
  <si>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</si>
  <si>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</si>
  <si>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</si>
  <si>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</si>
  <si>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</si>
  <si>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</si>
  <si>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</si>
  <si>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</si>
  <si>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</si>
  <si>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</si>
  <si>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</si>
  <si>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</si>
  <si>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</si>
  <si>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</si>
  <si>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</si>
  <si>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</si>
  <si>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Transversal</t>
  </si>
  <si>
    <t>Modalidad</t>
  </si>
  <si>
    <t>x</t>
  </si>
  <si>
    <t>Presencial y Virtual</t>
  </si>
  <si>
    <t xml:space="preserve">Nivel </t>
  </si>
  <si>
    <t>Pregrado</t>
  </si>
  <si>
    <t>Todos</t>
  </si>
  <si>
    <t>SOSTECNIBILIDAD 360</t>
  </si>
  <si>
    <t>2.	Descripción  Resultados de Aprendizaje.</t>
  </si>
  <si>
    <t>Descripción de la unidad de estudio</t>
  </si>
  <si>
    <t>SosTECnibilidad 360 es una unidad de estudio transversal del área de ingeniería orientada a la aplicación de los principios de la sostenibilidad en la solución de problemáticas del entorno mediante un enfoque sistémico y holístico. Integra fundamentos conceptuales, modelos e indicadores de sostenibilidad y el marco de los Objetivos de Desarrollo Sostenible (ODS), promoviendo el uso de tecnologías emergentes, energías renovables, economía circular y herramientas de análisis de datos para diseñar soluciones innovadoras que articulen dimensiones tecnológicas, económicas, sociales y ambientales.</t>
  </si>
  <si>
    <t>Resultado de Aprendizaje</t>
  </si>
  <si>
    <t>Aplica los principios de la sostenibilidad en la solución de problemáticas del entorno, incluyendo en sus propuestas el uso de tecnologías sostenibles e innovadoras.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</si>
  <si>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</si>
  <si>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</si>
  <si>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</si>
  <si>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</si>
  <si>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</si>
  <si>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</si>
  <si>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</si>
  <si>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</si>
  <si>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</si>
  <si>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Fundamentos de sostenibilidad 
Modelos e indicadores de sostenibilidad
Abordaje sistemico de problematicas del entorno
Retos mundiales en materia de sostenibilidad (Objetivos de Desarrollo Sostenible)
Tecnologías digitales para el cumplimiento de los ODS
Tecnologías de diseño de procesos y productos para contribuir al cumplimiento de los ODS (Innovación en el uso del agua, Economia circular para la gestión de residuos, diseño de soluciones basadas en la naturaleza, descarbornización)
Uso de energías renovables
Tecnologías de monitoreo de procesos para evaluación y control de impactos (Uso de drones)
Manejo y análisis de la información para la toma de decisiones (ciencia de datos)</t>
  </si>
  <si>
    <t>4.	Esquema de Calificación</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</si>
  <si>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Análisis crítico de las lecturas asignadas relacionadas con sostenibilidad y ODS. (10%)
Participación argumentada en discusiones sobre problemáticas y tecnologías sostenibles. (20%)
Evaluación teórica sobre fundamentos, modelos e indicadores de sostenibilidad. (10%)
Formulación y estructuración técnica de una solución sostenible a una problemática del entorno. (20%)
Documento formal que sustenta la propuesta (marco conceptual, metodología, indicadores, análisis de impacto). (10%)
Socialización y defensa de la propuesta con soporte técnico y argumentativo. (30%)
</t>
    </r>
  </si>
  <si>
    <t>5. Recursos Tecnológicos (Describir los recursos como software, sala de cómputos, laboratorios)</t>
  </si>
  <si>
    <t>•	Herramientas de análisis de datos y ciencia de datos.
•	Software de modelado y simulación.
•	Herramientas de diseño y prototipado digital.
•	Plataformas colaborativas y de gestión de proyectos.
•	Simuladores y entornos de realidad virtual o aumentada.
•	Salas de cómputo.
•	Laboratorio de Ciencias Básicas.
•	Laboratorio de realidad virtual y prototipado.</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</si>
  <si>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</si>
  <si>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</si>
  <si>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Elkington, J. (1998). Cannibals with forks: The triple bottom line of 21st century business. New Society Publishers.
Fiksel, J. (2012). A systems view of sustainability: The triple value model. Environmental Development, 2, 138–141. https://doi.org/10.1016/j.envdev.2012.03.015
United Nations. (2023). The Sustainable Development Goals report 2023: Special edition. United Nations.
International Energy Agency. (2023). Energy technology perspectives 2023. IEA.
European Commission, Joint Research Centre. (2021). Guía para la preparación de las hojas de ruta de la ciencia, la tecnología y la innovación (CTI) para los ODS. Oficina de Publicaciones de la Unión Europea.</t>
    </r>
  </si>
  <si>
    <r>
      <t xml:space="preserve">Bibliografía Complementaria
</t>
    </r>
    <r>
      <rPr>
        <sz val="11"/>
        <color theme="1"/>
        <rFont val="Calibri"/>
        <family val="2"/>
        <scheme val="minor"/>
      </rPr>
      <t>Benyus, J. M. (1997). Biomimicry: Innovation inspired by nature. HarperCollins.
Chancel, L. (2020). Unsustainable inequalities: Social justice and the environment. Harvard University Press.
Darnell, M., &amp; Mooney, D. (2017). Leveraging advances in biology to design biomaterials. Nature Materials, 16, 1178–1185. https://doi.org/10.1038/nmat4991
Dixson-Declève, S., Gaffney, O., Ghosh, J., Randers, J., Rockström, J., &amp; Stoknes, P. E. (2022). Earth for all: A survival guide for humanity. New Society Publishers.
Mishra, P., &amp; Pandey, V. K. (2025). Triple bottom line and environmental sustainability: Evolution of global ESG research. Environmental Sciences Europe, 37, Article 136.
Myers, W. (2012). Biodesign: Nature + science + creativity. Thames &amp; Hudson.
Tideman, S., Arts, M., &amp; Zandee, D. (2013). Sustainable leadership: Towards a workable definition. Journal of Corporate Citizenship, 49, 17–33.
Visser, W., &amp; Courtice, P. (2011). Sustainability leadership: Linking theory and practice. University of Cambridge Institute for Sustainability Leadership.</t>
    </r>
  </si>
  <si>
    <t>8. Control de Cambios</t>
  </si>
  <si>
    <t>Elaboró</t>
  </si>
  <si>
    <t>Elizabeth León</t>
  </si>
  <si>
    <t>Lina Rodríguez</t>
  </si>
  <si>
    <t>Natalia Zapata</t>
  </si>
  <si>
    <t xml:space="preserve">Actualización de bibliografía y de formato </t>
  </si>
  <si>
    <t>TRaNs las ingenierías</t>
  </si>
  <si>
    <t>CONEXIÓN AMBIENTAL Y RESILIENCIA GLOBAL</t>
  </si>
  <si>
    <t>Conexión Ambiental y Resiliencia Global es una unidad de estudio del área de Ingeniería orientada a fortalecer en el estudiante una perspectiva sistémica, crítica y propositiva frente a los desafíos socioambientales contemporáneos. El curso integra el análisis de la triple crisis planetaria, los límites planetarios, la bioeconomía, la economía circular y las soluciones basadas en la naturaleza, articulando estos enfoques con la resiliencia socioecológica, la gobernanza territorial y la educación ambiental. A través de metodologías activas y experiencias en territorio, el estudiante desarrolla competencias para analizar el impacto de las decisiones ingenieriles sobre los sistemas socioecológicos y diseñar propuestas sostenibles con enfoque territorial y global.</t>
  </si>
  <si>
    <t>Analiza críticamente la interrelación entre las prácticas ingenieriles y las problemáticas contemporáneas, desarrollando competencias para proponer soluciones sostenibles e impulsar la resiliencia socioecológica en contextos profesionales y territoriales.</t>
  </si>
  <si>
    <t xml:space="preserve">Análisis Global, Humano y Planetario. 
1.1. Tripe crisis planetaria. 
1.2. Antropoceno y limites planetarios. 
1.4. Regeneración y Sostenibilidad.  
1.3. Bioeconomía, Economía Circular y Soluciones basadas en la Naturaleza (SbN).  
Educación Ambiental, Conservación y Resiliencia Socioecologica. 
2.1. Fundamentos y Metodologías de Educación Socioecologica. 
2.2. Conservación de Ecosistemas Estratégicos (Colombia). 
2.3. Participación Comunitaria, Gobernanza Territorial y Resiliencia Socioecológica. 
2.5. Metodologías Innovadoras (Living Lab y Laboratorios Ciudadanos). </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</si>
  <si>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Desarrollo de ejercicios aplicados sobre triple crisis planetaria, límites planetarios, bioeconomía y resiliencia. (20%)
Aplicación de herramientas de análisis ambiental y simulación de escenarios socioecológicos. (15%)
Evaluaciones teórico-conceptuales sobre fundamentos de sostenibilidad, resiliencia y gobernanza ambiental. (20%)
Sistematización de trabajo de campo urbano y rural con análisis georreferenciado y narrativas territoriales. (20%)
Diseño y presentación de una propuesta ingenieril sostenible con enfoque de resiliencia y circularidad.(20%)
</t>
    </r>
  </si>
  <si>
    <t>•	Plataformas como IBOCA, SIAT e IDEAM como fuente de información . 
•	Plataformas colaborativas y de gestión de proyectos.
•	Salas de cómputo.
•	Laboratorio de Ciencias Básicas.
•	Laboratorio de realidad virtual y prototipado.</t>
  </si>
  <si>
    <r>
      <rPr>
        <b/>
        <sz val="11"/>
        <color theme="1"/>
        <rFont val="Calibri"/>
        <family val="2"/>
        <scheme val="minor"/>
      </rPr>
      <t>Bibliografía Obligatoria</t>
    </r>
    <r>
      <rPr>
        <sz val="11"/>
        <color theme="1"/>
        <rFont val="Calibri"/>
        <family val="2"/>
        <scheme val="minor"/>
      </rPr>
      <t xml:space="preserve">
Aguilera Peña, R. G., &amp; Santana Moncayo, C. A. (2017). Fundamentos de la gestión ambiental.
Espinoza, G. (2001). Fundamentos de evaluación de impacto ambiental. Banco Interamericano de Desarrollo.
Gómez Contreras, J. L. (2014). Del desarrollo sostenible a la sustentabilidad ambiental. Revista Facultad de Ciencias Económicas: Investigación y Reflexión, 22(1), 115–136.
Mihelcic, J. R., &amp; Zimmerman, J. B. (2014). Environmental engineering: Fundamentals, sustainability, design (2nd ed.). Wiley.
Rockström, J., et al. (2009). A safe operating space for humanity. Nature, 461, 472–475. https://doi.org/10.1038/461472a
United Nations Environment Programme (UNEP). (2023). Emissions gap report 2023. UNEP.</t>
    </r>
  </si>
  <si>
    <r>
      <t xml:space="preserve">Bibliografía Complementaria
</t>
    </r>
    <r>
      <rPr>
        <sz val="11"/>
        <color theme="1"/>
        <rFont val="Calibri"/>
        <family val="2"/>
        <scheme val="minor"/>
      </rPr>
      <t>García Olmedo, F. (2009). La biodiversidad invisible. Revista de Libros, (49), 16–20.
IPBES. (2019). Global assessment report on biodiversity and ecosystem services.
IPCC. (2023). Climate change 2023: Synthesis report. Intergovernmental Panel on Climate Change.
Mora, L. V. (2013). Dimensión ambiental, desarrollo sostenible y sostenibilidad ambiental del desarrollo. En LACCEI Latin American and Caribbean Conference for Engineering and Technology.
Raworth, K. (2017). Doughnut economics: Seven ways to think like a 21st-century economist. Chelsea Green Publishing.
United Nations. (2023). The sustainable development goals report 2023.</t>
    </r>
  </si>
  <si>
    <t>PFPIAMBOG004</t>
  </si>
  <si>
    <t>Ingeniería Ambiental</t>
  </si>
  <si>
    <t>Acción Climática</t>
  </si>
  <si>
    <t>Abordar los desafíos climáticos y ambientales que enfrentan las organizaciones en el contexto actual constituye una prioridad estratégica. En un entorno marcado por el cambio climático, la degradación de los ecosistemas y la creciente presión sobre los recursos naturales, esta unidad de estudio tiene como propósito fortalecer las capacidades de los futuros líderes para diseñar e implementar estrategias de acción climática y gestión del riesgo con enfoque de sostenibilidad y regeneración.
El curso busca que los estudiantes desarrollen competencias técnicas y estratégicas para medir, analizar y reducir la huella de carbono y la huella hídrica organizacional, incorporando herramientas de gestión ambiental, evaluación de riesgos climáticos y toma de decisiones basada en evidencia. Asimismo, promueve la identificación de amenazas y vulnerabilidades asociadas al cambio climático, así como el diseño de planes de mitigación y adaptación que generen valor organizacional y territorial.</t>
  </si>
  <si>
    <t>Aplica conocimientos avanzados en la identificación, análisis y gestión de la huella de carbono y la huella hídrica en proyectos empresariales y organizacionales, como estrategias para la mitigación y adaptación al cambio climático.</t>
  </si>
  <si>
    <t xml:space="preserve">1. Marco normativo y estándares para la acción climática corporativa
Este tema se desarrollará mediante el análisis comparado de estándares internacionales (ISO 14064, ISO 14067, GHG Protocol, SBTi y TCFD), a partir de estudios de caso empresariales reales y revisión de reportes de sostenibilidad. Los estudiantes realizarán ejercicios prácticos de identificación de alcances de emisiones (1, 2 y 3), análisis de brechas normativas y evaluación de cumplimiento frente a marcos regulatorios y de reporte climático.
Se trabajará con talleres aplicados donde se simulará la estructuración de un sistema de medición y reporte de GEI alineado con estándares internacionales, integrando además requerimientos de divulgación financiera relacionados con clima según TCFD. El enfoque será estratégico, vinculando la norma con la gestión del riesgo y la creación de valor organizacional.
2. Medición y gestión del riesgo climático
El tema se trabajará mediante la identificación y clasificación de riesgos climáticos físicos y de transición, utilizando metodologías de análisis de escenarios alineadas con TCFD. Los estudiantes desarrollarán matrices de riesgo climático, evaluarán impactos financieros potenciales y analizarán la materialidad climática en distintos sectores económicos.
Se emplearán herramientas como mapas de riesgo, análisis de sensibilidad y construcción de escenarios prospectivos (1.5°C, 2°C y escenarios de inacción). A partir de estudios de caso, se integrará el riesgo climático en sistemas de gestión empresarial y en la toma de decisiones estratégicas, incluyendo implicaciones para inversión, financiamiento y competitividad.
3. Evaluación de vulnerabilidad y resiliencia climática organizacional y territorial
Cómo se abordará:
Este componente se desarrollará mediante el análisis técnico de vulnerabilidad basado en los tres elementos clave: exposición, sensibilidad y capacidad adaptativa. Los estudiantes aplicarán metodologías de diagnóstico para evaluar vulnerabilidad climática en proyectos empresariales o territoriales específicos.
Se elaborarán planes de adaptación y estrategias de fortalecimiento de resiliencia, incorporando indicadores de desempeño climático y mecanismos de seguimiento. Se trabajará con herramientas de planificación adaptativa y gestión integral del riesgo, vinculando los resultados con decisiones estratégicas, gobernanza organizacional y planificación territorial sostenible. </t>
  </si>
  <si>
    <t>Calidad del aire</t>
  </si>
  <si>
    <t>Reducir la contaminación del aire se considera uno de los mayores desafíos ambientales en las principales ciudades del mundo, en especial por su impacto negativo en la salud respiratoria y la calidad de vida de las personas. Esta condición es una prioridad en ciudades como Bogotá, donde las enfermedades respiratorias son una de las principales causas de morbilidad y mortalidad de los niños menores de cinco años y adultos mayores. Este curso proporciona los conceptos técnicos y las implicaciones para la mejor comprensión del fenómeno de la contaminación atmosférica y el cambio climático. Además, el curso actual analiza instrumentos para la formulación de estrategias locales y globales para mejorar la calidad del aire.</t>
  </si>
  <si>
    <t>Propone sistemas de control de contaminación de aire mediante la medición, análisis y reconocimiento de la normatividad vigente.</t>
  </si>
  <si>
    <r>
      <t xml:space="preserve">A. Reconoce la clasificación de los contaminantes y su importancia en la contaminación atmosférica en las ciudades.
B. Utiliza los diferentes factores de emisión de fuentes fijas y móviles para la construcción de inventarios de emisión.
C. Distingue los diferentes sistemas de control para la reducción de emisiones de gases y material particulado en diferentes sectores. 1. Fundamentos de contaminación atmosférica y salud pública
Conceptos básicos de calidad del aire.
Clasificación de contaminantes criterio (PM10, PM2.5, NOx, SO₂, CO, O₃) y contaminantes emergentes.
Fuentes de emisión: fijas, móviles y de área.
Impactos en salud pública y calidad de vida.
Relación entre contaminación atmosférica y cambio climático.
2. Inventarios de emisiones y factores de emisión
Metodologías para la elaboración de inventarios de emisiones (IPCC, EPA, EMEP/EEA).
Uso de factores de emisión para fuentes fijas y móviles.
Cálculo de emisiones en sectores transporte, industria y residencial.
Introducción a herramientas de modelación y análisis de datos de calidad del aire.
3. Marco normativo y políticas de calidad del aire
Normatividad nacional vigente sobre calidad del aire (límites permisibles y estándares).
Instrumentos regulatorios y económicos para la gestión de la contaminación atmosférica.
Planes de Descontaminación y Planes Integrales de Gestión de Calidad del Aire.
Enfoque internacional: OMS, Acuerdo de París y lineamientos globales.
4. Sistemas de control y tecnologías de reducción de emisiones
Tecnologías de control en fuentes industriales (filtros de mangas, precipitadores electrostáticos, scrubbers).
Control de emisiones vehiculares y movilidad sostenible.
Gestión de material particulado y gases contaminantes.
</t>
    </r>
    <r>
      <rPr>
        <sz val="11"/>
        <color theme="1"/>
        <rFont val="Calibri"/>
        <family val="2"/>
        <scheme val="minor"/>
      </rPr>
      <t>Estrategias basadas en soluciones naturales y planificación urbana sostenible.
Gestión estratégica y formulación de planes de mejora
Diagnóstico de calidad del aire en contextos urbanos.
Diseño de sistemas de control y monitoreo.
Indicadores de desempeño ambiental.
Formulación de estrategias locales y sectoriales para mejorar la calidad del aire.</t>
    </r>
  </si>
  <si>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Fundamentos y contaminantes atmosféricos – Evaluación escrita – 20 pts
Monitoreo y análisis de datos – Estudio de caso con análisis de datos – 20 pts
Modelación e inventarios de emisiones – Trabajo aplicado / Taller práctico – 25 pts
Normativa y gestión ambiental – Video explicativo o presentación corta – 15 pts
Riesgo, salud y vulnerabilidad – Trabajo escrito corto – 10 pts
Proyecto final integrador – Estudio de caso completo y sustentación – 10 pts
Total: 100 puntos
</t>
    </r>
  </si>
  <si>
    <t>5. Recursos Tecnológicos (Describir los recursos como software, sala de cómputoAERMOD
Modelo regulatorio de la U.S. Environmental Protection Agency.
CALPUFFs, laboratorios. Calidad del aire</t>
  </si>
  <si>
    <t>Air &amp; Waste Management Association. (2000). Air pollution engineering manual. John Wiley &amp; Sons.
Alcaldía Mayor de Bogotá, Secretaría Distrital de Ambiente (SDA), &amp; Universidad de los Andes. (2011). Plan decenal de descontaminación del aire de Bogotá. http://www.secretariadeambiente.gov.co/sda/libreria/pdf/descargas/LibroPDAAB_final.pdf
Alcaldía Mayor de Bogotá. Secretaría Distrital de Ambiente. (2011). Informe anual de calidad del aire de Bogotá año 2010. Secretaría Distrital de Ambiente.
Arango, J. H. (2009). Calidad de los combustibles en Colombia. Revista de Ingeniería de la Universidad de los Andes, 29, 100–108.
Bella, M., Davis, D., Gouveiac, N., Borja-Aburto, V., &amp; Cifuentes, L. (Año). The avoidable health effects of air pollution in three Latin American cities: Santiago, São Paulo, and Mexico City.
Franco, J. F. (2012). Contaminación atmosférica en centros urbanos: Desafío para lograr su sostenibilidad. Caso de estudio Bogotá. Revista EAN, (72), 193–205.
U.S. Environmental Protection Agency. (s. f.). Introduction to air pollution control. http://www.epa.gov/eogapti1/control/intro/int101.html
World Health Organization. (2005). Air quality guidelines global update 2005: Regional Office for Europe. WHO.</t>
  </si>
  <si>
    <r>
      <t xml:space="preserve">Bibliografía Complementaria
</t>
    </r>
    <r>
      <rPr>
        <sz val="11"/>
        <color theme="1"/>
        <rFont val="Calibri"/>
        <family val="2"/>
        <scheme val="minor"/>
      </rPr>
      <t xml:space="preserve">Pacheco, J., Franco, J. F., Behrentz, E., &amp; Rojas, N. (2010). Noise pollution in Bogotá: A pilot study. Revista Facultad de Ingeniería Universidad de los Andes, 30, 72–80.
Seinfeld, J. H., &amp; Pandis, S. N. (2006). Atmospheric chemistry and physics: From air pollution to climate change (2nd ed.). John Wiley &amp; Sons.
Siemens AG. (2010). Índice de ciudades verdes de América Latina. Siemens. </t>
    </r>
  </si>
  <si>
    <t>Lina Rodriguez</t>
  </si>
  <si>
    <t>INGENIERÍA AMBIENTAL</t>
  </si>
  <si>
    <t>ECOLOGÍA REGENERATIVA Y RESTAURATIVA</t>
  </si>
  <si>
    <t>Desarrollar la capacidad de elaborar planes de restauración ecológica basados en el análisis de los principios ecológicos, utilizando metodologías participativas que incluyan actores locales y evalúen los impactos ambientales, sociales y económicos de las intervenciones propuestas.</t>
  </si>
  <si>
    <t>Propone un plan de restauración ecológica para un ecosistema degradado, utilizando herramientas de diagnóstico ecológico, técnicas de regeneración y restauración adaptadas al contexto local, y evaluando el impacto ambiental, social y económico.</t>
  </si>
  <si>
    <t>1. Diagnóstico Inicial y Caracterización BiofísicaEn esta etapa no solo se inventaría, sino que se cuantifica la salud del ecosistema mediante métricas de biodiversidad y estado funcional.Flora y Fauna: Evaluación de la composición taxonómica y estructura. Uso del Índice de Diversidad de Shannon-Wiener ($H'$) para riqueza y equidad, y el Índice de Similitud de Sorensen para comparar la beta-diversidad entre zonas conservadas y degradadas.Edafología (Suelos): Análisis físico-químico (textura, pH, CIC, materia orgánica) y diagnóstico de compactación mediante penetrometría.Recurso Hídrico: Caracterización de escorrentías y calidad de agua mediante el Índice de Calidad del Agua (ICA).2. Análisis de Degradación e Interacciones FuncionalesEl objetivo es entender por qué el ecosistema no se recupera por sí solo (barreras a la sucesión).Evaluación de Impacto Ambiental (EIA): Aplicación del Método de Batelle-Columbus para ponderar de forma cuantitativa el impacto neto sobre las unidades ambientales (bióticas, abióticas y estéticas).Dinámica de Perturbación: Mapeo de externalidades negativas (pastoreo, especies invasoras, contaminación química).Esquema de Funcionamiento: Creación de un modelo de "Estados y Transiciones" que explique cómo los factores de degradación han desplazado al ecosistema de su equilibrio original.3. Justificación y Selección de EstrategiasSe realiza una matriz de decisión para elegir las mejores intervenciones basándose en la relación costo-beneficio y éxito ecológico.Comparativa Cualitativa: Análisis de resiliencia frente a cambio climático.Comparativa Cuantitativa: Evaluación mediante Análisis Multicriterio (AHP - Analytic Hierarchy Process), comparando opciones como:Sucesión Asistida: Bajo costo, mayor tiempo.Plantaciones en Núcleos (Applied Nucleation): Eficiencia espacial y fomento de dispersores naturales.Sistemas Silvopastoriles: Integración productiva.4. Integración del Plan de ManejoEl documento final amalgama la viabilidad técnica con el contexto socioeconómico.Técnicas Regenerativas: Implementación de Bioingeniería de suelos (fajinas, redes de coco) y uso de micorrizas para acelerar la recuperación de la red trófica del suelo.Principios Ecológicos: Enfoque en la conectividad estructural y funcional (corredores biológicos).Sostenibilidad Multidimensional:Social: Participación comunitaria (Gobernanza del agua).Económica: Cálculo del Valor Económico Total (VET) de los servicios ecosistémicos recuperados vs. el costo de inversión.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</si>
  <si>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Realiza un diagnóstico inicial que incluye la identificación de componentes clave del ecosistema (flora, fauna, suelos, agua) (25)
Explica las interacciones entre los factores de degradación y el funcionamiento del ecosistema, apoyándose en gráficas, tablas o esquemas interpretativos. (25)
Justifica la elección de estrategias mediante una comparación cualitativa y cuantitativa de las opciones disponibles. (25)
El plan incluye una justificación té3cnica sólida, integra principios ecológicos y considera la viabilidad social y económica del proyecto. (25)</t>
    </r>
  </si>
  <si>
    <t xml:space="preserve">5. Recursos Tecnológicos Laboratorio de microalgas, en captura de co2, fitorremediación, hunedales artificiales, 
QGIS / ArcGIS Pro: 
InVEST (Natural Capital Project): U
Microsoft Excel (con macros para Batelle-Columbus): </t>
  </si>
  <si>
    <r>
      <rPr>
        <b/>
        <sz val="11"/>
        <color theme="1"/>
        <rFont val="Calibri"/>
        <family val="2"/>
        <scheme val="minor"/>
      </rPr>
      <t>Bibliografía Obligatoria</t>
    </r>
    <r>
      <rPr>
        <sz val="11"/>
        <color theme="1"/>
        <rFont val="Calibri"/>
        <family val="2"/>
        <scheme val="minor"/>
      </rPr>
      <t xml:space="preserve">
González Molina, P. (2024). Ecología e interpretación del paisaje. UF0733: (1 ed.). Editorial Tutor Formación. https://elibro-net.bdbiblioteca.universidadean.edu.co/es/lc/bibliotecaean/titulos/275834
Vargas Ríos, O., Díaz Triana, J. E., Reyes Bejarano, S. P., Gómez Ruiz, P. A., &amp; Grupo de Restauración Ecológica GREUNAL. (2012). Guías técnicas para la restauración ecológica de los ecosistemas de Colombia (Convenio de Asociación No. 22 entre Ministerio de Ambiente, Vivienda y Desarrollo Territorial [MAVDT] y Academia de Ciencias Exactas, Físicas y Naturales [ACCEFYN]). Universidad Nacional de Colombia, Facultad de Ciencias, Departamento de Biología. chrome-extension://efaidnbmnnnibpcajpcglclefindmkaj/https://archivo.minambiente.gov.co/images/BosquesBiodiversidadyServiciosEcosistemicos/pdf/plan_nacional_restauracion/Anexo_8_Guias_Tecnicas_Restauracion_Ecologica_2.pdf</t>
    </r>
  </si>
  <si>
    <r>
      <t xml:space="preserve">Bibliografía Complementaria
</t>
    </r>
    <r>
      <rPr>
        <sz val="11"/>
        <color theme="1"/>
        <rFont val="Calibri"/>
        <family val="2"/>
        <scheme val="minor"/>
      </rPr>
      <t>.
Chazdon, R. L., Crouzeilles, R., &amp; Poorter, L. (2023). Bibliometric and literature synthesis on assisted natural regeneration: An evidence base for forest and landscape restoration in the tropics. Frontiers in Forests &amp; Global Change, 6, 113. https://doi.org/10.3389/ffgc.2023.1112345</t>
    </r>
  </si>
  <si>
    <t xml:space="preserve">Natalia Zapata </t>
  </si>
  <si>
    <t>Julian Segura</t>
  </si>
  <si>
    <t>GESTION DEL TERRITORIO Y DEL SUELO</t>
  </si>
  <si>
    <t xml:space="preserve">El suelo es el sustento del entorno material, depende de él desarrollo de todas las especies dentro de la cadena trófica por ser soporte de los ecosistemas naturales. cumple funciones ecosistémicas de soporte, anclaje, regulación de ciclos biogeoquímicos, fuentes de provisión como la agricultura, minerales, entre otras funciones vitales tanto para la humanidad como para la biosfera en general. 
El suelo es un recurso finito, con procesos de evolución y formación en escalas de temporalidad extensa, con factores químicos, biológicos y físicos, los cuales son susceptibles a degradación por intervención antrópica. Es un recurso escaso porque es privado y en muchos casos con deteriro irreversible. </t>
  </si>
  <si>
    <t>Propone planes de gestión del suelo y del territorio mediante mecanismos de evitación, mitigación y remediación para sistemas alternativos de regeneración. Bajo el marco del Acuerdo de Escazú, se busca que la toma de decisiones sea participativa, transparente y justa, garantizando que la transformación organizacional respete la resiliencia de los ecosistemas y los derechos ambientales de las comunidades en el territorio.</t>
  </si>
  <si>
    <t xml:space="preserve">Servicios ecosistémicos e importancia del ecosistema suelo. 
Funciones del suelo y ciclos bioquímicos. 
Funciones socioecológicos del suelo. 
Características fisicoquímicas y biológicas del suelo.  (laboratorio)
Procesos de formación de suelo e identificación de estados de degradación.  (Salida de campo).
Sistemas de georreferenciación básica. 
Uso de identificación de capas superpuestas (SIG) (Trecmarctos sugerido). 
Acciones que generan degradación del suelo. 
Riesgos asociados al uso inadecuado del suelo. 
Técnicas de gestión adecuadas del suelo desde el uso. 
Buenas prácticas asociadas a la gestión del suelo.
Sistemas de biorremediación de suelos. 
Regeneración del suelo. 
Planes de manejo de suelo para sistemas de producción y extacción. </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</si>
  <si>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Evaluación 1: Servicios EcosistémicosReconoce las funciones y servicios ecosistémicos (soporte, anclaje, regulación de ciclos y provisión) presentados por el suelo como base de la biosfera.25% (25 pts)Evaluación 2: Caracterización TécnicaIdentifica con precisión los factores fisicoquímicos y biológicos que determinan la salud y la finitud del recurso suelo.25% (25 pts)Evaluación 3: Diagnóstico de Impacto Reconoce los factores de contaminación y procesos de deterioro irreversible por intervención antrópica, analizando sus consecuencias sistémicas.25% (25 pts)Trabajo Final: Plan de Gestión y Acción ClimáticaIdentifica y propone mecanismos de remediación y tratamientos de evitación, mitigación y regeneración bajo marcos de justicia ambiental (Escazú).25% (25 pts)TOTAL100% (100 pts)
</t>
    </r>
  </si>
  <si>
    <t>5. Recursos Tecnológicos (Describir los recursos como software, sala de cómputos, laboratorios) Software / PlataformaUso en la Unidad de EstudioTipo de Acceso1. Google Earth Engine2. QGIS (Quantum GIS)3. FAO Global Soil Information System (GloSIS)</t>
  </si>
  <si>
    <r>
      <rPr>
        <b/>
        <sz val="11"/>
        <color theme="1"/>
        <rFont val="Calibri"/>
        <family val="2"/>
        <scheme val="minor"/>
      </rPr>
      <t>Bibliografía Obligatoria</t>
    </r>
    <r>
      <rPr>
        <sz val="11"/>
        <color theme="1"/>
        <rFont val="Calibri"/>
        <family val="2"/>
        <scheme val="minor"/>
      </rPr>
      <t xml:space="preserve">
Sitios web: 
http://www.ideam.gov.co/web/siac
http://www.tremarctoscolombia.org/
Jaramillo Jaramillo, D. F. (2021). Guía ilustrada para la descripción del perfil del suelo: (1 ed.). Fondo Editorial EIA. https://elibro-net.bdbiblioteca.universidadean.edu.co/es/lc/bibliotecaean/titulos/223077
Moreno, M. L. (2021). El rol de los invertebrados de suelo como proveedores de servicios ecosistémicos en huertas urbanas, hacia el desarrollo de una ciudad sustentable.
https://redforestal.conicet.gov.ar/wp-content/uploads/sites/106/2020/10/Simposio-de-suelos-forestales-Lorenz.pdf. 
Rodriguez Jara, O. A. (2020). Técnicas de remediación de suelos contaminados por metales pesados en la industria minera: una revisión sistemática entre los años 2008-2018..
</t>
    </r>
  </si>
  <si>
    <r>
      <t xml:space="preserve">Bibliografía Complementaria
</t>
    </r>
    <r>
      <rPr>
        <sz val="11"/>
        <color theme="1"/>
        <rFont val="Calibri"/>
        <family val="2"/>
        <scheme val="minor"/>
      </rPr>
      <t>Paco Arpita, F. Y. (2022). Influencia de medidas de conservación de suelos en la erosión hídrica en la microcuenca del río temporal Escalerani-Puno.
Paz Zambrano, L. E. (2022). Estudio de la Bioingeniería como alternativa para la estabilización de suelos.</t>
    </r>
  </si>
  <si>
    <t>Giovanni Sanchez</t>
  </si>
  <si>
    <t>GESTION DE LA SOSTENIBILIDAD</t>
  </si>
  <si>
    <t>Las decisiones inadecuadas dentro de los sistemas económicos convencionales han puesto en riesgo la sobrevivencia de las sociedades humanas y han generado la extinción de múltiples especies de otros reinos. En la actualidad, la humanidad enfrenta quizás los desafíos más críticos como especie, problemáticas globales como el cambio climático, la pérdida de biodiversidad y la escasez de recursos naturales, por nombrar algunas.
Las organizaciones y los consumidores lo están comprendiendo y buscan revertir los impactos negativos por medio de estrategias sostenibles; esta unidad de estudio pretende generar dichas estrategias de gestión sostenible en los estudiantes con el fin de dar soluciones sostenibles a las organizaciones y así contribuir a restaurar el equilibrio del planeta.</t>
  </si>
  <si>
    <t>Diseña estrategias resilientes y regenerativas para gestionar organizaciones sostenibles.</t>
  </si>
  <si>
    <t>Eje Temático	Resumen de Contenidos y Alcance
1. El Antropoceno y la Crisis Global	Analiza los impactos ambientales, sociales y económicos generados por la actividad humana en la era del Antropoceno. Se centra en desafíos críticos como el cambio climático, la pérdida de biodiversidad y la escasez de recursos naturales.
2. El Suelo como Recurso Vital y Finito	Estudia el suelo como soporte de los ecosistemas y la cadena trófica. Comprende sus funciones de anclaje, regulación de ciclos biogeoquímicos y provisión (agricultura/minerales), reconociendo su naturaleza como recurso escaso y privado propenso a deterioro irreversible.
3. Liderazgo Sostenible y Transición	Evalúa la importancia del liderazgo en los procesos de transición hacia la sostenibilidad organizacional. Busca revertir impactos negativos mediante estrategias que restauren el equilibrio del planeta.
4. Medición y Parámetros de Impacto	Implementación de factores de medición técnica: entorno VICA, Materialidad e impacto ambiental/económico. Incluye la medición de la huella de carbono y huella hídrica como herramientas de diagnóstico.
5. Gestión del Territorio y Acuerdo de Escazú	Integra el marco del Acuerdo de Escazú para garantizar transparencia y participación en la gestión del territorio. Aborda mecanismos de evitación, mitigación y remediación frente a la degradación antrópica del suelo.
6. Estrategias Resilientes y Regenerativas	Propuesta de planes de gestión que no rompan la resiliencia de los sistemas. Diseño de modelos de negocio basados en la acción climática y la regeneración de sistemas naturales de forma medible y comparable.</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</si>
  <si>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Evidencia / Método	Ponderación
Reconoce los impactos ambientales, sociales y económicos generados en el Antropoceno y su repercusión en la biosfera. Integra la importancia del suelo como sustento de la cadena trófica y soporte ecosistémico.	PARCIAL	25%
Comprende la importancia del liderazgo sostenible en procesos de transición. Identifica factores fisicoquímicos y biológicos del suelo que determinan su resiliencia.	PARCIAL	25%
Analiza la sostenibilidad organizacional mediante factores de medición (VICA, Materialidad, Impacto ambiental). Reconoce factores de contaminación y deterioro irreversible del suelo.	Informe de Parámetros	25%
Propone estrategias resilientes y regenerativas para gestionar organizaciones de forma medible. Incluye mecanismos de remediación del suelo y cumplimiento del Acuerdo de Escazú.	Plan Estratégico Final	25%
</t>
    </r>
  </si>
  <si>
    <r>
      <rPr>
        <b/>
        <sz val="11"/>
        <color theme="1"/>
        <rFont val="Calibri"/>
        <family val="2"/>
        <scheme val="minor"/>
      </rPr>
      <t>Bibliografía Obligatoria</t>
    </r>
    <r>
      <rPr>
        <sz val="11"/>
        <color theme="1"/>
        <rFont val="Calibri"/>
        <family val="2"/>
        <scheme val="minor"/>
      </rPr>
      <t xml:space="preserve">
Latour, B. (2019). Donde aterrizar: Cómo orientarse en política. Taurus.
Morton, T. (2018). Hiperobjetos: Filosofía y ecología después del fin del mundo. Adriana Hidalgo Editora.
Ostrom, E. (2015). El gobierno de los bienes comunes: La evolución de las instituciones de acción colectiva. Fondo de Cultura Económica.
Nixon, R. (2011). Slow violence and the environmentalism of the poor. Harvard University Press. Aquí tienes el listado bibliográfico complementario siguiendo las normas APA 7ª edición, integrando los estándares internacionales, marcos globales y referencias técnicas solicitadas:
Fundación Futuro Latinoamericano. (2021). Acuerdo de Escazú: Guía para la gestión del territorio y la justicia ambiental. FFLA.
International Organization for Standardization. (2010). ISO 26000:2010. Guía de responsabilidad social.
International Organization for Standardization. (2015). ISO 14001:2015. Sistemas de gestión ambiental — Requisitos con orientación para su uso.
International Organization for Standardization. (2021). ISO 37000:2021. Gobernanza de las organizaciones — Orientación.
Pacto Global de las Naciones Unidas. (2020). Estrategia de sostenibilidad y principios para la acción climática empresarial. ONU.
Regenerative Intelligence (RegenIntel). (2023). Marcos de regeneración de sistemas: Del desarrollo sostenible a la restauración de la biosfera.</t>
    </r>
  </si>
  <si>
    <r>
      <t xml:space="preserve">Bibliografía Complementaria
</t>
    </r>
    <r>
      <rPr>
        <sz val="11"/>
        <color theme="1"/>
        <rFont val="Calibri"/>
        <family val="2"/>
        <scheme val="minor"/>
      </rPr>
      <t xml:space="preserve">
Darnell, M., &amp; Mooney, D. (2017). Leveraging advances in 
Visser, W., &amp; Courtice, P. (2011). Sustainability leadership: Linking theory and practice. University of Cambridge Institute for Sustainability Leadership.</t>
    </r>
  </si>
  <si>
    <t>GESTIÓN DEL RECURSO HÍDRICO</t>
  </si>
  <si>
    <t>El propósito de esta unidad de estudio es brindar una visión integral y de alto nivel técnico sobre las prácticas, estrategias y metodologías fundamentales para la gestión eficiente, conservación y restauración del recurso hídrico. El programa busca fortalecer las capacidades del ingeniero ambiental para enfrentar los desafíos hídricos actuales en contextos ambientales, sociales y económicos complejos.</t>
  </si>
  <si>
    <t>Aplica los principios de la sostenibilidad eAplica conocimientos técnicos, prácticas y estrategias para abordar desafíos relacionados con la gestión eficiente y uso sostenible de los recursos hídricos.n la solución de problemáticas del entorno, incluyendo en sus propuestas el uso de tecnologías sostenibles e innovadoras.</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</si>
  <si>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A	Diagnóstico Hídrico: Identificación de componentes (suelos, agua, cauces) y parámetros de línea base.	Laboratorio 1: Muestreo y caracterización fisicoquímica inicial.	20%
B	Interacciones de Degradación: Análisis de vertimientos y factores que alteran el funcionamiento del cuerpo de agua.	Informe de diagnóstico de vertimientos y modelado básico.	10%
C	Potabilización: Selección de procesos según parámetros de calidad del agua.	Laboratorio 2: Ensayos de coagulación-floculación (Prueba de Jarras).	15%
D	Aguas Residuales: Selección de tratamientos (primario, secundario y terciario) según carga orgánica.	Laboratorio 3: Determinación de DBO5, DQO y SST (Eficiencia de remoción).	15%
E	Reúso y Lluvias: Diseño de sistemas de tratamiento avanzado y aprovechamiento pluvial.	Proyecto de diseño de sistemas de captación y filtración.	10%
F	Huella Hídrica y del Agua: Cálculo de Huella Azul, Verde y Gris e impactos bajo ISO 14046.	Evaluación de huella hídrica de un proceso productivo.	10%
G	Justificación de Estrategias: Comparación cuantitativa de alternativas de tratamiento.	Matriz de selección técnica y económica.	10%
H	Plan de Gestión Hídrica: Justificación técnica, técnicas regenerativas y viabilidad del proyecto.	Proyecto Final: Plan integral de manejo de recurso hídrico.	10
</t>
    </r>
  </si>
  <si>
    <t>5. Recursos Tecnológicos (Describir los recursos como software, sala de cómputos, laboratorios)                EPANET
HEC-RAS
InVEST</t>
  </si>
  <si>
    <r>
      <rPr>
        <b/>
        <sz val="11"/>
        <color theme="1"/>
        <rFont val="Calibri"/>
        <family val="2"/>
        <scheme val="minor"/>
      </rPr>
      <t>Bibliografía Obligatoria</t>
    </r>
    <r>
      <rPr>
        <sz val="11"/>
        <color theme="1"/>
        <rFont val="Calibri"/>
        <family val="2"/>
        <scheme val="minor"/>
      </rPr>
      <t xml:space="preserve">
Miranda Carreño, R. (2018). Tratamiento de aguas: ejercicios resueltos y prácticas de laboratorio (1a edición). Dextra Editorial.
Rodríguez Miranda, J. P., &amp; Calderón Vásquez, J. M. (2024). Potabilización del agua: teoría aplicada (1a edición). Alpha Editorial.
Peralta Rosales, L., &amp; Galván Fernández, M. A. (2017). Principios de tratamiento del agua. Cengage Learning.
Chacón Chaquea, M. (2016). Análisis físico y químico de la calidad del agua. Ediciones USTA.
Tchobanoglous, G. (2014). Wastewater engineering: treatment and resource recovery (5a ed.). McGraw-Hill.
Hammer, M. J., &amp; Hammer, J. (2012). Water and wastewater technology (7th ed.). Prentice Hall.
Guerrero Torres, R. (2016). Manual de tratamiento de aguas. Limusa.
Spellman, F. R., &amp; Drinan, J. E. (2012). The drinking water handbook (2nd ed.). CRC Press.
Edzwald, J. K. (2011). Water quality &amp; treatment: a handbook on drinking water (6th ed.). McGraw-Hill.
Llavador Colomer, F. (2016). Cinética de procesos biológicos en sistemas de tratamiento de aguas residuales. Universidad d'Alacant.
Marín Galvin, R. (2012). Procesos fisicoquímicos en depuración de aguas: teoría, práctica y problemas resueltos. Díaz de Santos.
Pradana Pérez, J. A., &amp; García Avilés, J. (2018). Criterios de calidad y gestión del agua potable. UNED - Universidad Nacional de Educación a Distancia.
Romero Rojas, J. (2009). Calidad del agua. Universidad Escuela Colombiana de Ingeniería Julio Garavito.
</t>
    </r>
  </si>
  <si>
    <r>
      <t xml:space="preserve">Bibliografía Complementaria
</t>
    </r>
    <r>
      <rPr>
        <sz val="11"/>
        <color theme="1"/>
        <rFont val="Calibri"/>
        <family val="2"/>
        <scheme val="minor"/>
      </rPr>
      <t>Romero Rojas, J. (2005). Potabilización del agua. Escuela Colombiana de Ingeniería.
Romero Rojas, J. (2004). Tratamiento de aguas Residuales. Teoría y principios de diseño. Escuela Colombiana de Ingeniería.
Buitrago León, I. A., Arboleda Valencia, J., Jaramillo Gómez, L. A. (2023). Teoría y práctica de la purificación de agua potable. 4 edición. ECOE Ediciones.</t>
    </r>
  </si>
  <si>
    <t>Marie José Chery</t>
  </si>
  <si>
    <t>MECÁNICA DE FLUIDOS</t>
  </si>
  <si>
    <t>roporcionar a los estudiantes las bases teóricas y prácticas para comprender y analizar el comportamiento de los fluidos en reposo y en movimiento, con
énfasis en su aplicación a problemas de ingeniería. A través del estudio de principios fundamentales como la hidrostática, la hidrodinámica y el análisis de
flujo, se busca que los estudiantes desarrollen competencias para modelar sistemas relacionados con el transporte, almacenamiento y control de fluidos en
contextos industriales y ambientales, fomentando la capacidad de proponer soluciones sostenibles e innovadoras que respondan a los desafíos técnicos y
ambientales del contexto colombiano.</t>
  </si>
  <si>
    <t>Diseña redes de distribución de agua, ramificadas y malladas. Calcula y
previene fenómenos transitorios en redes a presión. Entiende el
comportamiento de los fluidos para poder diseñar sistemas de control de
la contaminación.Capacidad entender y diseñar redes de transporte.</t>
  </si>
  <si>
    <t>El curso se desarrolla bajo un enfoque de Aprendizaje Activo, combinando estrategias que vinculan la teoría con la práctica profesional:
Enfoque: Aprendizaje Basado en Problemas (ABP), Proyectos y Casos de Estudio.
Componentes: Talleres de aplicación, lecturas técnicas, desarrollo matemático de perfiles y ejercicios con casos reales.
Laboratorios: Prácticas experimentales obligatorias para cada núcleo temático.
2. ESTRUCTURA DE CONTENIDOS (HITOS)
Hito 1: Introducción a la Mecánica de Fluidos
Temas: Propiedades fundamentales (viscosidad, presión, densidad, tensión superficial y capilaridad).
Enfoque: Importancia del flujo y caudal en el diseño y seguridad ambiental.
Laboratorio 1: Propiedades de los fluidos (densidad, densidad relativa y viscosidad).
Hito 2: Estática de Fluidos
Temas: Fluidos en reposo, Hidrostática, Ley de Pascal, Principio de Arquímedes y fuerzas sobre superficies sumergidas.
Enfoque: Estabilidad de cuerpos sumergidos y predicción de comportamiento en ingeniería civil y mecánica.
Laboratorios 2 y 3: Calibración de manómetros y presión hidrostática.
Hito 3: Cinemática y Dinámica de Fluidos
Temas: Líneas de corriente, flujo laminar vs. turbulento, Ecuación de Continuidad y Ecuación de Bernoulli.
Enfoque: Conservación de la masa y redistribución de la energía en fluidos en movimiento.
Laboratorios 4 y 5: Líneas de flujo y Principio de Bernoulli.
Hito 4: Flujo en Conductos y Canales
Temas: Flujo en tuberías cerradas y canales abiertos, determinación de pérdidas de energía por fricción y turbulencia.
Enfoque: Diseño eficiente de redes de distribución (agua, gas, alcantarillado), sistemas de bombeo y optimización de costos energéticos.</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</si>
  <si>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Hito / Temática	Actividades y Laboratorios	Valor
Hito 1: Propiedades de Fluidos	Taller de aplicaciones + Laboratorio 1 (Viscosidad y Densidad)	20%
Hito 2: Estática de Fluidos	Casos de estudio + Laboratorio 2 y 3 (Manometría y Presión)	25%
Hito 3: Cinemática y Dinámica	Perfiles de velocidad + Laboratorio 4 y 5 (Bernoulli y Flujo)	25%
Hito 4: Tuberías y Canales	Diseño de sistemas, pérdidas de energía y bombeo.	20%
Evaluación Final	Examen integrador de leyes de conservación.	10%
TOTAL		100
</t>
    </r>
  </si>
  <si>
    <t>5. Recursos Tecnológicos (Describir los recursos como software, sala de cómputos, laboratorios)                EPANET
HEC-RAS
Flow-3D</t>
  </si>
  <si>
    <r>
      <rPr>
        <b/>
        <sz val="11"/>
        <color theme="1"/>
        <rFont val="Calibri"/>
        <family val="2"/>
        <scheme val="minor"/>
      </rPr>
      <t>Bibliografía Obligatoria</t>
    </r>
    <r>
      <rPr>
        <sz val="11"/>
        <color theme="1"/>
        <rFont val="Calibri"/>
        <family val="2"/>
        <scheme val="minor"/>
      </rPr>
      <t xml:space="preserve">
Cengel, Y (2017). Mecánica de fluidos (4taᵃ ed.). Mc GrawHill</t>
    </r>
  </si>
  <si>
    <r>
      <t xml:space="preserve">Bibliografía Complementaria
</t>
    </r>
    <r>
      <rPr>
        <sz val="11"/>
        <color theme="1"/>
        <rFont val="Calibri"/>
        <family val="2"/>
        <scheme val="minor"/>
      </rPr>
      <t>Fox, R.W. (2006). Introducción a la Mecánica de Fluidos . John Wiley &amp; Sons Inc.
Streeter, V (2006). Mecánica de Fluidos . Mc GrawHill.</t>
    </r>
  </si>
  <si>
    <t>INGENIERIA AMBIENTAL</t>
  </si>
  <si>
    <t>TECNOLOGÍAS GEOESPACIALES</t>
  </si>
  <si>
    <t>Desarrollar en el estudiante competencias para manejar herramientas geoespaciales, como sistemas de información geográfica (SIG) y teledetección, aplicándolas en la identificación, análisis y solución de problemáticas ambientales, con un enfoque técnico y fundamentado en la gestión sostenible de recursos naturales.</t>
  </si>
  <si>
    <t>Desarrollar la capacidad de integrar herramientas geoespaciales en la planificación y ejecución de proyectos ambientales, aplicando metodologías de análisis espacial para la resolución de problemas relacionados con la conservación, restauración y sostenibilidad.</t>
  </si>
  <si>
    <t>El núcleo temático se enfoca en el dominio técnico de los Sistemas de Información Geográfica (SIG) y el uso de herramientas de precisión como el GPS para la captura y gestión de datos en campo. Se aborda desde la estructuración de bases de datos espaciales y la gestión de modelos ráster y vectoriales, hasta el manejo de software especializado para el procesamiento de información que permita localizar, medir y monitorear variables ambientales críticas en tiempo real.
Posteriormente, se desarrolla la capacidad analítica para la creación de cartografía temática avanzada y la aplicación de métodos de teledetección. El contenido permite integrar múltiples variables (calidad del aire, usos del suelo, biodiversidad) mediante análisis espacial y álgebra de mapas, con el fin de diagnosticar problemáticas territoriales. Esto culmina en la formulación de proyectos técnicos donde la interpretación de datos geoespaciales sirve como base fundamental para la toma de decisiones estratégicas en la planificación y restauración de ecosistemas.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</si>
  <si>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A	Herramientas de Precisión: Uso de funciones SIG y levantamiento de puntos con GPS/GNSS.	Laboratorio 1: Captura de datos en campo y gestión de atributos.	30%
B	Análisis y Representación: Desarrollo de cartografía temática (aire, suelo, biodiversidad).	Laboratorio 2: Geoprocesamiento y Álgebra de mapas.	35%
C	Proyecto Aplicado: Identificación y resolución de problemas mediante análisis espacial.	Proyecto Final: Modelación geoespacial para soluciones ambientales.	35%
Total			100%</t>
    </r>
  </si>
  <si>
    <t>5. Recursos Tecnológicos (Describir los recursos como software, sala de cómputos, laboratorios)                QGIS: Software de escritorio de código abierto para visualización, edición y análisis de datos geoespaciales.
ArcGIS Pro: Plataforma líder de escritorio para análisis espacial avanzado, modelado 3D y gestión de datos.
Google Earth Engine: Plataforma basada en la nube para el análisis de datos geoespaciales a escala planetaria y procesamiento de imágenes satelitales.
Global Mapper: Herramienta versátil para el manejo de datos GIS que destaca por su facilidad en el procesamiento de modelos digitales de elevación (DEM).
ERDAS IMAGINE: Software especializado en teledetección y fotogrametría para el procesamiento avanzado de imágenes de sensores remotos.
SAS.Planet: Programa para la visualización y descarga de imágenes de satélite de alta resolución y mapas convencionales.</t>
  </si>
  <si>
    <r>
      <rPr>
        <b/>
        <sz val="11"/>
        <color theme="1"/>
        <rFont val="Calibri"/>
        <family val="2"/>
        <scheme val="minor"/>
      </rPr>
      <t>Bibliografía Obligatoria</t>
    </r>
    <r>
      <rPr>
        <sz val="11"/>
        <color theme="1"/>
        <rFont val="Calibri"/>
        <family val="2"/>
        <scheme val="minor"/>
      </rPr>
      <t xml:space="preserve">
Acosta Ojeda, F. C., Betancor, M. M., &amp; Romero López, M. P. (2022). Cartografía Temática con SIG I: (1 ed.). Universidad de Las Palmas de Gran Canaria. Servicio de Publicaciones y Difusión Científica.
Mancebo Quintana, S., Ortega Pérez, E., Valentín Criado, A. C., Martín Ramos, B., Martín Fernández, L., Sánchez Vicente, A., Espluga González de la Peña, A. P., &amp; Catalán Herrero, J. (2008). LibroSIG: Aprendiendo a manejar los SIG en la gestión ambiental [PDF]. Geoinnova.</t>
    </r>
  </si>
  <si>
    <r>
      <t xml:space="preserve">Bibliografía Complementaria
</t>
    </r>
    <r>
      <rPr>
        <sz val="11"/>
        <color theme="1"/>
        <rFont val="Calibri"/>
        <family val="2"/>
        <scheme val="minor"/>
      </rPr>
      <t>Gualdrón Alfonso, D. F., Villate Corredor, J. J., &amp; Torres Villamil, D. L. (2022). Determinación de los parámetros morfométricos en cuencas empleando sistemas de información geográfica: (1 ed.). Editorial UPTC.
Cabrero Ortega, M. Y., &amp; García Pérez, A. (2022). Análisis estadístico de datos espaciales con QGIS y R: (1 ed.). UNED - Universidad Nacional de Educación a Distancia.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</si>
</sst>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93">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0" fillId="0" borderId="1" xfId="0"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0"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54" xfId="0"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25"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27"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1" fillId="0" borderId="62" xfId="0" applyFont="1" applyBorder="1" applyAlignment="1">
      <alignment horizontal="center" wrapText="1"/>
    </xf>
    <xf numFmtId="0" fontId="0" fillId="0" borderId="56"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28" xfId="0" applyFill="1" applyBorder="1" applyAlignment="1">
      <alignment horizontal="center" vertical="center"/>
    </xf>
    <xf numFmtId="0" fontId="0" fillId="2" borderId="23" xfId="0"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24"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26" xfId="0" applyFont="1" applyFill="1" applyBorder="1" applyAlignment="1">
      <alignment horizontal="left" vertical="center" wrapText="1"/>
    </xf>
    <xf numFmtId="0" fontId="1" fillId="2" borderId="27"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2" borderId="28" xfId="0" applyFont="1"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0" fillId="0" borderId="32" xfId="0" applyBorder="1" applyAlignment="1">
      <alignment horizontal="center" vertical="top" wrapText="1"/>
    </xf>
    <xf numFmtId="0" fontId="0" fillId="0" borderId="33" xfId="0" applyBorder="1" applyAlignment="1">
      <alignment horizontal="center" vertical="top" wrapText="1"/>
    </xf>
    <xf numFmtId="0" fontId="0" fillId="0" borderId="4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5" name="Imagen 4">
          <a:extLst>
            <a:ext uri="{FF2B5EF4-FFF2-40B4-BE49-F238E27FC236}">
              <a16:creationId xmlns:a16="http://schemas.microsoft.com/office/drawing/2014/main" id="{721BCF9B-5218-4006-B751-5E3DA8DA7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F23468FB-0553-4F9E-9635-93F838B12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5C6F7FFA-A1FE-4027-BD06-0161D87983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539923B7-917F-4492-B1A4-F1606BC49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4E551E6B-F40D-4A42-B43D-0F48BF1441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7F063594-B7E2-4A5B-A37C-7638D85DC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28A47CB-1D93-44AC-B79E-FFD5A53A9C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781A04A1-79F1-4A74-977C-D90AEFE13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761DFF7C-1A07-4CBD-BB82-69BDA9C58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1640625" defaultRowHeight="14.5" x14ac:dyDescent="0.35"/>
  <cols>
    <col min="1" max="1" width="3.1796875" style="11" customWidth="1"/>
    <col min="2" max="2" width="14.26953125" style="11" customWidth="1"/>
    <col min="3" max="3" width="9.7265625" style="11" customWidth="1"/>
    <col min="4" max="4" width="12.26953125" style="11" customWidth="1"/>
    <col min="5" max="5" width="10.1796875" style="11" customWidth="1"/>
    <col min="6" max="6" width="10.81640625" style="11"/>
    <col min="7" max="7" width="10.81640625" style="11" customWidth="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1</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4</v>
      </c>
    </row>
    <row r="5" spans="2:9" ht="15" thickTop="1" x14ac:dyDescent="0.35">
      <c r="B5" s="45"/>
      <c r="C5" s="45"/>
      <c r="D5" s="45"/>
      <c r="E5" s="45"/>
      <c r="F5" s="45"/>
      <c r="G5" s="45"/>
      <c r="H5" s="45"/>
      <c r="I5" s="45"/>
    </row>
    <row r="6" spans="2:9" x14ac:dyDescent="0.35">
      <c r="B6" s="45" t="s">
        <v>5</v>
      </c>
      <c r="C6" s="45"/>
      <c r="D6" s="45"/>
      <c r="E6" s="45"/>
      <c r="F6" s="45"/>
      <c r="G6" s="45"/>
      <c r="H6" s="45"/>
      <c r="I6" s="45"/>
    </row>
    <row r="7" spans="2:9" ht="43.5" x14ac:dyDescent="0.35">
      <c r="B7" s="3" t="s">
        <v>6</v>
      </c>
      <c r="C7" s="1"/>
      <c r="D7" s="2" t="s">
        <v>7</v>
      </c>
      <c r="E7" s="1"/>
      <c r="F7" s="2" t="s">
        <v>8</v>
      </c>
      <c r="G7" s="1"/>
      <c r="H7" s="2" t="s">
        <v>9</v>
      </c>
      <c r="I7" s="1"/>
    </row>
    <row r="8" spans="2:9" ht="43.5" x14ac:dyDescent="0.35">
      <c r="B8" s="2" t="s">
        <v>10</v>
      </c>
      <c r="C8" s="1"/>
      <c r="D8" s="3" t="s">
        <v>11</v>
      </c>
      <c r="E8" s="52"/>
      <c r="F8" s="52"/>
      <c r="G8" s="2" t="s">
        <v>12</v>
      </c>
      <c r="H8" s="52"/>
      <c r="I8" s="52"/>
    </row>
    <row r="9" spans="2:9" ht="29" x14ac:dyDescent="0.35">
      <c r="B9" s="2" t="s">
        <v>13</v>
      </c>
      <c r="C9" s="5"/>
      <c r="D9" s="2" t="s">
        <v>14</v>
      </c>
      <c r="E9" s="5"/>
      <c r="F9" s="2" t="s">
        <v>15</v>
      </c>
      <c r="G9" s="5"/>
      <c r="H9" s="2" t="s">
        <v>16</v>
      </c>
      <c r="I9" s="5">
        <f>E9+G9</f>
        <v>0</v>
      </c>
    </row>
    <row r="10" spans="2:9" x14ac:dyDescent="0.35">
      <c r="B10" s="51" t="s">
        <v>17</v>
      </c>
      <c r="C10" s="35"/>
      <c r="D10" s="35"/>
      <c r="E10" s="35"/>
      <c r="F10" s="35"/>
      <c r="G10" s="35"/>
      <c r="H10" s="35"/>
      <c r="I10" s="35"/>
    </row>
    <row r="11" spans="2:9" x14ac:dyDescent="0.35">
      <c r="B11" s="51" t="s">
        <v>18</v>
      </c>
      <c r="C11" s="51"/>
      <c r="D11" s="45" t="s">
        <v>19</v>
      </c>
      <c r="E11" s="46"/>
      <c r="F11" s="46"/>
      <c r="G11" s="45" t="s">
        <v>20</v>
      </c>
      <c r="H11" s="46"/>
      <c r="I11" s="46"/>
    </row>
    <row r="12" spans="2:9" x14ac:dyDescent="0.35">
      <c r="B12" s="51"/>
      <c r="C12" s="51"/>
      <c r="D12" s="45"/>
      <c r="E12" s="46"/>
      <c r="F12" s="46"/>
      <c r="G12" s="45"/>
      <c r="H12" s="46"/>
      <c r="I12" s="46"/>
    </row>
    <row r="13" spans="2:9" x14ac:dyDescent="0.35">
      <c r="B13" s="35" t="s">
        <v>21</v>
      </c>
      <c r="C13" s="35"/>
      <c r="D13" s="35"/>
      <c r="E13" s="35"/>
      <c r="F13" s="35"/>
      <c r="G13" s="35"/>
      <c r="H13" s="35"/>
      <c r="I13" s="35"/>
    </row>
    <row r="14" spans="2:9" x14ac:dyDescent="0.35">
      <c r="B14" s="3" t="s">
        <v>22</v>
      </c>
      <c r="C14" s="52"/>
      <c r="D14" s="52"/>
      <c r="E14" s="3" t="s">
        <v>23</v>
      </c>
      <c r="F14" s="1"/>
      <c r="G14" s="3" t="s">
        <v>24</v>
      </c>
      <c r="H14" s="52"/>
      <c r="I14" s="52"/>
    </row>
    <row r="15" spans="2:9" x14ac:dyDescent="0.35">
      <c r="B15" s="35" t="s">
        <v>25</v>
      </c>
      <c r="C15" s="35"/>
      <c r="D15" s="35"/>
      <c r="E15" s="35"/>
      <c r="F15" s="35"/>
      <c r="G15" s="35"/>
      <c r="H15" s="35"/>
      <c r="I15" s="35"/>
    </row>
    <row r="16" spans="2:9" x14ac:dyDescent="0.35">
      <c r="B16" s="51" t="s">
        <v>26</v>
      </c>
      <c r="C16" s="51"/>
      <c r="D16" s="46"/>
      <c r="E16" s="46"/>
      <c r="F16" s="46"/>
      <c r="G16" s="46"/>
      <c r="H16" s="46"/>
      <c r="I16" s="46"/>
    </row>
    <row r="17" spans="2:9" x14ac:dyDescent="0.35">
      <c r="B17" s="51"/>
      <c r="C17" s="51"/>
      <c r="D17" s="46"/>
      <c r="E17" s="46"/>
      <c r="F17" s="46"/>
      <c r="G17" s="46"/>
      <c r="H17" s="46"/>
      <c r="I17" s="46"/>
    </row>
    <row r="18" spans="2:9" x14ac:dyDescent="0.35">
      <c r="B18" s="49" t="s">
        <v>27</v>
      </c>
      <c r="C18" s="50"/>
      <c r="D18" s="46"/>
      <c r="E18" s="46"/>
      <c r="F18" s="46"/>
      <c r="G18" s="46"/>
      <c r="H18" s="46"/>
      <c r="I18" s="46"/>
    </row>
    <row r="19" spans="2:9" x14ac:dyDescent="0.35">
      <c r="B19" s="51" t="s">
        <v>28</v>
      </c>
      <c r="C19" s="51"/>
      <c r="D19" s="46"/>
      <c r="E19" s="46"/>
      <c r="F19" s="46"/>
      <c r="G19" s="46"/>
      <c r="H19" s="46"/>
      <c r="I19" s="46"/>
    </row>
    <row r="20" spans="2:9" x14ac:dyDescent="0.35">
      <c r="B20" s="51"/>
      <c r="C20" s="51"/>
      <c r="D20" s="46"/>
      <c r="E20" s="46"/>
      <c r="F20" s="46"/>
      <c r="G20" s="46"/>
      <c r="H20" s="46"/>
      <c r="I20" s="46"/>
    </row>
    <row r="21" spans="2:9" x14ac:dyDescent="0.35">
      <c r="B21" s="51" t="s">
        <v>29</v>
      </c>
      <c r="C21" s="51"/>
      <c r="D21" s="46"/>
      <c r="E21" s="46"/>
      <c r="F21" s="46"/>
      <c r="G21" s="46"/>
      <c r="H21" s="46"/>
      <c r="I21" s="46"/>
    </row>
    <row r="22" spans="2:9" x14ac:dyDescent="0.35">
      <c r="B22" s="51"/>
      <c r="C22" s="51"/>
      <c r="D22" s="46"/>
      <c r="E22" s="46"/>
      <c r="F22" s="46"/>
      <c r="G22" s="46"/>
      <c r="H22" s="46"/>
      <c r="I22" s="46"/>
    </row>
    <row r="23" spans="2:9" x14ac:dyDescent="0.35">
      <c r="B23" s="45" t="s">
        <v>30</v>
      </c>
      <c r="C23" s="45"/>
      <c r="D23" s="46" t="s">
        <v>31</v>
      </c>
      <c r="E23" s="46"/>
      <c r="F23" s="46"/>
      <c r="G23" s="46"/>
      <c r="H23" s="46"/>
      <c r="I23" s="46"/>
    </row>
    <row r="24" spans="2:9" x14ac:dyDescent="0.35">
      <c r="B24" s="45"/>
      <c r="C24" s="45"/>
      <c r="D24" s="46" t="s">
        <v>32</v>
      </c>
      <c r="E24" s="46"/>
      <c r="F24" s="46"/>
      <c r="G24" s="46"/>
      <c r="H24" s="46"/>
      <c r="I24" s="46"/>
    </row>
    <row r="25" spans="2:9" x14ac:dyDescent="0.35">
      <c r="B25" s="45"/>
      <c r="C25" s="45"/>
      <c r="D25" s="46" t="s">
        <v>33</v>
      </c>
      <c r="E25" s="46"/>
      <c r="F25" s="46"/>
      <c r="G25" s="46"/>
      <c r="H25" s="46"/>
      <c r="I25" s="46"/>
    </row>
    <row r="26" spans="2:9" x14ac:dyDescent="0.35">
      <c r="B26" s="45"/>
      <c r="C26" s="45"/>
      <c r="D26" s="46" t="s">
        <v>34</v>
      </c>
      <c r="E26" s="46"/>
      <c r="F26" s="46"/>
      <c r="G26" s="46"/>
      <c r="H26" s="46"/>
      <c r="I26" s="46"/>
    </row>
    <row r="27" spans="2:9" x14ac:dyDescent="0.35">
      <c r="B27" s="47" t="s">
        <v>35</v>
      </c>
      <c r="C27" s="47"/>
      <c r="D27" s="3" t="s">
        <v>36</v>
      </c>
      <c r="E27" s="1"/>
      <c r="F27" s="3" t="s">
        <v>37</v>
      </c>
      <c r="G27" s="1"/>
      <c r="H27" s="3" t="s">
        <v>38</v>
      </c>
      <c r="I27" s="1"/>
    </row>
    <row r="28" spans="2:9" x14ac:dyDescent="0.35">
      <c r="B28" s="47"/>
      <c r="C28" s="47"/>
      <c r="D28" s="4" t="s">
        <v>39</v>
      </c>
      <c r="E28" s="1"/>
      <c r="F28" s="3" t="s">
        <v>40</v>
      </c>
      <c r="G28" s="1"/>
      <c r="H28" s="3" t="s">
        <v>41</v>
      </c>
      <c r="I28" s="1"/>
    </row>
    <row r="29" spans="2:9" x14ac:dyDescent="0.35">
      <c r="B29" s="47"/>
      <c r="C29" s="47"/>
      <c r="D29" s="3" t="s">
        <v>42</v>
      </c>
      <c r="E29" s="1"/>
      <c r="F29" s="3" t="s">
        <v>43</v>
      </c>
      <c r="G29" s="1"/>
      <c r="H29" s="3" t="s">
        <v>44</v>
      </c>
      <c r="I29" s="1"/>
    </row>
    <row r="30" spans="2:9" x14ac:dyDescent="0.35">
      <c r="B30" s="48" t="s">
        <v>45</v>
      </c>
      <c r="C30" s="48"/>
      <c r="D30" s="48"/>
      <c r="E30" s="48"/>
      <c r="F30" s="48"/>
      <c r="G30" s="48"/>
      <c r="H30" s="48"/>
      <c r="I30" s="48"/>
    </row>
    <row r="31" spans="2:9" x14ac:dyDescent="0.35">
      <c r="B31" s="48"/>
      <c r="C31" s="48"/>
      <c r="D31" s="48"/>
      <c r="E31" s="48"/>
      <c r="F31" s="48"/>
      <c r="G31" s="48"/>
      <c r="H31" s="48"/>
      <c r="I31" s="48"/>
    </row>
    <row r="32" spans="2:9" x14ac:dyDescent="0.35">
      <c r="B32" s="48"/>
      <c r="C32" s="48"/>
      <c r="D32" s="48"/>
      <c r="E32" s="48"/>
      <c r="F32" s="48"/>
      <c r="G32" s="48"/>
      <c r="H32" s="48"/>
      <c r="I32" s="48"/>
    </row>
    <row r="33" spans="2:9" x14ac:dyDescent="0.35">
      <c r="B33" s="48"/>
      <c r="C33" s="48"/>
      <c r="D33" s="48"/>
      <c r="E33" s="48"/>
      <c r="F33" s="48"/>
      <c r="G33" s="48"/>
      <c r="H33" s="48"/>
      <c r="I33" s="48"/>
    </row>
    <row r="34" spans="2:9" x14ac:dyDescent="0.35">
      <c r="B34" s="48"/>
      <c r="C34" s="48"/>
      <c r="D34" s="48"/>
      <c r="E34" s="48"/>
      <c r="F34" s="48"/>
      <c r="G34" s="48"/>
      <c r="H34" s="48"/>
      <c r="I34" s="48"/>
    </row>
    <row r="35" spans="2:9" x14ac:dyDescent="0.35">
      <c r="B35" s="35" t="s">
        <v>46</v>
      </c>
      <c r="C35" s="35"/>
      <c r="D35" s="35"/>
      <c r="E35" s="35"/>
      <c r="F35" s="35"/>
      <c r="G35" s="35"/>
      <c r="H35" s="35"/>
      <c r="I35" s="35"/>
    </row>
    <row r="36" spans="2:9" x14ac:dyDescent="0.35">
      <c r="B36" s="34" t="s">
        <v>47</v>
      </c>
      <c r="C36" s="34"/>
      <c r="D36" s="34"/>
      <c r="E36" s="34"/>
      <c r="F36" s="34"/>
      <c r="G36" s="34"/>
      <c r="H36" s="34"/>
      <c r="I36" s="34"/>
    </row>
    <row r="37" spans="2:9" x14ac:dyDescent="0.35">
      <c r="B37" s="34"/>
      <c r="C37" s="34"/>
      <c r="D37" s="34"/>
      <c r="E37" s="34"/>
      <c r="F37" s="34"/>
      <c r="G37" s="34"/>
      <c r="H37" s="34"/>
      <c r="I37" s="34"/>
    </row>
    <row r="38" spans="2:9" x14ac:dyDescent="0.35">
      <c r="B38" s="34"/>
      <c r="C38" s="34"/>
      <c r="D38" s="34"/>
      <c r="E38" s="34"/>
      <c r="F38" s="34"/>
      <c r="G38" s="34"/>
      <c r="H38" s="34"/>
      <c r="I38" s="34"/>
    </row>
    <row r="39" spans="2:9" x14ac:dyDescent="0.35">
      <c r="B39" s="42" t="s">
        <v>48</v>
      </c>
      <c r="C39" s="42"/>
      <c r="D39" s="42"/>
      <c r="E39" s="42"/>
      <c r="F39" s="42" t="s">
        <v>49</v>
      </c>
      <c r="G39" s="42"/>
      <c r="H39" s="42"/>
      <c r="I39" s="42"/>
    </row>
    <row r="40" spans="2:9" x14ac:dyDescent="0.35">
      <c r="B40" s="42"/>
      <c r="C40" s="42"/>
      <c r="D40" s="42"/>
      <c r="E40" s="42"/>
      <c r="F40" s="42"/>
      <c r="G40" s="42"/>
      <c r="H40" s="42"/>
      <c r="I40" s="42"/>
    </row>
    <row r="41" spans="2:9" x14ac:dyDescent="0.35">
      <c r="B41" s="42"/>
      <c r="C41" s="42"/>
      <c r="D41" s="42"/>
      <c r="E41" s="42"/>
      <c r="F41" s="42"/>
      <c r="G41" s="42"/>
      <c r="H41" s="42"/>
      <c r="I41" s="42"/>
    </row>
    <row r="42" spans="2:9" x14ac:dyDescent="0.35">
      <c r="B42" s="42"/>
      <c r="C42" s="42"/>
      <c r="D42" s="42"/>
      <c r="E42" s="42"/>
      <c r="F42" s="42"/>
      <c r="G42" s="42"/>
      <c r="H42" s="42"/>
      <c r="I42" s="42"/>
    </row>
    <row r="43" spans="2:9" x14ac:dyDescent="0.35">
      <c r="B43" s="42"/>
      <c r="C43" s="42"/>
      <c r="D43" s="42"/>
      <c r="E43" s="42"/>
      <c r="F43" s="42"/>
      <c r="G43" s="42"/>
      <c r="H43" s="42"/>
      <c r="I43" s="42"/>
    </row>
    <row r="44" spans="2:9" x14ac:dyDescent="0.35">
      <c r="B44" s="42"/>
      <c r="C44" s="42"/>
      <c r="D44" s="42"/>
      <c r="E44" s="42"/>
      <c r="F44" s="42"/>
      <c r="G44" s="42"/>
      <c r="H44" s="42"/>
      <c r="I44" s="42"/>
    </row>
    <row r="45" spans="2:9" x14ac:dyDescent="0.35">
      <c r="B45" s="42"/>
      <c r="C45" s="42"/>
      <c r="D45" s="42"/>
      <c r="E45" s="42"/>
      <c r="F45" s="42"/>
      <c r="G45" s="42"/>
      <c r="H45" s="42"/>
      <c r="I45" s="42"/>
    </row>
    <row r="46" spans="2:9" x14ac:dyDescent="0.35">
      <c r="B46" s="42"/>
      <c r="C46" s="42"/>
      <c r="D46" s="42"/>
      <c r="E46" s="42"/>
      <c r="F46" s="42"/>
      <c r="G46" s="42"/>
      <c r="H46" s="42"/>
      <c r="I46" s="42"/>
    </row>
    <row r="47" spans="2:9" x14ac:dyDescent="0.35">
      <c r="B47" s="42"/>
      <c r="C47" s="42"/>
      <c r="D47" s="42"/>
      <c r="E47" s="42"/>
      <c r="F47" s="42"/>
      <c r="G47" s="42"/>
      <c r="H47" s="42"/>
      <c r="I47" s="42"/>
    </row>
    <row r="48" spans="2:9" x14ac:dyDescent="0.35">
      <c r="B48" s="35" t="s">
        <v>50</v>
      </c>
      <c r="C48" s="35"/>
      <c r="D48" s="35"/>
      <c r="E48" s="35"/>
      <c r="F48" s="35"/>
      <c r="G48" s="35"/>
      <c r="H48" s="35"/>
      <c r="I48" s="35"/>
    </row>
    <row r="49" spans="2:9" x14ac:dyDescent="0.35">
      <c r="B49" s="44" t="s">
        <v>51</v>
      </c>
      <c r="C49" s="44"/>
      <c r="D49" s="44"/>
      <c r="E49" s="44"/>
      <c r="F49" s="42" t="s">
        <v>52</v>
      </c>
      <c r="G49" s="42"/>
      <c r="H49" s="42"/>
      <c r="I49" s="42"/>
    </row>
    <row r="50" spans="2:9" x14ac:dyDescent="0.35">
      <c r="B50" s="44"/>
      <c r="C50" s="44"/>
      <c r="D50" s="44"/>
      <c r="E50" s="44"/>
      <c r="F50" s="42"/>
      <c r="G50" s="42"/>
      <c r="H50" s="42"/>
      <c r="I50" s="42"/>
    </row>
    <row r="51" spans="2:9" x14ac:dyDescent="0.35">
      <c r="B51" s="44"/>
      <c r="C51" s="44"/>
      <c r="D51" s="44"/>
      <c r="E51" s="44"/>
      <c r="F51" s="42"/>
      <c r="G51" s="42"/>
      <c r="H51" s="42"/>
      <c r="I51" s="42"/>
    </row>
    <row r="52" spans="2:9" x14ac:dyDescent="0.35">
      <c r="B52" s="44"/>
      <c r="C52" s="44"/>
      <c r="D52" s="44"/>
      <c r="E52" s="44"/>
      <c r="F52" s="42"/>
      <c r="G52" s="42"/>
      <c r="H52" s="42"/>
      <c r="I52" s="42"/>
    </row>
    <row r="53" spans="2:9" x14ac:dyDescent="0.35">
      <c r="B53" s="44"/>
      <c r="C53" s="44"/>
      <c r="D53" s="44"/>
      <c r="E53" s="44"/>
      <c r="F53" s="42"/>
      <c r="G53" s="42"/>
      <c r="H53" s="42"/>
      <c r="I53" s="42"/>
    </row>
    <row r="54" spans="2:9" x14ac:dyDescent="0.35">
      <c r="B54" s="44"/>
      <c r="C54" s="44"/>
      <c r="D54" s="44"/>
      <c r="E54" s="44"/>
      <c r="F54" s="42"/>
      <c r="G54" s="42"/>
      <c r="H54" s="42"/>
      <c r="I54" s="42"/>
    </row>
    <row r="55" spans="2:9" x14ac:dyDescent="0.35">
      <c r="B55" s="44"/>
      <c r="C55" s="44"/>
      <c r="D55" s="44"/>
      <c r="E55" s="44"/>
      <c r="F55" s="42"/>
      <c r="G55" s="42"/>
      <c r="H55" s="42"/>
      <c r="I55" s="42"/>
    </row>
    <row r="56" spans="2:9" x14ac:dyDescent="0.35">
      <c r="B56" s="44"/>
      <c r="C56" s="44"/>
      <c r="D56" s="44"/>
      <c r="E56" s="44"/>
      <c r="F56" s="42"/>
      <c r="G56" s="42"/>
      <c r="H56" s="42"/>
      <c r="I56" s="42"/>
    </row>
    <row r="57" spans="2:9" x14ac:dyDescent="0.35">
      <c r="B57" s="44"/>
      <c r="C57" s="44"/>
      <c r="D57" s="44"/>
      <c r="E57" s="44"/>
      <c r="F57" s="42"/>
      <c r="G57" s="42"/>
      <c r="H57" s="42"/>
      <c r="I57" s="42"/>
    </row>
    <row r="58" spans="2:9" x14ac:dyDescent="0.35">
      <c r="B58" s="44"/>
      <c r="C58" s="44"/>
      <c r="D58" s="44"/>
      <c r="E58" s="44"/>
      <c r="F58" s="42"/>
      <c r="G58" s="42"/>
      <c r="H58" s="42"/>
      <c r="I58" s="42"/>
    </row>
    <row r="59" spans="2:9" x14ac:dyDescent="0.35">
      <c r="B59" s="44"/>
      <c r="C59" s="44"/>
      <c r="D59" s="44"/>
      <c r="E59" s="44"/>
      <c r="F59" s="42"/>
      <c r="G59" s="42"/>
      <c r="H59" s="42"/>
      <c r="I59" s="42"/>
    </row>
    <row r="60" spans="2:9" x14ac:dyDescent="0.35">
      <c r="B60" s="45" t="s">
        <v>53</v>
      </c>
      <c r="C60" s="45"/>
      <c r="D60" s="45"/>
      <c r="E60" s="45"/>
      <c r="F60" s="46"/>
      <c r="G60" s="46"/>
      <c r="H60" s="45" t="s">
        <v>54</v>
      </c>
      <c r="I60" s="5"/>
    </row>
    <row r="61" spans="2:9" x14ac:dyDescent="0.35">
      <c r="B61" s="45"/>
      <c r="C61" s="45"/>
      <c r="D61" s="45"/>
      <c r="E61" s="45"/>
      <c r="F61" s="46"/>
      <c r="G61" s="46"/>
      <c r="H61" s="45"/>
      <c r="I61" s="5"/>
    </row>
    <row r="62" spans="2:9" x14ac:dyDescent="0.35">
      <c r="B62" s="45"/>
      <c r="C62" s="45"/>
      <c r="D62" s="45"/>
      <c r="E62" s="45"/>
      <c r="F62" s="46"/>
      <c r="G62" s="46"/>
      <c r="H62" s="45"/>
      <c r="I62" s="5"/>
    </row>
    <row r="63" spans="2:9" x14ac:dyDescent="0.35">
      <c r="B63" s="45"/>
      <c r="C63" s="45"/>
      <c r="D63" s="45"/>
      <c r="E63" s="45"/>
      <c r="F63" s="46"/>
      <c r="G63" s="46"/>
      <c r="H63" s="45"/>
      <c r="I63" s="5"/>
    </row>
    <row r="64" spans="2:9" x14ac:dyDescent="0.35">
      <c r="B64" s="45"/>
      <c r="C64" s="45"/>
      <c r="D64" s="45"/>
      <c r="E64" s="45"/>
      <c r="F64" s="46"/>
      <c r="G64" s="46"/>
      <c r="H64" s="45"/>
      <c r="I64" s="5"/>
    </row>
    <row r="65" spans="2:9" x14ac:dyDescent="0.35">
      <c r="B65" s="35" t="s">
        <v>55</v>
      </c>
      <c r="C65" s="35"/>
      <c r="D65" s="35"/>
      <c r="E65" s="35"/>
      <c r="F65" s="35"/>
      <c r="G65" s="35"/>
      <c r="H65" s="35"/>
      <c r="I65" s="35"/>
    </row>
    <row r="66" spans="2:9" x14ac:dyDescent="0.35">
      <c r="B66" s="42" t="s">
        <v>56</v>
      </c>
      <c r="C66" s="42"/>
      <c r="D66" s="42"/>
      <c r="E66" s="42"/>
      <c r="F66" s="42" t="s">
        <v>57</v>
      </c>
      <c r="G66" s="42"/>
      <c r="H66" s="42"/>
      <c r="I66" s="42"/>
    </row>
    <row r="67" spans="2:9" x14ac:dyDescent="0.35">
      <c r="B67" s="42"/>
      <c r="C67" s="42"/>
      <c r="D67" s="42"/>
      <c r="E67" s="42"/>
      <c r="F67" s="42"/>
      <c r="G67" s="42"/>
      <c r="H67" s="42"/>
      <c r="I67" s="42"/>
    </row>
    <row r="68" spans="2:9" x14ac:dyDescent="0.35">
      <c r="B68" s="42"/>
      <c r="C68" s="42"/>
      <c r="D68" s="42"/>
      <c r="E68" s="42"/>
      <c r="F68" s="42"/>
      <c r="G68" s="42"/>
      <c r="H68" s="42"/>
      <c r="I68" s="42"/>
    </row>
    <row r="69" spans="2:9" x14ac:dyDescent="0.35">
      <c r="B69" s="42"/>
      <c r="C69" s="42"/>
      <c r="D69" s="42"/>
      <c r="E69" s="42"/>
      <c r="F69" s="42"/>
      <c r="G69" s="42"/>
      <c r="H69" s="42"/>
      <c r="I69" s="42"/>
    </row>
    <row r="70" spans="2:9" x14ac:dyDescent="0.35">
      <c r="B70" s="42"/>
      <c r="C70" s="42"/>
      <c r="D70" s="42"/>
      <c r="E70" s="42"/>
      <c r="F70" s="42"/>
      <c r="G70" s="42"/>
      <c r="H70" s="42"/>
      <c r="I70" s="42"/>
    </row>
    <row r="71" spans="2:9" x14ac:dyDescent="0.35">
      <c r="B71" s="42"/>
      <c r="C71" s="42"/>
      <c r="D71" s="42"/>
      <c r="E71" s="42"/>
      <c r="F71" s="42"/>
      <c r="G71" s="42"/>
      <c r="H71" s="42"/>
      <c r="I71" s="42"/>
    </row>
    <row r="72" spans="2:9" x14ac:dyDescent="0.35">
      <c r="B72" s="42"/>
      <c r="C72" s="42"/>
      <c r="D72" s="42"/>
      <c r="E72" s="42"/>
      <c r="F72" s="42"/>
      <c r="G72" s="42"/>
      <c r="H72" s="42"/>
      <c r="I72" s="42"/>
    </row>
    <row r="73" spans="2:9" x14ac:dyDescent="0.35">
      <c r="B73" s="42"/>
      <c r="C73" s="42"/>
      <c r="D73" s="42"/>
      <c r="E73" s="42"/>
      <c r="F73" s="42"/>
      <c r="G73" s="42"/>
      <c r="H73" s="42"/>
      <c r="I73" s="42"/>
    </row>
    <row r="74" spans="2:9" x14ac:dyDescent="0.35">
      <c r="B74" s="42"/>
      <c r="C74" s="42"/>
      <c r="D74" s="42"/>
      <c r="E74" s="42"/>
      <c r="F74" s="42"/>
      <c r="G74" s="42"/>
      <c r="H74" s="42"/>
      <c r="I74" s="42"/>
    </row>
    <row r="75" spans="2:9" x14ac:dyDescent="0.35">
      <c r="B75" s="42"/>
      <c r="C75" s="42"/>
      <c r="D75" s="42"/>
      <c r="E75" s="42"/>
      <c r="F75" s="42"/>
      <c r="G75" s="42"/>
      <c r="H75" s="42"/>
      <c r="I75" s="42"/>
    </row>
    <row r="76" spans="2:9" x14ac:dyDescent="0.35">
      <c r="B76" s="42"/>
      <c r="C76" s="42"/>
      <c r="D76" s="42"/>
      <c r="E76" s="42"/>
      <c r="F76" s="42"/>
      <c r="G76" s="42"/>
      <c r="H76" s="42"/>
      <c r="I76" s="42"/>
    </row>
    <row r="77" spans="2:9" x14ac:dyDescent="0.35">
      <c r="B77" s="42"/>
      <c r="C77" s="42"/>
      <c r="D77" s="42"/>
      <c r="E77" s="42"/>
      <c r="F77" s="42"/>
      <c r="G77" s="42"/>
      <c r="H77" s="42"/>
      <c r="I77" s="42"/>
    </row>
    <row r="78" spans="2:9" x14ac:dyDescent="0.35">
      <c r="B78" s="42"/>
      <c r="C78" s="42"/>
      <c r="D78" s="42"/>
      <c r="E78" s="42"/>
      <c r="F78" s="42"/>
      <c r="G78" s="42"/>
      <c r="H78" s="42"/>
      <c r="I78" s="42"/>
    </row>
    <row r="79" spans="2:9" x14ac:dyDescent="0.35">
      <c r="B79" s="42"/>
      <c r="C79" s="42"/>
      <c r="D79" s="42"/>
      <c r="E79" s="42"/>
      <c r="F79" s="42"/>
      <c r="G79" s="42"/>
      <c r="H79" s="42"/>
      <c r="I79" s="42"/>
    </row>
    <row r="80" spans="2:9" x14ac:dyDescent="0.35">
      <c r="B80" s="43"/>
      <c r="C80" s="43"/>
      <c r="D80" s="43"/>
      <c r="E80" s="43"/>
      <c r="F80" s="43"/>
      <c r="G80" s="43"/>
      <c r="H80" s="43"/>
      <c r="I80" s="43"/>
    </row>
    <row r="81" spans="2:9" x14ac:dyDescent="0.35">
      <c r="B81" s="35" t="s">
        <v>58</v>
      </c>
      <c r="C81" s="35"/>
      <c r="D81" s="35"/>
      <c r="E81" s="35"/>
      <c r="F81" s="35"/>
      <c r="G81" s="35"/>
      <c r="H81" s="35"/>
      <c r="I81" s="35"/>
    </row>
    <row r="82" spans="2:9" x14ac:dyDescent="0.35">
      <c r="B82" s="9" t="s">
        <v>59</v>
      </c>
      <c r="C82" s="9" t="s">
        <v>60</v>
      </c>
      <c r="D82" s="9" t="s">
        <v>61</v>
      </c>
      <c r="E82" s="9" t="s">
        <v>62</v>
      </c>
      <c r="F82" s="9" t="s">
        <v>63</v>
      </c>
      <c r="G82" s="35" t="s">
        <v>64</v>
      </c>
      <c r="H82" s="35"/>
      <c r="I82" s="35"/>
    </row>
    <row r="83" spans="2:9" x14ac:dyDescent="0.35">
      <c r="B83" s="10"/>
      <c r="C83" s="10"/>
      <c r="D83" s="10"/>
      <c r="E83" s="10"/>
      <c r="F83" s="10"/>
      <c r="G83" s="34"/>
      <c r="H83" s="34"/>
      <c r="I83" s="34"/>
    </row>
    <row r="84" spans="2:9" x14ac:dyDescent="0.35">
      <c r="B84" s="10"/>
      <c r="C84" s="10"/>
      <c r="D84" s="10"/>
      <c r="E84" s="10"/>
      <c r="F84" s="10"/>
      <c r="G84" s="34"/>
      <c r="H84" s="34"/>
      <c r="I84" s="34"/>
    </row>
    <row r="85" spans="2:9" x14ac:dyDescent="0.35">
      <c r="B85" s="10"/>
      <c r="C85" s="10"/>
      <c r="D85" s="10"/>
      <c r="E85" s="10"/>
      <c r="F85" s="10"/>
      <c r="G85" s="34"/>
      <c r="H85" s="34"/>
      <c r="I85" s="34"/>
    </row>
    <row r="86" spans="2:9" x14ac:dyDescent="0.35">
      <c r="B86" s="10"/>
      <c r="C86" s="10"/>
      <c r="D86" s="10"/>
      <c r="E86" s="10"/>
      <c r="F86" s="10"/>
      <c r="G86" s="34"/>
      <c r="H86" s="34"/>
      <c r="I86" s="34"/>
    </row>
    <row r="87" spans="2:9" x14ac:dyDescent="0.35">
      <c r="B87" s="10"/>
      <c r="C87" s="10"/>
      <c r="D87" s="10"/>
      <c r="E87" s="10"/>
      <c r="F87" s="10"/>
      <c r="G87" s="34"/>
      <c r="H87" s="34"/>
      <c r="I87" s="34"/>
    </row>
    <row r="88" spans="2:9" x14ac:dyDescent="0.35">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'Conexión ambiental y resilienci'!$A$1:$A$5</xm:f>
          </x14:formula1>
          <xm:sqref>I7</xm:sqref>
        </x14:dataValidation>
        <x14:dataValidation type="list" allowBlank="1" showInputMessage="1" showErrorMessage="1" xr:uid="{81C10145-BB65-49CC-BB6D-15945A9A037A}">
          <x14:formula1>
            <xm:f>'Conexión ambiental y resilienci'!$B$1:$B$9</xm:f>
          </x14:formula1>
          <xm:sqref>C8</xm:sqref>
        </x14:dataValidation>
        <x14:dataValidation type="list" allowBlank="1" showInputMessage="1" showErrorMessage="1" xr:uid="{A3389415-052F-4E11-84A1-FBF36F095A9E}">
          <x14:formula1>
            <xm:f>'Conexión ambiental y resilienci'!$C$1:$C$6</xm:f>
          </x14:formula1>
          <xm:sqref>C9</xm:sqref>
        </x14:dataValidation>
        <x14:dataValidation type="list" allowBlank="1" showInputMessage="1" showErrorMessage="1" xr:uid="{169BF5CE-293C-4E87-A75F-A0B4E804DA0E}">
          <x14:formula1>
            <xm:f>'Conexión ambiental y resilienci'!$D$1:$D$15</xm:f>
          </x14:formula1>
          <xm:sqref>E9</xm:sqref>
        </x14:dataValidation>
        <x14:dataValidation type="list" allowBlank="1" showInputMessage="1" showErrorMessage="1" xr:uid="{18F87DE8-C1F7-4F08-B44D-A9F9D60B8ACE}">
          <x14:formula1>
            <xm:f>'Conexión ambiental y resilienci'!$E$1:$E$15</xm:f>
          </x14:formula1>
          <xm:sqref>G9</xm:sqref>
        </x14:dataValidation>
        <x14:dataValidation type="list" allowBlank="1" showInputMessage="1" showErrorMessage="1" xr:uid="{8DFDB564-0433-4B59-94C1-6885D8D792FF}">
          <x14:formula1>
            <xm:f>'Conexión ambiental y resilienci'!$F$1:$F$5</xm:f>
          </x14:formula1>
          <xm:sqref>F60:G64</xm:sqref>
        </x14:dataValidation>
        <x14:dataValidation type="list" allowBlank="1" showInputMessage="1" showErrorMessage="1" xr:uid="{8EE9BFFF-09BB-47E9-A751-3342E892EC39}">
          <x14:formula1>
            <xm:f>'Conexión ambiental y resilienci'!$G$1:$G$10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1640625" defaultRowHeight="14.5" x14ac:dyDescent="0.35"/>
  <cols>
    <col min="1" max="1" width="3.1796875" style="11" customWidth="1"/>
    <col min="2" max="2" width="14.26953125" style="11" customWidth="1"/>
    <col min="3" max="3" width="9.7265625" style="11" customWidth="1"/>
    <col min="4" max="4" width="12.26953125" style="11" customWidth="1"/>
    <col min="5" max="5" width="10.1796875" style="11" customWidth="1"/>
    <col min="6" max="6" width="10.81640625" style="11"/>
    <col min="7" max="7" width="10.81640625" style="11" customWidth="1"/>
    <col min="8" max="8" width="9.81640625" style="11" customWidth="1"/>
    <col min="9" max="9" width="16.7265625" style="11" customWidth="1"/>
    <col min="10" max="16384" width="10.81640625" style="11"/>
  </cols>
  <sheetData>
    <row r="1" spans="2:11" ht="15" thickBot="1" x14ac:dyDescent="0.4">
      <c r="C1" s="12"/>
      <c r="D1" s="12"/>
      <c r="E1" s="12"/>
      <c r="F1" s="12"/>
      <c r="G1" s="12"/>
      <c r="H1" s="12"/>
    </row>
    <row r="2" spans="2:11" ht="22.5" customHeight="1" thickTop="1" x14ac:dyDescent="0.35">
      <c r="B2" s="36"/>
      <c r="C2" s="38" t="s">
        <v>0</v>
      </c>
      <c r="D2" s="38"/>
      <c r="E2" s="38"/>
      <c r="F2" s="38"/>
      <c r="G2" s="38"/>
      <c r="H2" s="38"/>
      <c r="I2" s="6" t="s">
        <v>1</v>
      </c>
    </row>
    <row r="3" spans="2:11" ht="20.25" customHeight="1" x14ac:dyDescent="0.35">
      <c r="B3" s="37"/>
      <c r="C3" s="39"/>
      <c r="D3" s="39"/>
      <c r="E3" s="39"/>
      <c r="F3" s="39"/>
      <c r="G3" s="39"/>
      <c r="H3" s="39"/>
      <c r="I3" s="7" t="s">
        <v>2</v>
      </c>
    </row>
    <row r="4" spans="2:11" ht="21" customHeight="1" thickBot="1" x14ac:dyDescent="0.4">
      <c r="B4" s="40" t="s">
        <v>3</v>
      </c>
      <c r="C4" s="41"/>
      <c r="D4" s="41"/>
      <c r="E4" s="41"/>
      <c r="F4" s="41"/>
      <c r="G4" s="41"/>
      <c r="H4" s="41"/>
      <c r="I4" s="8" t="s">
        <v>4</v>
      </c>
    </row>
    <row r="5" spans="2:11" ht="15" thickTop="1" x14ac:dyDescent="0.35">
      <c r="B5" s="45"/>
      <c r="C5" s="45"/>
      <c r="D5" s="45"/>
      <c r="E5" s="45"/>
      <c r="F5" s="45"/>
      <c r="G5" s="45"/>
      <c r="H5" s="45"/>
      <c r="I5" s="45"/>
    </row>
    <row r="6" spans="2:11" x14ac:dyDescent="0.35">
      <c r="B6" s="45" t="s">
        <v>5</v>
      </c>
      <c r="C6" s="45"/>
      <c r="D6" s="45"/>
      <c r="E6" s="45"/>
      <c r="F6" s="45"/>
      <c r="G6" s="45"/>
      <c r="H6" s="45"/>
      <c r="I6" s="45"/>
    </row>
    <row r="7" spans="2:11" ht="43.5" x14ac:dyDescent="0.35">
      <c r="B7" s="3" t="s">
        <v>6</v>
      </c>
      <c r="C7" s="1"/>
      <c r="D7" s="2" t="s">
        <v>7</v>
      </c>
      <c r="E7" s="1"/>
      <c r="F7" s="2" t="s">
        <v>8</v>
      </c>
      <c r="G7" s="1"/>
      <c r="H7" s="2" t="s">
        <v>9</v>
      </c>
      <c r="I7" s="1"/>
    </row>
    <row r="8" spans="2:11" ht="43.5" x14ac:dyDescent="0.35">
      <c r="B8" s="13" t="s">
        <v>10</v>
      </c>
      <c r="C8" s="14"/>
      <c r="D8" s="3" t="s">
        <v>65</v>
      </c>
      <c r="E8" s="52"/>
      <c r="F8" s="52"/>
      <c r="G8" s="2" t="s">
        <v>12</v>
      </c>
      <c r="H8" s="52"/>
      <c r="I8" s="52"/>
      <c r="K8" s="11" t="s">
        <v>66</v>
      </c>
    </row>
    <row r="9" spans="2:11" ht="29" x14ac:dyDescent="0.35">
      <c r="B9" s="2" t="s">
        <v>13</v>
      </c>
      <c r="C9" s="5">
        <v>3</v>
      </c>
      <c r="D9" s="2" t="s">
        <v>14</v>
      </c>
      <c r="E9" s="5">
        <v>54</v>
      </c>
      <c r="F9" s="2" t="s">
        <v>15</v>
      </c>
      <c r="G9" s="5">
        <v>90</v>
      </c>
      <c r="H9" s="2" t="s">
        <v>16</v>
      </c>
      <c r="I9" s="5">
        <f>E9+G9</f>
        <v>144</v>
      </c>
      <c r="K9" s="11" t="s">
        <v>67</v>
      </c>
    </row>
    <row r="10" spans="2:11" x14ac:dyDescent="0.35">
      <c r="B10" s="51" t="s">
        <v>17</v>
      </c>
      <c r="C10" s="35"/>
      <c r="D10" s="35"/>
      <c r="E10" s="35"/>
      <c r="F10" s="35"/>
      <c r="G10" s="35"/>
      <c r="H10" s="35"/>
      <c r="I10" s="35"/>
    </row>
    <row r="11" spans="2:11" x14ac:dyDescent="0.35">
      <c r="B11" s="51" t="s">
        <v>18</v>
      </c>
      <c r="C11" s="51"/>
      <c r="D11" s="45" t="s">
        <v>19</v>
      </c>
      <c r="E11" s="46"/>
      <c r="F11" s="46"/>
      <c r="G11" s="45" t="s">
        <v>20</v>
      </c>
      <c r="H11" s="46"/>
      <c r="I11" s="46"/>
    </row>
    <row r="12" spans="2:11" x14ac:dyDescent="0.35">
      <c r="B12" s="51"/>
      <c r="C12" s="51"/>
      <c r="D12" s="45"/>
      <c r="E12" s="46"/>
      <c r="F12" s="46"/>
      <c r="G12" s="45"/>
      <c r="H12" s="46"/>
      <c r="I12" s="46"/>
    </row>
    <row r="13" spans="2:11" x14ac:dyDescent="0.35">
      <c r="B13" s="35" t="s">
        <v>21</v>
      </c>
      <c r="C13" s="35"/>
      <c r="D13" s="35"/>
      <c r="E13" s="35"/>
      <c r="F13" s="35"/>
      <c r="G13" s="35"/>
      <c r="H13" s="35"/>
      <c r="I13" s="35"/>
    </row>
    <row r="14" spans="2:11" x14ac:dyDescent="0.35">
      <c r="B14" s="3" t="s">
        <v>22</v>
      </c>
      <c r="C14" s="52"/>
      <c r="D14" s="52"/>
      <c r="E14" s="3" t="s">
        <v>23</v>
      </c>
      <c r="F14" s="1"/>
      <c r="G14" s="3" t="s">
        <v>24</v>
      </c>
      <c r="H14" s="52"/>
      <c r="I14" s="52"/>
    </row>
    <row r="15" spans="2:11" x14ac:dyDescent="0.35">
      <c r="B15" s="35" t="s">
        <v>25</v>
      </c>
      <c r="C15" s="35"/>
      <c r="D15" s="35"/>
      <c r="E15" s="35"/>
      <c r="F15" s="35"/>
      <c r="G15" s="35"/>
      <c r="H15" s="35"/>
      <c r="I15" s="35"/>
    </row>
    <row r="16" spans="2:11" x14ac:dyDescent="0.35">
      <c r="B16" s="51" t="s">
        <v>26</v>
      </c>
      <c r="C16" s="51"/>
      <c r="D16" s="46" t="s">
        <v>68</v>
      </c>
      <c r="E16" s="46"/>
      <c r="F16" s="46"/>
      <c r="G16" s="46"/>
      <c r="H16" s="46"/>
      <c r="I16" s="46"/>
    </row>
    <row r="17" spans="2:12" x14ac:dyDescent="0.35">
      <c r="B17" s="51"/>
      <c r="C17" s="51"/>
      <c r="D17" s="46"/>
      <c r="E17" s="46"/>
      <c r="F17" s="46"/>
      <c r="G17" s="46"/>
      <c r="H17" s="46"/>
      <c r="I17" s="46"/>
    </row>
    <row r="18" spans="2:12" x14ac:dyDescent="0.35">
      <c r="B18" s="56" t="s">
        <v>27</v>
      </c>
      <c r="C18" s="57"/>
      <c r="D18" s="58"/>
      <c r="E18" s="58"/>
      <c r="F18" s="58"/>
      <c r="G18" s="58"/>
      <c r="H18" s="58"/>
      <c r="I18" s="58"/>
    </row>
    <row r="19" spans="2:12" x14ac:dyDescent="0.35">
      <c r="B19" s="59" t="s">
        <v>28</v>
      </c>
      <c r="C19" s="59"/>
      <c r="D19" s="58"/>
      <c r="E19" s="58"/>
      <c r="F19" s="58"/>
      <c r="G19" s="58"/>
      <c r="H19" s="58"/>
      <c r="I19" s="58"/>
    </row>
    <row r="20" spans="2:12" x14ac:dyDescent="0.35">
      <c r="B20" s="59"/>
      <c r="C20" s="59"/>
      <c r="D20" s="58"/>
      <c r="E20" s="58"/>
      <c r="F20" s="58"/>
      <c r="G20" s="58"/>
      <c r="H20" s="58"/>
      <c r="I20" s="58"/>
    </row>
    <row r="21" spans="2:12" x14ac:dyDescent="0.35">
      <c r="B21" s="59" t="s">
        <v>29</v>
      </c>
      <c r="C21" s="59"/>
      <c r="D21" s="58" t="s">
        <v>69</v>
      </c>
      <c r="E21" s="58"/>
      <c r="F21" s="58"/>
      <c r="G21" s="58"/>
      <c r="H21" s="58"/>
      <c r="I21" s="58"/>
    </row>
    <row r="22" spans="2:12" x14ac:dyDescent="0.35">
      <c r="B22" s="59"/>
      <c r="C22" s="59"/>
      <c r="D22" s="58"/>
      <c r="E22" s="58"/>
      <c r="F22" s="58"/>
      <c r="G22" s="58"/>
      <c r="H22" s="58"/>
      <c r="I22" s="58"/>
    </row>
    <row r="23" spans="2:12" x14ac:dyDescent="0.35">
      <c r="B23" s="60" t="s">
        <v>30</v>
      </c>
      <c r="C23" s="60"/>
      <c r="D23" s="58" t="s">
        <v>31</v>
      </c>
      <c r="E23" s="58"/>
      <c r="F23" s="58"/>
      <c r="G23" s="58"/>
      <c r="H23" s="58"/>
      <c r="I23" s="58"/>
    </row>
    <row r="24" spans="2:12" x14ac:dyDescent="0.35">
      <c r="B24" s="60"/>
      <c r="C24" s="60"/>
      <c r="D24" s="58" t="s">
        <v>32</v>
      </c>
      <c r="E24" s="58"/>
      <c r="F24" s="58"/>
      <c r="G24" s="58"/>
      <c r="H24" s="58"/>
      <c r="I24" s="58"/>
    </row>
    <row r="25" spans="2:12" x14ac:dyDescent="0.35">
      <c r="B25" s="60"/>
      <c r="C25" s="60"/>
      <c r="D25" s="58" t="s">
        <v>33</v>
      </c>
      <c r="E25" s="58"/>
      <c r="F25" s="58"/>
      <c r="G25" s="58"/>
      <c r="H25" s="58"/>
      <c r="I25" s="58"/>
    </row>
    <row r="26" spans="2:12" x14ac:dyDescent="0.35">
      <c r="B26" s="60"/>
      <c r="C26" s="60"/>
      <c r="D26" s="58" t="s">
        <v>34</v>
      </c>
      <c r="E26" s="58"/>
      <c r="F26" s="58"/>
      <c r="G26" s="58"/>
      <c r="H26" s="58"/>
      <c r="I26" s="58"/>
    </row>
    <row r="27" spans="2:12" ht="99.65" customHeight="1" x14ac:dyDescent="0.35">
      <c r="B27" s="47" t="s">
        <v>70</v>
      </c>
      <c r="C27" s="47"/>
      <c r="D27" s="61" t="s">
        <v>71</v>
      </c>
      <c r="E27" s="62"/>
      <c r="F27" s="63"/>
      <c r="G27" s="53" t="s">
        <v>72</v>
      </c>
      <c r="H27" s="62"/>
      <c r="I27" s="63"/>
      <c r="L27" s="11" t="s">
        <v>73</v>
      </c>
    </row>
    <row r="28" spans="2:12" ht="90.65" customHeight="1" x14ac:dyDescent="0.35">
      <c r="B28" s="47"/>
      <c r="C28" s="47"/>
      <c r="D28" s="64" t="s">
        <v>74</v>
      </c>
      <c r="E28" s="65"/>
      <c r="F28" s="66"/>
      <c r="G28" s="53" t="s">
        <v>75</v>
      </c>
      <c r="H28" s="68"/>
      <c r="I28" s="69"/>
      <c r="L28" s="11" t="s">
        <v>76</v>
      </c>
    </row>
    <row r="29" spans="2:12" ht="75.650000000000006" customHeight="1" x14ac:dyDescent="0.35">
      <c r="B29" s="47"/>
      <c r="C29" s="47"/>
      <c r="D29" s="61" t="s">
        <v>77</v>
      </c>
      <c r="E29" s="62"/>
      <c r="F29" s="63"/>
      <c r="G29" s="53" t="s">
        <v>78</v>
      </c>
      <c r="H29" s="54"/>
      <c r="I29" s="55"/>
      <c r="L29" s="11" t="s">
        <v>79</v>
      </c>
    </row>
    <row r="30" spans="2:12" x14ac:dyDescent="0.35">
      <c r="B30" s="35" t="s">
        <v>46</v>
      </c>
      <c r="C30" s="35"/>
      <c r="D30" s="35"/>
      <c r="E30" s="35"/>
      <c r="F30" s="35"/>
      <c r="G30" s="35"/>
      <c r="H30" s="35"/>
      <c r="I30" s="35"/>
    </row>
    <row r="31" spans="2:12" x14ac:dyDescent="0.35">
      <c r="B31" s="34" t="s">
        <v>47</v>
      </c>
      <c r="C31" s="34"/>
      <c r="D31" s="34"/>
      <c r="E31" s="34"/>
      <c r="F31" s="34"/>
      <c r="G31" s="34"/>
      <c r="H31" s="34"/>
      <c r="I31" s="34"/>
    </row>
    <row r="32" spans="2:12" x14ac:dyDescent="0.35">
      <c r="B32" s="34"/>
      <c r="C32" s="34"/>
      <c r="D32" s="34"/>
      <c r="E32" s="34"/>
      <c r="F32" s="34"/>
      <c r="G32" s="34"/>
      <c r="H32" s="34"/>
      <c r="I32" s="34"/>
    </row>
    <row r="33" spans="2:9" x14ac:dyDescent="0.35">
      <c r="B33" s="34"/>
      <c r="C33" s="34"/>
      <c r="D33" s="34"/>
      <c r="E33" s="34"/>
      <c r="F33" s="34"/>
      <c r="G33" s="34"/>
      <c r="H33" s="34"/>
      <c r="I33" s="34"/>
    </row>
    <row r="34" spans="2:9" x14ac:dyDescent="0.35">
      <c r="B34" s="42" t="s">
        <v>80</v>
      </c>
      <c r="C34" s="42"/>
      <c r="D34" s="42"/>
      <c r="E34" s="42"/>
      <c r="F34" s="67" t="s">
        <v>49</v>
      </c>
      <c r="G34" s="67"/>
      <c r="H34" s="67"/>
      <c r="I34" s="67"/>
    </row>
    <row r="35" spans="2:9" x14ac:dyDescent="0.35">
      <c r="B35" s="42"/>
      <c r="C35" s="42"/>
      <c r="D35" s="42"/>
      <c r="E35" s="42"/>
      <c r="F35" s="67"/>
      <c r="G35" s="67"/>
      <c r="H35" s="67"/>
      <c r="I35" s="67"/>
    </row>
    <row r="36" spans="2:9" x14ac:dyDescent="0.35">
      <c r="B36" s="42"/>
      <c r="C36" s="42"/>
      <c r="D36" s="42"/>
      <c r="E36" s="42"/>
      <c r="F36" s="67"/>
      <c r="G36" s="67"/>
      <c r="H36" s="67"/>
      <c r="I36" s="67"/>
    </row>
    <row r="37" spans="2:9" x14ac:dyDescent="0.35">
      <c r="B37" s="42"/>
      <c r="C37" s="42"/>
      <c r="D37" s="42"/>
      <c r="E37" s="42"/>
      <c r="F37" s="67"/>
      <c r="G37" s="67"/>
      <c r="H37" s="67"/>
      <c r="I37" s="67"/>
    </row>
    <row r="38" spans="2:9" x14ac:dyDescent="0.35">
      <c r="B38" s="42"/>
      <c r="C38" s="42"/>
      <c r="D38" s="42"/>
      <c r="E38" s="42"/>
      <c r="F38" s="67"/>
      <c r="G38" s="67"/>
      <c r="H38" s="67"/>
      <c r="I38" s="67"/>
    </row>
    <row r="39" spans="2:9" x14ac:dyDescent="0.35">
      <c r="B39" s="42"/>
      <c r="C39" s="42"/>
      <c r="D39" s="42"/>
      <c r="E39" s="42"/>
      <c r="F39" s="67"/>
      <c r="G39" s="67"/>
      <c r="H39" s="67"/>
      <c r="I39" s="67"/>
    </row>
    <row r="40" spans="2:9" x14ac:dyDescent="0.35">
      <c r="B40" s="42"/>
      <c r="C40" s="42"/>
      <c r="D40" s="42"/>
      <c r="E40" s="42"/>
      <c r="F40" s="67"/>
      <c r="G40" s="67"/>
      <c r="H40" s="67"/>
      <c r="I40" s="67"/>
    </row>
    <row r="41" spans="2:9" x14ac:dyDescent="0.35">
      <c r="B41" s="42"/>
      <c r="C41" s="42"/>
      <c r="D41" s="42"/>
      <c r="E41" s="42"/>
      <c r="F41" s="67"/>
      <c r="G41" s="67"/>
      <c r="H41" s="67"/>
      <c r="I41" s="67"/>
    </row>
    <row r="42" spans="2:9" x14ac:dyDescent="0.35">
      <c r="B42" s="42"/>
      <c r="C42" s="42"/>
      <c r="D42" s="42"/>
      <c r="E42" s="42"/>
      <c r="F42" s="67"/>
      <c r="G42" s="67"/>
      <c r="H42" s="67"/>
      <c r="I42" s="67"/>
    </row>
    <row r="43" spans="2:9" x14ac:dyDescent="0.35">
      <c r="B43" s="35" t="s">
        <v>50</v>
      </c>
      <c r="C43" s="35"/>
      <c r="D43" s="35"/>
      <c r="E43" s="35"/>
      <c r="F43" s="35"/>
      <c r="G43" s="35"/>
      <c r="H43" s="35"/>
      <c r="I43" s="35"/>
    </row>
    <row r="44" spans="2:9" x14ac:dyDescent="0.35">
      <c r="B44" s="44" t="s">
        <v>81</v>
      </c>
      <c r="C44" s="44"/>
      <c r="D44" s="44"/>
      <c r="E44" s="44"/>
      <c r="F44" s="42" t="s">
        <v>82</v>
      </c>
      <c r="G44" s="42"/>
      <c r="H44" s="42"/>
      <c r="I44" s="42"/>
    </row>
    <row r="45" spans="2:9" x14ac:dyDescent="0.35">
      <c r="B45" s="44"/>
      <c r="C45" s="44"/>
      <c r="D45" s="44"/>
      <c r="E45" s="44"/>
      <c r="F45" s="42"/>
      <c r="G45" s="42"/>
      <c r="H45" s="42"/>
      <c r="I45" s="42"/>
    </row>
    <row r="46" spans="2:9" x14ac:dyDescent="0.35">
      <c r="B46" s="44"/>
      <c r="C46" s="44"/>
      <c r="D46" s="44"/>
      <c r="E46" s="44"/>
      <c r="F46" s="42"/>
      <c r="G46" s="42"/>
      <c r="H46" s="42"/>
      <c r="I46" s="42"/>
    </row>
    <row r="47" spans="2:9" x14ac:dyDescent="0.35">
      <c r="B47" s="44"/>
      <c r="C47" s="44"/>
      <c r="D47" s="44"/>
      <c r="E47" s="44"/>
      <c r="F47" s="42"/>
      <c r="G47" s="42"/>
      <c r="H47" s="42"/>
      <c r="I47" s="42"/>
    </row>
    <row r="48" spans="2:9" x14ac:dyDescent="0.35">
      <c r="B48" s="44"/>
      <c r="C48" s="44"/>
      <c r="D48" s="44"/>
      <c r="E48" s="44"/>
      <c r="F48" s="42"/>
      <c r="G48" s="42"/>
      <c r="H48" s="42"/>
      <c r="I48" s="42"/>
    </row>
    <row r="49" spans="2:9" x14ac:dyDescent="0.35">
      <c r="B49" s="44"/>
      <c r="C49" s="44"/>
      <c r="D49" s="44"/>
      <c r="E49" s="44"/>
      <c r="F49" s="42"/>
      <c r="G49" s="42"/>
      <c r="H49" s="42"/>
      <c r="I49" s="42"/>
    </row>
    <row r="50" spans="2:9" x14ac:dyDescent="0.35">
      <c r="B50" s="44"/>
      <c r="C50" s="44"/>
      <c r="D50" s="44"/>
      <c r="E50" s="44"/>
      <c r="F50" s="42"/>
      <c r="G50" s="42"/>
      <c r="H50" s="42"/>
      <c r="I50" s="42"/>
    </row>
    <row r="51" spans="2:9" x14ac:dyDescent="0.35">
      <c r="B51" s="44"/>
      <c r="C51" s="44"/>
      <c r="D51" s="44"/>
      <c r="E51" s="44"/>
      <c r="F51" s="42"/>
      <c r="G51" s="42"/>
      <c r="H51" s="42"/>
      <c r="I51" s="42"/>
    </row>
    <row r="52" spans="2:9" x14ac:dyDescent="0.35">
      <c r="B52" s="44"/>
      <c r="C52" s="44"/>
      <c r="D52" s="44"/>
      <c r="E52" s="44"/>
      <c r="F52" s="42"/>
      <c r="G52" s="42"/>
      <c r="H52" s="42"/>
      <c r="I52" s="42"/>
    </row>
    <row r="53" spans="2:9" x14ac:dyDescent="0.35">
      <c r="B53" s="44"/>
      <c r="C53" s="44"/>
      <c r="D53" s="44"/>
      <c r="E53" s="44"/>
      <c r="F53" s="42"/>
      <c r="G53" s="42"/>
      <c r="H53" s="42"/>
      <c r="I53" s="42"/>
    </row>
    <row r="54" spans="2:9" x14ac:dyDescent="0.35">
      <c r="B54" s="44"/>
      <c r="C54" s="44"/>
      <c r="D54" s="44"/>
      <c r="E54" s="44"/>
      <c r="F54" s="42"/>
      <c r="G54" s="42"/>
      <c r="H54" s="42"/>
      <c r="I54" s="42"/>
    </row>
    <row r="55" spans="2:9" x14ac:dyDescent="0.35">
      <c r="B55" s="45" t="s">
        <v>83</v>
      </c>
      <c r="C55" s="45"/>
      <c r="D55" s="45"/>
      <c r="E55" s="45"/>
      <c r="F55" s="46" t="s">
        <v>84</v>
      </c>
      <c r="G55" s="46"/>
      <c r="H55" s="45" t="s">
        <v>54</v>
      </c>
      <c r="I55" s="5"/>
    </row>
    <row r="56" spans="2:9" x14ac:dyDescent="0.35">
      <c r="B56" s="45"/>
      <c r="C56" s="45"/>
      <c r="D56" s="45"/>
      <c r="E56" s="45"/>
      <c r="F56" s="46"/>
      <c r="G56" s="46"/>
      <c r="H56" s="45"/>
      <c r="I56" s="5"/>
    </row>
    <row r="57" spans="2:9" x14ac:dyDescent="0.35">
      <c r="B57" s="45"/>
      <c r="C57" s="45"/>
      <c r="D57" s="45"/>
      <c r="E57" s="45"/>
      <c r="F57" s="46"/>
      <c r="G57" s="46"/>
      <c r="H57" s="45"/>
      <c r="I57" s="5"/>
    </row>
    <row r="58" spans="2:9" x14ac:dyDescent="0.35">
      <c r="B58" s="45"/>
      <c r="C58" s="45"/>
      <c r="D58" s="45"/>
      <c r="E58" s="45"/>
      <c r="F58" s="46"/>
      <c r="G58" s="46"/>
      <c r="H58" s="45"/>
      <c r="I58" s="5"/>
    </row>
    <row r="59" spans="2:9" x14ac:dyDescent="0.35">
      <c r="B59" s="45"/>
      <c r="C59" s="45"/>
      <c r="D59" s="45"/>
      <c r="E59" s="45"/>
      <c r="F59" s="46"/>
      <c r="G59" s="46"/>
      <c r="H59" s="45"/>
      <c r="I59" s="5"/>
    </row>
    <row r="60" spans="2:9" x14ac:dyDescent="0.35">
      <c r="B60" s="35" t="s">
        <v>55</v>
      </c>
      <c r="C60" s="35"/>
      <c r="D60" s="35"/>
      <c r="E60" s="35"/>
      <c r="F60" s="35"/>
      <c r="G60" s="35"/>
      <c r="H60" s="35"/>
      <c r="I60" s="35"/>
    </row>
    <row r="61" spans="2:9" x14ac:dyDescent="0.35">
      <c r="B61" s="42" t="s">
        <v>56</v>
      </c>
      <c r="C61" s="42"/>
      <c r="D61" s="42"/>
      <c r="E61" s="42"/>
      <c r="F61" s="42" t="s">
        <v>57</v>
      </c>
      <c r="G61" s="42"/>
      <c r="H61" s="42"/>
      <c r="I61" s="42"/>
    </row>
    <row r="62" spans="2:9" x14ac:dyDescent="0.35">
      <c r="B62" s="42"/>
      <c r="C62" s="42"/>
      <c r="D62" s="42"/>
      <c r="E62" s="42"/>
      <c r="F62" s="42"/>
      <c r="G62" s="42"/>
      <c r="H62" s="42"/>
      <c r="I62" s="42"/>
    </row>
    <row r="63" spans="2:9" x14ac:dyDescent="0.35">
      <c r="B63" s="42"/>
      <c r="C63" s="42"/>
      <c r="D63" s="42"/>
      <c r="E63" s="42"/>
      <c r="F63" s="42"/>
      <c r="G63" s="42"/>
      <c r="H63" s="42"/>
      <c r="I63" s="42"/>
    </row>
    <row r="64" spans="2:9" x14ac:dyDescent="0.35">
      <c r="B64" s="42"/>
      <c r="C64" s="42"/>
      <c r="D64" s="42"/>
      <c r="E64" s="42"/>
      <c r="F64" s="42"/>
      <c r="G64" s="42"/>
      <c r="H64" s="42"/>
      <c r="I64" s="42"/>
    </row>
    <row r="65" spans="2:9" x14ac:dyDescent="0.35">
      <c r="B65" s="42"/>
      <c r="C65" s="42"/>
      <c r="D65" s="42"/>
      <c r="E65" s="42"/>
      <c r="F65" s="42"/>
      <c r="G65" s="42"/>
      <c r="H65" s="42"/>
      <c r="I65" s="42"/>
    </row>
    <row r="66" spans="2:9" x14ac:dyDescent="0.35">
      <c r="B66" s="42"/>
      <c r="C66" s="42"/>
      <c r="D66" s="42"/>
      <c r="E66" s="42"/>
      <c r="F66" s="42"/>
      <c r="G66" s="42"/>
      <c r="H66" s="42"/>
      <c r="I66" s="42"/>
    </row>
    <row r="67" spans="2:9" x14ac:dyDescent="0.35">
      <c r="B67" s="42"/>
      <c r="C67" s="42"/>
      <c r="D67" s="42"/>
      <c r="E67" s="42"/>
      <c r="F67" s="42"/>
      <c r="G67" s="42"/>
      <c r="H67" s="42"/>
      <c r="I67" s="42"/>
    </row>
    <row r="68" spans="2:9" x14ac:dyDescent="0.35">
      <c r="B68" s="42"/>
      <c r="C68" s="42"/>
      <c r="D68" s="42"/>
      <c r="E68" s="42"/>
      <c r="F68" s="42"/>
      <c r="G68" s="42"/>
      <c r="H68" s="42"/>
      <c r="I68" s="42"/>
    </row>
    <row r="69" spans="2:9" x14ac:dyDescent="0.35">
      <c r="B69" s="42"/>
      <c r="C69" s="42"/>
      <c r="D69" s="42"/>
      <c r="E69" s="42"/>
      <c r="F69" s="42"/>
      <c r="G69" s="42"/>
      <c r="H69" s="42"/>
      <c r="I69" s="42"/>
    </row>
    <row r="70" spans="2:9" x14ac:dyDescent="0.35">
      <c r="B70" s="42"/>
      <c r="C70" s="42"/>
      <c r="D70" s="42"/>
      <c r="E70" s="42"/>
      <c r="F70" s="42"/>
      <c r="G70" s="42"/>
      <c r="H70" s="42"/>
      <c r="I70" s="42"/>
    </row>
    <row r="71" spans="2:9" x14ac:dyDescent="0.35">
      <c r="B71" s="42"/>
      <c r="C71" s="42"/>
      <c r="D71" s="42"/>
      <c r="E71" s="42"/>
      <c r="F71" s="42"/>
      <c r="G71" s="42"/>
      <c r="H71" s="42"/>
      <c r="I71" s="42"/>
    </row>
    <row r="72" spans="2:9" x14ac:dyDescent="0.35">
      <c r="B72" s="42"/>
      <c r="C72" s="42"/>
      <c r="D72" s="42"/>
      <c r="E72" s="42"/>
      <c r="F72" s="42"/>
      <c r="G72" s="42"/>
      <c r="H72" s="42"/>
      <c r="I72" s="42"/>
    </row>
    <row r="73" spans="2:9" x14ac:dyDescent="0.35">
      <c r="B73" s="42"/>
      <c r="C73" s="42"/>
      <c r="D73" s="42"/>
      <c r="E73" s="42"/>
      <c r="F73" s="42"/>
      <c r="G73" s="42"/>
      <c r="H73" s="42"/>
      <c r="I73" s="42"/>
    </row>
    <row r="74" spans="2:9" x14ac:dyDescent="0.35">
      <c r="B74" s="42"/>
      <c r="C74" s="42"/>
      <c r="D74" s="42"/>
      <c r="E74" s="42"/>
      <c r="F74" s="42"/>
      <c r="G74" s="42"/>
      <c r="H74" s="42"/>
      <c r="I74" s="42"/>
    </row>
    <row r="75" spans="2:9" x14ac:dyDescent="0.35">
      <c r="B75" s="43"/>
      <c r="C75" s="43"/>
      <c r="D75" s="43"/>
      <c r="E75" s="43"/>
      <c r="F75" s="43"/>
      <c r="G75" s="43"/>
      <c r="H75" s="43"/>
      <c r="I75" s="43"/>
    </row>
    <row r="76" spans="2:9" x14ac:dyDescent="0.35">
      <c r="B76" s="35" t="s">
        <v>58</v>
      </c>
      <c r="C76" s="35"/>
      <c r="D76" s="35"/>
      <c r="E76" s="35"/>
      <c r="F76" s="35"/>
      <c r="G76" s="35"/>
      <c r="H76" s="35"/>
      <c r="I76" s="35"/>
    </row>
    <row r="77" spans="2:9" x14ac:dyDescent="0.35">
      <c r="B77" s="9" t="s">
        <v>59</v>
      </c>
      <c r="C77" s="9" t="s">
        <v>60</v>
      </c>
      <c r="D77" s="9" t="s">
        <v>61</v>
      </c>
      <c r="E77" s="9" t="s">
        <v>62</v>
      </c>
      <c r="F77" s="9" t="s">
        <v>63</v>
      </c>
      <c r="G77" s="35" t="s">
        <v>64</v>
      </c>
      <c r="H77" s="35"/>
      <c r="I77" s="35"/>
    </row>
    <row r="78" spans="2:9" x14ac:dyDescent="0.35">
      <c r="B78" s="10"/>
      <c r="C78" s="10"/>
      <c r="D78" s="10"/>
      <c r="E78" s="10"/>
      <c r="F78" s="10"/>
      <c r="G78" s="34"/>
      <c r="H78" s="34"/>
      <c r="I78" s="34"/>
    </row>
    <row r="79" spans="2:9" x14ac:dyDescent="0.35">
      <c r="B79" s="10"/>
      <c r="C79" s="10"/>
      <c r="D79" s="10"/>
      <c r="E79" s="10"/>
      <c r="F79" s="10"/>
      <c r="G79" s="34"/>
      <c r="H79" s="34"/>
      <c r="I79" s="34"/>
    </row>
    <row r="80" spans="2:9" x14ac:dyDescent="0.35">
      <c r="B80" s="10"/>
      <c r="C80" s="10"/>
      <c r="D80" s="10"/>
      <c r="E80" s="10"/>
      <c r="F80" s="10"/>
      <c r="G80" s="34"/>
      <c r="H80" s="34"/>
      <c r="I80" s="34"/>
    </row>
    <row r="81" spans="2:9" x14ac:dyDescent="0.35">
      <c r="B81" s="10"/>
      <c r="C81" s="10"/>
      <c r="D81" s="10"/>
      <c r="E81" s="10"/>
      <c r="F81" s="10"/>
      <c r="G81" s="34"/>
      <c r="H81" s="34"/>
      <c r="I81" s="34"/>
    </row>
    <row r="82" spans="2:9" x14ac:dyDescent="0.35">
      <c r="B82" s="10"/>
      <c r="C82" s="10"/>
      <c r="D82" s="10"/>
      <c r="E82" s="10"/>
      <c r="F82" s="10"/>
      <c r="G82" s="34"/>
      <c r="H82" s="34"/>
      <c r="I82" s="34"/>
    </row>
    <row r="83" spans="2:9" x14ac:dyDescent="0.35">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'Conexión ambiental y resilienci'!$G$1:$G$10</xm:f>
          </x14:formula1>
          <xm:sqref>I55:I59</xm:sqref>
        </x14:dataValidation>
        <x14:dataValidation type="list" allowBlank="1" showInputMessage="1" showErrorMessage="1" xr:uid="{78E27DF5-6CF1-467C-80A0-48A6B289A21E}">
          <x14:formula1>
            <xm:f>'Conexión ambiental y resilienci'!$F$1:$F$5</xm:f>
          </x14:formula1>
          <xm:sqref>F55:G59</xm:sqref>
        </x14:dataValidation>
        <x14:dataValidation type="list" allowBlank="1" showInputMessage="1" showErrorMessage="1" xr:uid="{B3F42736-9113-4165-AE85-43D50D3625BB}">
          <x14:formula1>
            <xm:f>'Conexión ambiental y resilienci'!$E$1:$E$15</xm:f>
          </x14:formula1>
          <xm:sqref>G9</xm:sqref>
        </x14:dataValidation>
        <x14:dataValidation type="list" allowBlank="1" showInputMessage="1" showErrorMessage="1" xr:uid="{F986A43E-BD48-4AE3-9C8C-53257AB48D75}">
          <x14:formula1>
            <xm:f>'Conexión ambiental y resilienci'!$D$1:$D$15</xm:f>
          </x14:formula1>
          <xm:sqref>E9</xm:sqref>
        </x14:dataValidation>
        <x14:dataValidation type="list" allowBlank="1" showInputMessage="1" showErrorMessage="1" xr:uid="{4C3376A9-0A3E-4C3E-9715-9C0C4E1A8675}">
          <x14:formula1>
            <xm:f>'Conexión ambiental y resilienci'!$C$1:$C$6</xm:f>
          </x14:formula1>
          <xm:sqref>C9</xm:sqref>
        </x14:dataValidation>
        <x14:dataValidation type="list" allowBlank="1" showInputMessage="1" showErrorMessage="1" xr:uid="{02D9E6BA-7470-424C-88B0-019B04A7D485}">
          <x14:formula1>
            <xm:f>'Conexión ambiental y resilienci'!$B$1:$B$9</xm:f>
          </x14:formula1>
          <xm:sqref>C8</xm:sqref>
        </x14:dataValidation>
        <x14:dataValidation type="list" allowBlank="1" showInputMessage="1" showErrorMessage="1" xr:uid="{21C7CA91-7EA1-4981-8D25-34997A2A08A1}">
          <x14:formula1>
            <xm:f>'Conexión ambiental y resilienci'!$A$1:$A$5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opLeftCell="A43" zoomScaleNormal="100" workbookViewId="0">
      <selection activeCell="F45" sqref="F45"/>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6" width="10.81640625" style="11"/>
    <col min="7" max="7" width="10.81640625" style="11" customWidth="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2026</v>
      </c>
      <c r="D7" s="2" t="s">
        <v>7</v>
      </c>
      <c r="E7" s="1"/>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93</v>
      </c>
      <c r="F9" s="52"/>
      <c r="G9" s="2" t="s">
        <v>12</v>
      </c>
      <c r="H9" s="52" t="s">
        <v>94</v>
      </c>
      <c r="I9" s="155"/>
    </row>
    <row r="10" spans="2:9" ht="29.5" thickBot="1" x14ac:dyDescent="0.4">
      <c r="B10" s="28" t="s">
        <v>13</v>
      </c>
      <c r="C10" s="30">
        <v>3</v>
      </c>
      <c r="D10" s="29" t="s">
        <v>14</v>
      </c>
      <c r="E10" s="30">
        <v>54</v>
      </c>
      <c r="F10" s="29" t="s">
        <v>15</v>
      </c>
      <c r="G10" s="30">
        <v>90</v>
      </c>
      <c r="H10" s="29" t="s">
        <v>16</v>
      </c>
      <c r="I10" s="31">
        <f>E10+G10</f>
        <v>144</v>
      </c>
    </row>
    <row r="11" spans="2:9" x14ac:dyDescent="0.35">
      <c r="B11" s="73" t="s">
        <v>95</v>
      </c>
      <c r="C11" s="74"/>
      <c r="D11" s="74"/>
      <c r="E11" s="74"/>
      <c r="F11" s="74"/>
      <c r="G11" s="74"/>
      <c r="H11" s="74"/>
      <c r="I11" s="75"/>
    </row>
    <row r="12" spans="2:9" ht="138" customHeight="1" x14ac:dyDescent="0.35">
      <c r="B12" s="153" t="s">
        <v>96</v>
      </c>
      <c r="C12" s="50"/>
      <c r="D12" s="53" t="s">
        <v>97</v>
      </c>
      <c r="E12" s="54"/>
      <c r="F12" s="54"/>
      <c r="G12" s="54"/>
      <c r="H12" s="54"/>
      <c r="I12" s="154"/>
    </row>
    <row r="13" spans="2:9" ht="54.65" customHeight="1" thickBot="1" x14ac:dyDescent="0.4">
      <c r="B13" s="148" t="s">
        <v>98</v>
      </c>
      <c r="C13" s="149"/>
      <c r="D13" s="150" t="s">
        <v>99</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t="s">
        <v>109</v>
      </c>
      <c r="E20" s="121"/>
      <c r="F20" s="122"/>
      <c r="G20" s="139"/>
      <c r="H20" s="140"/>
      <c r="I20" s="141"/>
    </row>
    <row r="21" spans="2:9" x14ac:dyDescent="0.35">
      <c r="B21" s="130"/>
      <c r="C21" s="112"/>
      <c r="D21" s="123"/>
      <c r="E21" s="124"/>
      <c r="F21" s="125"/>
      <c r="G21" s="142"/>
      <c r="H21" s="143"/>
      <c r="I21" s="144"/>
    </row>
    <row r="22" spans="2:9" x14ac:dyDescent="0.35">
      <c r="B22" s="130"/>
      <c r="C22" s="112"/>
      <c r="D22" s="123"/>
      <c r="E22" s="124"/>
      <c r="F22" s="125"/>
      <c r="G22" s="142"/>
      <c r="H22" s="143"/>
      <c r="I22" s="144"/>
    </row>
    <row r="23" spans="2:9" x14ac:dyDescent="0.35">
      <c r="B23" s="130"/>
      <c r="C23" s="112"/>
      <c r="D23" s="123"/>
      <c r="E23" s="124"/>
      <c r="F23" s="125"/>
      <c r="G23" s="142"/>
      <c r="H23" s="143"/>
      <c r="I23" s="144"/>
    </row>
    <row r="24" spans="2:9" x14ac:dyDescent="0.35">
      <c r="B24" s="130"/>
      <c r="C24" s="112"/>
      <c r="D24" s="123"/>
      <c r="E24" s="124"/>
      <c r="F24" s="125"/>
      <c r="G24" s="142"/>
      <c r="H24" s="143"/>
      <c r="I24" s="144"/>
    </row>
    <row r="25" spans="2:9" x14ac:dyDescent="0.35">
      <c r="B25" s="130"/>
      <c r="C25" s="112"/>
      <c r="D25" s="123"/>
      <c r="E25" s="124"/>
      <c r="F25" s="125"/>
      <c r="G25" s="142"/>
      <c r="H25" s="143"/>
      <c r="I25" s="144"/>
    </row>
    <row r="26" spans="2:9" ht="271.5" customHeight="1" thickBot="1" x14ac:dyDescent="0.4">
      <c r="B26" s="131"/>
      <c r="C26" s="115"/>
      <c r="D26" s="126"/>
      <c r="E26" s="127"/>
      <c r="F26" s="128"/>
      <c r="G26" s="145"/>
      <c r="H26" s="146"/>
      <c r="I26" s="147"/>
    </row>
    <row r="27" spans="2:9" ht="15" thickBot="1" x14ac:dyDescent="0.4">
      <c r="B27" s="77" t="s">
        <v>110</v>
      </c>
      <c r="C27" s="78"/>
      <c r="D27" s="78"/>
      <c r="E27" s="78"/>
      <c r="F27" s="78"/>
      <c r="G27" s="78"/>
      <c r="H27" s="78"/>
      <c r="I27" s="79"/>
    </row>
    <row r="28" spans="2:9" ht="14.5" customHeight="1" x14ac:dyDescent="0.35">
      <c r="B28" s="89" t="s">
        <v>111</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83" t="s">
        <v>112</v>
      </c>
      <c r="C33" s="84"/>
      <c r="D33" s="84"/>
      <c r="E33" s="85"/>
      <c r="F33" s="86" t="s">
        <v>113</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116</v>
      </c>
      <c r="C36" s="99"/>
      <c r="D36" s="99"/>
      <c r="E36" s="100"/>
      <c r="F36" s="107" t="s">
        <v>117</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45707</v>
      </c>
      <c r="D45" s="10" t="s">
        <v>120</v>
      </c>
      <c r="E45" s="10" t="s">
        <v>121</v>
      </c>
      <c r="F45" s="10" t="s">
        <v>122</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'Conexión ambiental y resilienci'!$A$1:$A$5</xm:f>
          </x14:formula1>
          <xm:sqref>I7</xm:sqref>
        </x14:dataValidation>
        <x14:dataValidation type="list" allowBlank="1" showInputMessage="1" showErrorMessage="1" xr:uid="{09F1CE74-79EA-428D-B8DD-A75959396C8D}">
          <x14:formula1>
            <xm:f>'Conexión ambiental y resilienci'!$H$1:$H$2</xm:f>
          </x14:formula1>
          <xm:sqref>C9</xm:sqref>
        </x14:dataValidation>
        <x14:dataValidation type="list" allowBlank="1" showInputMessage="1" showErrorMessage="1" xr:uid="{A1452186-1DE0-47B4-93DE-38D9A4305F08}">
          <x14:formula1>
            <xm:f>'Conexión ambiental y resilienci'!$C$1:$C$6</xm:f>
          </x14:formula1>
          <xm:sqref>C10</xm:sqref>
        </x14:dataValidation>
        <x14:dataValidation type="list" allowBlank="1" showInputMessage="1" showErrorMessage="1" xr:uid="{B4926E9E-E4E5-4DBE-8B41-438D74B9E471}">
          <x14:formula1>
            <xm:f>'Conexión ambiental y resilienci'!$D$1:$D$15</xm:f>
          </x14:formula1>
          <xm:sqref>E10</xm:sqref>
        </x14:dataValidation>
        <x14:dataValidation type="list" allowBlank="1" showInputMessage="1" showErrorMessage="1" xr:uid="{1616B918-DC41-4C04-8057-249260ACBD05}">
          <x14:formula1>
            <xm:f>'Conexión ambiental y resilienci'!$E$1:$E$15</xm:f>
          </x14:formula1>
          <xm:sqref>G10</xm:sqref>
        </x14:dataValidation>
        <x14:dataValidation type="list" allowBlank="1" showInputMessage="1" showErrorMessage="1" xr:uid="{79807E7B-16F4-4CB9-B261-CF1BFF1861D0}">
          <x14:formula1>
            <xm:f>'Conexión ambiental y resilienci'!$F$1:$F$5</xm:f>
          </x14:formula1>
          <xm:sqref>F34:G34</xm:sqref>
        </x14:dataValidation>
        <x14:dataValidation type="list" allowBlank="1" showInputMessage="1" showErrorMessage="1" xr:uid="{3DB6559C-2411-49F6-B036-576940BCEE3F}">
          <x14:formula1>
            <xm:f>'Conexión ambiental y resilienci'!$G$1:$G$10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B1:I50"/>
  <sheetViews>
    <sheetView topLeftCell="A43" workbookViewId="0">
      <selection activeCell="F45" sqref="F45"/>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6" width="10.81640625" style="11"/>
    <col min="7" max="7" width="10.81640625" style="11" customWidth="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2025</v>
      </c>
      <c r="D7" s="2" t="s">
        <v>7</v>
      </c>
      <c r="E7" s="1"/>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124</v>
      </c>
      <c r="F9" s="52"/>
      <c r="G9" s="2" t="s">
        <v>12</v>
      </c>
      <c r="H9" s="162" t="s">
        <v>125</v>
      </c>
      <c r="I9" s="163"/>
    </row>
    <row r="10" spans="2:9" ht="29.5" thickBot="1" x14ac:dyDescent="0.4">
      <c r="B10" s="28" t="s">
        <v>13</v>
      </c>
      <c r="C10" s="30">
        <v>2</v>
      </c>
      <c r="D10" s="29" t="s">
        <v>14</v>
      </c>
      <c r="E10" s="30">
        <v>36</v>
      </c>
      <c r="F10" s="29" t="s">
        <v>15</v>
      </c>
      <c r="G10" s="30">
        <v>60</v>
      </c>
      <c r="H10" s="29" t="s">
        <v>16</v>
      </c>
      <c r="I10" s="31">
        <f>E10+G10</f>
        <v>96</v>
      </c>
    </row>
    <row r="11" spans="2:9" x14ac:dyDescent="0.35">
      <c r="B11" s="73" t="s">
        <v>95</v>
      </c>
      <c r="C11" s="74"/>
      <c r="D11" s="74"/>
      <c r="E11" s="74"/>
      <c r="F11" s="74"/>
      <c r="G11" s="74"/>
      <c r="H11" s="74"/>
      <c r="I11" s="75"/>
    </row>
    <row r="12" spans="2:9" ht="151.5" customHeight="1" x14ac:dyDescent="0.35">
      <c r="B12" s="153" t="s">
        <v>96</v>
      </c>
      <c r="C12" s="50"/>
      <c r="D12" s="53" t="s">
        <v>126</v>
      </c>
      <c r="E12" s="54"/>
      <c r="F12" s="54"/>
      <c r="G12" s="54"/>
      <c r="H12" s="54"/>
      <c r="I12" s="154"/>
    </row>
    <row r="13" spans="2:9" ht="54.65" customHeight="1" thickBot="1" x14ac:dyDescent="0.4">
      <c r="B13" s="148" t="s">
        <v>98</v>
      </c>
      <c r="C13" s="149"/>
      <c r="D13" s="150" t="s">
        <v>127</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t="s">
        <v>128</v>
      </c>
      <c r="E20" s="121"/>
      <c r="F20" s="122"/>
      <c r="G20" s="139"/>
      <c r="H20" s="140"/>
      <c r="I20" s="141"/>
    </row>
    <row r="21" spans="2:9" x14ac:dyDescent="0.35">
      <c r="B21" s="130"/>
      <c r="C21" s="112"/>
      <c r="D21" s="123"/>
      <c r="E21" s="124"/>
      <c r="F21" s="125"/>
      <c r="G21" s="142"/>
      <c r="H21" s="143"/>
      <c r="I21" s="144"/>
    </row>
    <row r="22" spans="2:9" x14ac:dyDescent="0.35">
      <c r="B22" s="130"/>
      <c r="C22" s="112"/>
      <c r="D22" s="123"/>
      <c r="E22" s="124"/>
      <c r="F22" s="125"/>
      <c r="G22" s="142"/>
      <c r="H22" s="143"/>
      <c r="I22" s="144"/>
    </row>
    <row r="23" spans="2:9" x14ac:dyDescent="0.35">
      <c r="B23" s="130"/>
      <c r="C23" s="112"/>
      <c r="D23" s="123"/>
      <c r="E23" s="124"/>
      <c r="F23" s="125"/>
      <c r="G23" s="142"/>
      <c r="H23" s="143"/>
      <c r="I23" s="144"/>
    </row>
    <row r="24" spans="2:9" x14ac:dyDescent="0.35">
      <c r="B24" s="130"/>
      <c r="C24" s="112"/>
      <c r="D24" s="123"/>
      <c r="E24" s="124"/>
      <c r="F24" s="125"/>
      <c r="G24" s="142"/>
      <c r="H24" s="143"/>
      <c r="I24" s="144"/>
    </row>
    <row r="25" spans="2:9" x14ac:dyDescent="0.35">
      <c r="B25" s="130"/>
      <c r="C25" s="112"/>
      <c r="D25" s="123"/>
      <c r="E25" s="124"/>
      <c r="F25" s="125"/>
      <c r="G25" s="142"/>
      <c r="H25" s="143"/>
      <c r="I25" s="144"/>
    </row>
    <row r="26" spans="2:9" ht="105.65" customHeight="1" thickBot="1" x14ac:dyDescent="0.4">
      <c r="B26" s="131"/>
      <c r="C26" s="115"/>
      <c r="D26" s="126"/>
      <c r="E26" s="127"/>
      <c r="F26" s="128"/>
      <c r="G26" s="145"/>
      <c r="H26" s="146"/>
      <c r="I26" s="147"/>
    </row>
    <row r="27" spans="2:9" ht="15" thickBot="1" x14ac:dyDescent="0.4">
      <c r="B27" s="77" t="s">
        <v>110</v>
      </c>
      <c r="C27" s="78"/>
      <c r="D27" s="78"/>
      <c r="E27" s="78"/>
      <c r="F27" s="78"/>
      <c r="G27" s="78"/>
      <c r="H27" s="78"/>
      <c r="I27" s="79"/>
    </row>
    <row r="28" spans="2:9" ht="14.5" customHeight="1" x14ac:dyDescent="0.35">
      <c r="B28" s="89" t="s">
        <v>129</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83" t="s">
        <v>112</v>
      </c>
      <c r="C33" s="84"/>
      <c r="D33" s="84"/>
      <c r="E33" s="85"/>
      <c r="F33" s="86" t="s">
        <v>130</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131</v>
      </c>
      <c r="C36" s="99"/>
      <c r="D36" s="99"/>
      <c r="E36" s="100"/>
      <c r="F36" s="107" t="s">
        <v>132</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45707</v>
      </c>
      <c r="D45" s="10" t="s">
        <v>120</v>
      </c>
      <c r="E45" s="10" t="s">
        <v>121</v>
      </c>
      <c r="F45" s="10" t="s">
        <v>122</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DDE3C-54C5-46C1-A4FA-85C24F8E5C0D}">
  <dimension ref="B1:I50"/>
  <sheetViews>
    <sheetView topLeftCell="A43" workbookViewId="0">
      <selection activeCell="F45" sqref="F45"/>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7" width="10.81640625" style="1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2026</v>
      </c>
      <c r="D7" s="2" t="s">
        <v>7</v>
      </c>
      <c r="E7" s="33" t="s">
        <v>133</v>
      </c>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134</v>
      </c>
      <c r="F9" s="52"/>
      <c r="G9" s="2" t="s">
        <v>12</v>
      </c>
      <c r="H9" s="52" t="s">
        <v>135</v>
      </c>
      <c r="I9" s="155"/>
    </row>
    <row r="10" spans="2:9" ht="29.5" thickBot="1" x14ac:dyDescent="0.4">
      <c r="B10" s="28" t="s">
        <v>13</v>
      </c>
      <c r="C10" s="30">
        <v>3</v>
      </c>
      <c r="D10" s="29" t="s">
        <v>14</v>
      </c>
      <c r="E10" s="30">
        <v>54</v>
      </c>
      <c r="F10" s="29" t="s">
        <v>15</v>
      </c>
      <c r="G10" s="30">
        <v>90</v>
      </c>
      <c r="H10" s="29" t="s">
        <v>16</v>
      </c>
      <c r="I10" s="31">
        <f>E10+G10</f>
        <v>144</v>
      </c>
    </row>
    <row r="11" spans="2:9" x14ac:dyDescent="0.35">
      <c r="B11" s="73" t="s">
        <v>95</v>
      </c>
      <c r="C11" s="74"/>
      <c r="D11" s="74"/>
      <c r="E11" s="74"/>
      <c r="F11" s="74"/>
      <c r="G11" s="74"/>
      <c r="H11" s="74"/>
      <c r="I11" s="75"/>
    </row>
    <row r="12" spans="2:9" ht="138" customHeight="1" x14ac:dyDescent="0.35">
      <c r="B12" s="153" t="s">
        <v>96</v>
      </c>
      <c r="C12" s="50"/>
      <c r="D12" s="53" t="s">
        <v>136</v>
      </c>
      <c r="E12" s="54"/>
      <c r="F12" s="54"/>
      <c r="G12" s="54"/>
      <c r="H12" s="54"/>
      <c r="I12" s="154"/>
    </row>
    <row r="13" spans="2:9" ht="54.65" customHeight="1" thickBot="1" x14ac:dyDescent="0.4">
      <c r="B13" s="148" t="s">
        <v>98</v>
      </c>
      <c r="C13" s="149"/>
      <c r="D13" s="150" t="s">
        <v>137</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t="s">
        <v>138</v>
      </c>
      <c r="E20" s="121"/>
      <c r="F20" s="122"/>
      <c r="G20" s="139"/>
      <c r="H20" s="140"/>
      <c r="I20" s="141"/>
    </row>
    <row r="21" spans="2:9" x14ac:dyDescent="0.35">
      <c r="B21" s="130"/>
      <c r="C21" s="112"/>
      <c r="D21" s="123"/>
      <c r="E21" s="124"/>
      <c r="F21" s="125"/>
      <c r="G21" s="142"/>
      <c r="H21" s="143"/>
      <c r="I21" s="144"/>
    </row>
    <row r="22" spans="2:9" x14ac:dyDescent="0.35">
      <c r="B22" s="130"/>
      <c r="C22" s="112"/>
      <c r="D22" s="123"/>
      <c r="E22" s="124"/>
      <c r="F22" s="125"/>
      <c r="G22" s="142"/>
      <c r="H22" s="143"/>
      <c r="I22" s="144"/>
    </row>
    <row r="23" spans="2:9" x14ac:dyDescent="0.35">
      <c r="B23" s="130"/>
      <c r="C23" s="112"/>
      <c r="D23" s="123"/>
      <c r="E23" s="124"/>
      <c r="F23" s="125"/>
      <c r="G23" s="142"/>
      <c r="H23" s="143"/>
      <c r="I23" s="144"/>
    </row>
    <row r="24" spans="2:9" x14ac:dyDescent="0.35">
      <c r="B24" s="130"/>
      <c r="C24" s="112"/>
      <c r="D24" s="123"/>
      <c r="E24" s="124"/>
      <c r="F24" s="125"/>
      <c r="G24" s="142"/>
      <c r="H24" s="143"/>
      <c r="I24" s="144"/>
    </row>
    <row r="25" spans="2:9" x14ac:dyDescent="0.35">
      <c r="B25" s="130"/>
      <c r="C25" s="112"/>
      <c r="D25" s="123"/>
      <c r="E25" s="124"/>
      <c r="F25" s="125"/>
      <c r="G25" s="142"/>
      <c r="H25" s="143"/>
      <c r="I25" s="144"/>
    </row>
    <row r="26" spans="2:9" ht="271.5" customHeight="1" thickBot="1" x14ac:dyDescent="0.4">
      <c r="B26" s="131"/>
      <c r="C26" s="115"/>
      <c r="D26" s="126"/>
      <c r="E26" s="127"/>
      <c r="F26" s="128"/>
      <c r="G26" s="145"/>
      <c r="H26" s="146"/>
      <c r="I26" s="147"/>
    </row>
    <row r="27" spans="2:9" ht="15" thickBot="1" x14ac:dyDescent="0.4">
      <c r="B27" s="77" t="s">
        <v>110</v>
      </c>
      <c r="C27" s="78"/>
      <c r="D27" s="78"/>
      <c r="E27" s="78"/>
      <c r="F27" s="78"/>
      <c r="G27" s="78"/>
      <c r="H27" s="78"/>
      <c r="I27" s="79"/>
    </row>
    <row r="28" spans="2:9" ht="14.5" customHeight="1" x14ac:dyDescent="0.35">
      <c r="B28" s="89" t="s">
        <v>111</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83" t="s">
        <v>112</v>
      </c>
      <c r="C33" s="84"/>
      <c r="D33" s="84"/>
      <c r="E33" s="85"/>
      <c r="F33" s="86" t="s">
        <v>113</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116</v>
      </c>
      <c r="C36" s="99"/>
      <c r="D36" s="99"/>
      <c r="E36" s="100"/>
      <c r="F36" s="107" t="s">
        <v>117</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45707</v>
      </c>
      <c r="D45" s="10" t="s">
        <v>120</v>
      </c>
      <c r="E45" s="10" t="s">
        <v>121</v>
      </c>
      <c r="F45" s="10" t="s">
        <v>122</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1A5F827C-C6D7-4F8A-9FEC-0EB8638AFDFE}">
          <x14:formula1>
            <xm:f>'Conexión ambiental y resilienci'!$G$1:$G$10</xm:f>
          </x14:formula1>
          <xm:sqref>I34</xm:sqref>
        </x14:dataValidation>
        <x14:dataValidation type="list" allowBlank="1" showInputMessage="1" showErrorMessage="1" xr:uid="{362D09A9-9732-4767-82A7-0B5E972C215A}">
          <x14:formula1>
            <xm:f>'Conexión ambiental y resilienci'!$F$1:$F$5</xm:f>
          </x14:formula1>
          <xm:sqref>F34:G34</xm:sqref>
        </x14:dataValidation>
        <x14:dataValidation type="list" allowBlank="1" showInputMessage="1" showErrorMessage="1" xr:uid="{F809814D-A307-41DB-8101-2824F8B46D08}">
          <x14:formula1>
            <xm:f>'Conexión ambiental y resilienci'!$E$1:$E$15</xm:f>
          </x14:formula1>
          <xm:sqref>G10</xm:sqref>
        </x14:dataValidation>
        <x14:dataValidation type="list" allowBlank="1" showInputMessage="1" showErrorMessage="1" xr:uid="{91E487A1-69D1-436E-9C26-14D99A8102C2}">
          <x14:formula1>
            <xm:f>'Conexión ambiental y resilienci'!$D$1:$D$15</xm:f>
          </x14:formula1>
          <xm:sqref>E10</xm:sqref>
        </x14:dataValidation>
        <x14:dataValidation type="list" allowBlank="1" showInputMessage="1" showErrorMessage="1" xr:uid="{A2B0B5ED-D56F-449B-A136-A0461406F2BD}">
          <x14:formula1>
            <xm:f>'Conexión ambiental y resilienci'!$C$1:$C$6</xm:f>
          </x14:formula1>
          <xm:sqref>C10</xm:sqref>
        </x14:dataValidation>
        <x14:dataValidation type="list" allowBlank="1" showInputMessage="1" showErrorMessage="1" xr:uid="{81461904-6F71-4BBE-86A9-3CA84DA9263A}">
          <x14:formula1>
            <xm:f>'Conexión ambiental y resilienci'!$H$1:$H$2</xm:f>
          </x14:formula1>
          <xm:sqref>C9</xm:sqref>
        </x14:dataValidation>
        <x14:dataValidation type="list" allowBlank="1" showInputMessage="1" showErrorMessage="1" xr:uid="{FC0C7574-61B0-48E5-B77D-A364143B5278}">
          <x14:formula1>
            <xm:f>'Conexión ambiental y resilienci'!$A$1:$A$5</xm:f>
          </x14:formula1>
          <xm:sqref>I7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B8BED-66AC-4F0C-9D29-6E663DFB458E}">
  <dimension ref="B1:I50"/>
  <sheetViews>
    <sheetView topLeftCell="A43" workbookViewId="0">
      <selection activeCell="F45" sqref="F45"/>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7" width="10.81640625" style="1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2026</v>
      </c>
      <c r="D7" s="2" t="s">
        <v>7</v>
      </c>
      <c r="E7" s="33" t="s">
        <v>133</v>
      </c>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134</v>
      </c>
      <c r="F9" s="52"/>
      <c r="G9" s="2" t="s">
        <v>12</v>
      </c>
      <c r="H9" s="52" t="s">
        <v>139</v>
      </c>
      <c r="I9" s="155"/>
    </row>
    <row r="10" spans="2:9" ht="29.5" thickBot="1" x14ac:dyDescent="0.4">
      <c r="B10" s="28" t="s">
        <v>13</v>
      </c>
      <c r="C10" s="30">
        <v>3</v>
      </c>
      <c r="D10" s="29" t="s">
        <v>14</v>
      </c>
      <c r="E10" s="30">
        <v>54</v>
      </c>
      <c r="F10" s="29" t="s">
        <v>15</v>
      </c>
      <c r="G10" s="30">
        <v>90</v>
      </c>
      <c r="H10" s="29" t="s">
        <v>16</v>
      </c>
      <c r="I10" s="31">
        <f>E10+G10</f>
        <v>144</v>
      </c>
    </row>
    <row r="11" spans="2:9" x14ac:dyDescent="0.35">
      <c r="B11" s="73" t="s">
        <v>95</v>
      </c>
      <c r="C11" s="74"/>
      <c r="D11" s="74"/>
      <c r="E11" s="74"/>
      <c r="F11" s="74"/>
      <c r="G11" s="74"/>
      <c r="H11" s="74"/>
      <c r="I11" s="75"/>
    </row>
    <row r="12" spans="2:9" ht="138" customHeight="1" x14ac:dyDescent="0.35">
      <c r="B12" s="153" t="s">
        <v>96</v>
      </c>
      <c r="C12" s="50"/>
      <c r="D12" s="53" t="s">
        <v>140</v>
      </c>
      <c r="E12" s="54"/>
      <c r="F12" s="54"/>
      <c r="G12" s="54"/>
      <c r="H12" s="54"/>
      <c r="I12" s="154"/>
    </row>
    <row r="13" spans="2:9" ht="54.65" customHeight="1" thickBot="1" x14ac:dyDescent="0.4">
      <c r="B13" s="148" t="s">
        <v>98</v>
      </c>
      <c r="C13" s="149"/>
      <c r="D13" s="150" t="s">
        <v>141</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c r="E20" s="121"/>
      <c r="F20" s="122"/>
      <c r="G20" s="164" t="s">
        <v>142</v>
      </c>
      <c r="H20" s="165"/>
      <c r="I20" s="166"/>
    </row>
    <row r="21" spans="2:9" x14ac:dyDescent="0.35">
      <c r="B21" s="130"/>
      <c r="C21" s="112"/>
      <c r="D21" s="123"/>
      <c r="E21" s="124"/>
      <c r="F21" s="125"/>
      <c r="G21" s="167"/>
      <c r="H21" s="168"/>
      <c r="I21" s="169"/>
    </row>
    <row r="22" spans="2:9" x14ac:dyDescent="0.35">
      <c r="B22" s="130"/>
      <c r="C22" s="112"/>
      <c r="D22" s="123"/>
      <c r="E22" s="124"/>
      <c r="F22" s="125"/>
      <c r="G22" s="167"/>
      <c r="H22" s="168"/>
      <c r="I22" s="169"/>
    </row>
    <row r="23" spans="2:9" x14ac:dyDescent="0.35">
      <c r="B23" s="130"/>
      <c r="C23" s="112"/>
      <c r="D23" s="123"/>
      <c r="E23" s="124"/>
      <c r="F23" s="125"/>
      <c r="G23" s="167"/>
      <c r="H23" s="168"/>
      <c r="I23" s="169"/>
    </row>
    <row r="24" spans="2:9" x14ac:dyDescent="0.35">
      <c r="B24" s="130"/>
      <c r="C24" s="112"/>
      <c r="D24" s="123"/>
      <c r="E24" s="124"/>
      <c r="F24" s="125"/>
      <c r="G24" s="167"/>
      <c r="H24" s="168"/>
      <c r="I24" s="169"/>
    </row>
    <row r="25" spans="2:9" x14ac:dyDescent="0.35">
      <c r="B25" s="130"/>
      <c r="C25" s="112"/>
      <c r="D25" s="123"/>
      <c r="E25" s="124"/>
      <c r="F25" s="125"/>
      <c r="G25" s="167"/>
      <c r="H25" s="168"/>
      <c r="I25" s="169"/>
    </row>
    <row r="26" spans="2:9" ht="271.5" customHeight="1" thickBot="1" x14ac:dyDescent="0.4">
      <c r="B26" s="131"/>
      <c r="C26" s="115"/>
      <c r="D26" s="126"/>
      <c r="E26" s="127"/>
      <c r="F26" s="128"/>
      <c r="G26" s="170"/>
      <c r="H26" s="171"/>
      <c r="I26" s="172"/>
    </row>
    <row r="27" spans="2:9" ht="15" thickBot="1" x14ac:dyDescent="0.4">
      <c r="B27" s="77" t="s">
        <v>110</v>
      </c>
      <c r="C27" s="78"/>
      <c r="D27" s="78"/>
      <c r="E27" s="78"/>
      <c r="F27" s="78"/>
      <c r="G27" s="78"/>
      <c r="H27" s="78"/>
      <c r="I27" s="79"/>
    </row>
    <row r="28" spans="2:9" ht="14.5" customHeight="1" x14ac:dyDescent="0.35">
      <c r="B28" s="89" t="s">
        <v>143</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83" t="s">
        <v>144</v>
      </c>
      <c r="C33" s="84"/>
      <c r="D33" s="84"/>
      <c r="E33" s="85"/>
      <c r="F33" s="86" t="s">
        <v>113</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145</v>
      </c>
      <c r="C36" s="99"/>
      <c r="D36" s="99"/>
      <c r="E36" s="100"/>
      <c r="F36" s="107" t="s">
        <v>146</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46072</v>
      </c>
      <c r="D45" s="10" t="s">
        <v>147</v>
      </c>
      <c r="E45" s="10" t="s">
        <v>120</v>
      </c>
      <c r="F45" s="10" t="s">
        <v>122</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94262FA9-2905-47DF-882B-433FA09C69D2}">
          <x14:formula1>
            <xm:f>'Conexión ambiental y resilienci'!$G$1:$G$10</xm:f>
          </x14:formula1>
          <xm:sqref>I34</xm:sqref>
        </x14:dataValidation>
        <x14:dataValidation type="list" allowBlank="1" showInputMessage="1" showErrorMessage="1" xr:uid="{82CF4D29-21E4-4320-86DC-23FDAC882729}">
          <x14:formula1>
            <xm:f>'Conexión ambiental y resilienci'!$F$1:$F$5</xm:f>
          </x14:formula1>
          <xm:sqref>F34:G34</xm:sqref>
        </x14:dataValidation>
        <x14:dataValidation type="list" allowBlank="1" showInputMessage="1" showErrorMessage="1" xr:uid="{86735428-1761-41D7-B20A-D2F48307E2EC}">
          <x14:formula1>
            <xm:f>'Conexión ambiental y resilienci'!$E$1:$E$15</xm:f>
          </x14:formula1>
          <xm:sqref>G10</xm:sqref>
        </x14:dataValidation>
        <x14:dataValidation type="list" allowBlank="1" showInputMessage="1" showErrorMessage="1" xr:uid="{228C0966-6E3E-4DA6-9246-F9DD9F8C3885}">
          <x14:formula1>
            <xm:f>'Conexión ambiental y resilienci'!$D$1:$D$15</xm:f>
          </x14:formula1>
          <xm:sqref>E10</xm:sqref>
        </x14:dataValidation>
        <x14:dataValidation type="list" allowBlank="1" showInputMessage="1" showErrorMessage="1" xr:uid="{0FC141C0-A1E4-4D74-8F69-EF991051CDE0}">
          <x14:formula1>
            <xm:f>'Conexión ambiental y resilienci'!$C$1:$C$6</xm:f>
          </x14:formula1>
          <xm:sqref>C10</xm:sqref>
        </x14:dataValidation>
        <x14:dataValidation type="list" allowBlank="1" showInputMessage="1" showErrorMessage="1" xr:uid="{DD2C08A0-2BCF-4916-93A0-515D72104CD4}">
          <x14:formula1>
            <xm:f>'Conexión ambiental y resilienci'!$H$1:$H$2</xm:f>
          </x14:formula1>
          <xm:sqref>C9</xm:sqref>
        </x14:dataValidation>
        <x14:dataValidation type="list" allowBlank="1" showInputMessage="1" showErrorMessage="1" xr:uid="{D55F419C-C94B-435C-B9B9-B45683B313FF}">
          <x14:formula1>
            <xm:f>'Conexión ambiental y resilienci'!$A$1:$A$5</xm:f>
          </x14:formula1>
          <xm:sqref>I7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3E22C-CA9C-491F-92E1-1312229DD242}">
  <dimension ref="B1:I50"/>
  <sheetViews>
    <sheetView topLeftCell="A43" workbookViewId="0">
      <selection activeCell="J10" sqref="J10"/>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7" width="10.81640625" style="1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2026</v>
      </c>
      <c r="D7" s="2" t="s">
        <v>7</v>
      </c>
      <c r="E7" s="33" t="s">
        <v>133</v>
      </c>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148</v>
      </c>
      <c r="F9" s="52"/>
      <c r="G9" s="2" t="s">
        <v>12</v>
      </c>
      <c r="H9" s="162" t="s">
        <v>149</v>
      </c>
      <c r="I9" s="163"/>
    </row>
    <row r="10" spans="2:9" ht="29.5" thickBot="1" x14ac:dyDescent="0.4">
      <c r="B10" s="28" t="s">
        <v>13</v>
      </c>
      <c r="C10" s="30">
        <v>3</v>
      </c>
      <c r="D10" s="29" t="s">
        <v>14</v>
      </c>
      <c r="E10" s="30">
        <v>54</v>
      </c>
      <c r="F10" s="29" t="s">
        <v>15</v>
      </c>
      <c r="G10" s="30">
        <v>90</v>
      </c>
      <c r="H10" s="29" t="s">
        <v>16</v>
      </c>
      <c r="I10" s="31">
        <f>E10+G10</f>
        <v>144</v>
      </c>
    </row>
    <row r="11" spans="2:9" x14ac:dyDescent="0.35">
      <c r="B11" s="73" t="s">
        <v>95</v>
      </c>
      <c r="C11" s="74"/>
      <c r="D11" s="74"/>
      <c r="E11" s="74"/>
      <c r="F11" s="74"/>
      <c r="G11" s="74"/>
      <c r="H11" s="74"/>
      <c r="I11" s="75"/>
    </row>
    <row r="12" spans="2:9" ht="138" customHeight="1" x14ac:dyDescent="0.35">
      <c r="B12" s="153" t="s">
        <v>96</v>
      </c>
      <c r="C12" s="50"/>
      <c r="D12" s="53" t="s">
        <v>150</v>
      </c>
      <c r="E12" s="54"/>
      <c r="F12" s="54"/>
      <c r="G12" s="54"/>
      <c r="H12" s="54"/>
      <c r="I12" s="154"/>
    </row>
    <row r="13" spans="2:9" ht="54.65" customHeight="1" thickBot="1" x14ac:dyDescent="0.4">
      <c r="B13" s="148" t="s">
        <v>98</v>
      </c>
      <c r="C13" s="149"/>
      <c r="D13" s="150" t="s">
        <v>151</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c r="E20" s="121"/>
      <c r="F20" s="122"/>
      <c r="G20" s="173" t="s">
        <v>152</v>
      </c>
      <c r="H20" s="174"/>
      <c r="I20" s="175"/>
    </row>
    <row r="21" spans="2:9" x14ac:dyDescent="0.35">
      <c r="B21" s="130"/>
      <c r="C21" s="112"/>
      <c r="D21" s="123"/>
      <c r="E21" s="124"/>
      <c r="F21" s="125"/>
      <c r="G21" s="176"/>
      <c r="H21" s="177"/>
      <c r="I21" s="178"/>
    </row>
    <row r="22" spans="2:9" x14ac:dyDescent="0.35">
      <c r="B22" s="130"/>
      <c r="C22" s="112"/>
      <c r="D22" s="123"/>
      <c r="E22" s="124"/>
      <c r="F22" s="125"/>
      <c r="G22" s="176"/>
      <c r="H22" s="177"/>
      <c r="I22" s="178"/>
    </row>
    <row r="23" spans="2:9" x14ac:dyDescent="0.35">
      <c r="B23" s="130"/>
      <c r="C23" s="112"/>
      <c r="D23" s="123"/>
      <c r="E23" s="124"/>
      <c r="F23" s="125"/>
      <c r="G23" s="176"/>
      <c r="H23" s="177"/>
      <c r="I23" s="178"/>
    </row>
    <row r="24" spans="2:9" x14ac:dyDescent="0.35">
      <c r="B24" s="130"/>
      <c r="C24" s="112"/>
      <c r="D24" s="123"/>
      <c r="E24" s="124"/>
      <c r="F24" s="125"/>
      <c r="G24" s="176"/>
      <c r="H24" s="177"/>
      <c r="I24" s="178"/>
    </row>
    <row r="25" spans="2:9" x14ac:dyDescent="0.35">
      <c r="B25" s="130"/>
      <c r="C25" s="112"/>
      <c r="D25" s="123"/>
      <c r="E25" s="124"/>
      <c r="F25" s="125"/>
      <c r="G25" s="176"/>
      <c r="H25" s="177"/>
      <c r="I25" s="178"/>
    </row>
    <row r="26" spans="2:9" ht="271.5" customHeight="1" thickBot="1" x14ac:dyDescent="0.4">
      <c r="B26" s="131"/>
      <c r="C26" s="115"/>
      <c r="D26" s="126"/>
      <c r="E26" s="127"/>
      <c r="F26" s="128"/>
      <c r="G26" s="179"/>
      <c r="H26" s="180"/>
      <c r="I26" s="181"/>
    </row>
    <row r="27" spans="2:9" ht="15" thickBot="1" x14ac:dyDescent="0.4">
      <c r="B27" s="77" t="s">
        <v>110</v>
      </c>
      <c r="C27" s="78"/>
      <c r="D27" s="78"/>
      <c r="E27" s="78"/>
      <c r="F27" s="78"/>
      <c r="G27" s="78"/>
      <c r="H27" s="78"/>
      <c r="I27" s="79"/>
    </row>
    <row r="28" spans="2:9" ht="14.5" customHeight="1" x14ac:dyDescent="0.35">
      <c r="B28" s="89" t="s">
        <v>153</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83" t="s">
        <v>154</v>
      </c>
      <c r="C33" s="84"/>
      <c r="D33" s="84"/>
      <c r="E33" s="85"/>
      <c r="F33" s="86" t="s">
        <v>113</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155</v>
      </c>
      <c r="C36" s="99"/>
      <c r="D36" s="99"/>
      <c r="E36" s="100"/>
      <c r="F36" s="107" t="s">
        <v>156</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46072</v>
      </c>
      <c r="D45" s="10" t="s">
        <v>157</v>
      </c>
      <c r="E45" s="10" t="s">
        <v>120</v>
      </c>
      <c r="F45" s="10" t="s">
        <v>158</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CF99746D-0B9F-4712-8A42-E59075853765}">
          <x14:formula1>
            <xm:f>'Conexión ambiental y resilienci'!$G$1:$G$10</xm:f>
          </x14:formula1>
          <xm:sqref>I34</xm:sqref>
        </x14:dataValidation>
        <x14:dataValidation type="list" allowBlank="1" showInputMessage="1" showErrorMessage="1" xr:uid="{5B3AB4C8-1DE5-47DF-AA00-F4FE09FEAA92}">
          <x14:formula1>
            <xm:f>'Conexión ambiental y resilienci'!$F$1:$F$5</xm:f>
          </x14:formula1>
          <xm:sqref>F34:G34</xm:sqref>
        </x14:dataValidation>
        <x14:dataValidation type="list" allowBlank="1" showInputMessage="1" showErrorMessage="1" xr:uid="{BF395453-31A7-42A6-938F-F2F9560D9058}">
          <x14:formula1>
            <xm:f>'Conexión ambiental y resilienci'!$E$1:$E$15</xm:f>
          </x14:formula1>
          <xm:sqref>G10</xm:sqref>
        </x14:dataValidation>
        <x14:dataValidation type="list" allowBlank="1" showInputMessage="1" showErrorMessage="1" xr:uid="{DCC3200C-45C9-4C82-91E5-E4A048047BCE}">
          <x14:formula1>
            <xm:f>'Conexión ambiental y resilienci'!$D$1:$D$15</xm:f>
          </x14:formula1>
          <xm:sqref>E10</xm:sqref>
        </x14:dataValidation>
        <x14:dataValidation type="list" allowBlank="1" showInputMessage="1" showErrorMessage="1" xr:uid="{930F6F40-825C-4DCC-B265-43D5A4CD5104}">
          <x14:formula1>
            <xm:f>'Conexión ambiental y resilienci'!$C$1:$C$6</xm:f>
          </x14:formula1>
          <xm:sqref>C10</xm:sqref>
        </x14:dataValidation>
        <x14:dataValidation type="list" allowBlank="1" showInputMessage="1" showErrorMessage="1" xr:uid="{724C8898-1257-44BF-A1E6-06355DBC8045}">
          <x14:formula1>
            <xm:f>'Conexión ambiental y resilienci'!$H$1:$H$2</xm:f>
          </x14:formula1>
          <xm:sqref>C9</xm:sqref>
        </x14:dataValidation>
        <x14:dataValidation type="list" allowBlank="1" showInputMessage="1" showErrorMessage="1" xr:uid="{0223C03B-8CF6-451C-8ABF-DBAE8634E4C0}">
          <x14:formula1>
            <xm:f>'Conexión ambiental y resilienci'!$A$1:$A$5</xm:f>
          </x14:formula1>
          <xm:sqref>I7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F5CB7-CA6D-415D-8250-080B8228406E}">
  <dimension ref="B1:I50"/>
  <sheetViews>
    <sheetView topLeftCell="A43" workbookViewId="0">
      <selection activeCell="F45" sqref="F45"/>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7" width="10.81640625" style="1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2026</v>
      </c>
      <c r="D7" s="2" t="s">
        <v>7</v>
      </c>
      <c r="E7" s="33" t="s">
        <v>133</v>
      </c>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148</v>
      </c>
      <c r="F9" s="52"/>
      <c r="G9" s="2" t="s">
        <v>12</v>
      </c>
      <c r="H9" s="162" t="s">
        <v>159</v>
      </c>
      <c r="I9" s="163"/>
    </row>
    <row r="10" spans="2:9" ht="29.5" thickBot="1" x14ac:dyDescent="0.4">
      <c r="B10" s="28" t="s">
        <v>13</v>
      </c>
      <c r="C10" s="30">
        <v>3</v>
      </c>
      <c r="D10" s="29" t="s">
        <v>14</v>
      </c>
      <c r="E10" s="30">
        <v>54</v>
      </c>
      <c r="F10" s="29" t="s">
        <v>15</v>
      </c>
      <c r="G10" s="30">
        <v>90</v>
      </c>
      <c r="H10" s="29" t="s">
        <v>16</v>
      </c>
      <c r="I10" s="31">
        <f>E10+G10</f>
        <v>144</v>
      </c>
    </row>
    <row r="11" spans="2:9" x14ac:dyDescent="0.35">
      <c r="B11" s="73" t="s">
        <v>95</v>
      </c>
      <c r="C11" s="74"/>
      <c r="D11" s="74"/>
      <c r="E11" s="74"/>
      <c r="F11" s="74"/>
      <c r="G11" s="74"/>
      <c r="H11" s="74"/>
      <c r="I11" s="75"/>
    </row>
    <row r="12" spans="2:9" ht="138" customHeight="1" x14ac:dyDescent="0.35">
      <c r="B12" s="153" t="s">
        <v>96</v>
      </c>
      <c r="C12" s="50"/>
      <c r="D12" s="53" t="s">
        <v>160</v>
      </c>
      <c r="E12" s="54"/>
      <c r="F12" s="54"/>
      <c r="G12" s="54"/>
      <c r="H12" s="54"/>
      <c r="I12" s="154"/>
    </row>
    <row r="13" spans="2:9" ht="54.65" customHeight="1" thickBot="1" x14ac:dyDescent="0.4">
      <c r="B13" s="148" t="s">
        <v>98</v>
      </c>
      <c r="C13" s="149"/>
      <c r="D13" s="150" t="s">
        <v>161</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c r="E20" s="121"/>
      <c r="F20" s="122"/>
      <c r="G20" s="173" t="s">
        <v>162</v>
      </c>
      <c r="H20" s="182"/>
      <c r="I20" s="183"/>
    </row>
    <row r="21" spans="2:9" x14ac:dyDescent="0.35">
      <c r="B21" s="130"/>
      <c r="C21" s="112"/>
      <c r="D21" s="123"/>
      <c r="E21" s="124"/>
      <c r="F21" s="125"/>
      <c r="G21" s="184"/>
      <c r="H21" s="185"/>
      <c r="I21" s="186"/>
    </row>
    <row r="22" spans="2:9" x14ac:dyDescent="0.35">
      <c r="B22" s="130"/>
      <c r="C22" s="112"/>
      <c r="D22" s="123"/>
      <c r="E22" s="124"/>
      <c r="F22" s="125"/>
      <c r="G22" s="184"/>
      <c r="H22" s="185"/>
      <c r="I22" s="186"/>
    </row>
    <row r="23" spans="2:9" x14ac:dyDescent="0.35">
      <c r="B23" s="130"/>
      <c r="C23" s="112"/>
      <c r="D23" s="123"/>
      <c r="E23" s="124"/>
      <c r="F23" s="125"/>
      <c r="G23" s="184"/>
      <c r="H23" s="185"/>
      <c r="I23" s="186"/>
    </row>
    <row r="24" spans="2:9" x14ac:dyDescent="0.35">
      <c r="B24" s="130"/>
      <c r="C24" s="112"/>
      <c r="D24" s="123"/>
      <c r="E24" s="124"/>
      <c r="F24" s="125"/>
      <c r="G24" s="184"/>
      <c r="H24" s="185"/>
      <c r="I24" s="186"/>
    </row>
    <row r="25" spans="2:9" x14ac:dyDescent="0.35">
      <c r="B25" s="130"/>
      <c r="C25" s="112"/>
      <c r="D25" s="123"/>
      <c r="E25" s="124"/>
      <c r="F25" s="125"/>
      <c r="G25" s="184"/>
      <c r="H25" s="185"/>
      <c r="I25" s="186"/>
    </row>
    <row r="26" spans="2:9" ht="271.5" customHeight="1" thickBot="1" x14ac:dyDescent="0.4">
      <c r="B26" s="131"/>
      <c r="C26" s="115"/>
      <c r="D26" s="126"/>
      <c r="E26" s="127"/>
      <c r="F26" s="128"/>
      <c r="G26" s="187"/>
      <c r="H26" s="188"/>
      <c r="I26" s="189"/>
    </row>
    <row r="27" spans="2:9" ht="15" thickBot="1" x14ac:dyDescent="0.4">
      <c r="B27" s="77" t="s">
        <v>110</v>
      </c>
      <c r="C27" s="78"/>
      <c r="D27" s="78"/>
      <c r="E27" s="78"/>
      <c r="F27" s="78"/>
      <c r="G27" s="78"/>
      <c r="H27" s="78"/>
      <c r="I27" s="79"/>
    </row>
    <row r="28" spans="2:9" ht="14.5" customHeight="1" x14ac:dyDescent="0.35">
      <c r="B28" s="89" t="s">
        <v>163</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190" t="s">
        <v>164</v>
      </c>
      <c r="C33" s="191"/>
      <c r="D33" s="191"/>
      <c r="E33" s="192"/>
      <c r="F33" s="86" t="s">
        <v>113</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165</v>
      </c>
      <c r="C36" s="99"/>
      <c r="D36" s="99"/>
      <c r="E36" s="100"/>
      <c r="F36" s="107" t="s">
        <v>166</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46072</v>
      </c>
      <c r="D45" s="10" t="s">
        <v>167</v>
      </c>
      <c r="E45" s="10" t="s">
        <v>120</v>
      </c>
      <c r="F45" s="10" t="s">
        <v>122</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E6F536A7-0D39-4AC7-9F31-37910E0BFD1E}">
          <x14:formula1>
            <xm:f>'Conexión ambiental y resilienci'!$G$1:$G$10</xm:f>
          </x14:formula1>
          <xm:sqref>I34</xm:sqref>
        </x14:dataValidation>
        <x14:dataValidation type="list" allowBlank="1" showInputMessage="1" showErrorMessage="1" xr:uid="{0C4A5EA6-3B6A-44D7-87E9-A9D9FDDC06F2}">
          <x14:formula1>
            <xm:f>'Conexión ambiental y resilienci'!$F$1:$F$5</xm:f>
          </x14:formula1>
          <xm:sqref>F34:G34</xm:sqref>
        </x14:dataValidation>
        <x14:dataValidation type="list" allowBlank="1" showInputMessage="1" showErrorMessage="1" xr:uid="{F0A3D88B-8141-490E-BEB9-F96C00ED9281}">
          <x14:formula1>
            <xm:f>'Conexión ambiental y resilienci'!$E$1:$E$15</xm:f>
          </x14:formula1>
          <xm:sqref>G10</xm:sqref>
        </x14:dataValidation>
        <x14:dataValidation type="list" allowBlank="1" showInputMessage="1" showErrorMessage="1" xr:uid="{C36DDABC-66A6-43A1-B1F2-6202997326CD}">
          <x14:formula1>
            <xm:f>'Conexión ambiental y resilienci'!$D$1:$D$15</xm:f>
          </x14:formula1>
          <xm:sqref>E10</xm:sqref>
        </x14:dataValidation>
        <x14:dataValidation type="list" allowBlank="1" showInputMessage="1" showErrorMessage="1" xr:uid="{7B06B3D3-FC9A-4C92-8EA6-3237006694E3}">
          <x14:formula1>
            <xm:f>'Conexión ambiental y resilienci'!$C$1:$C$6</xm:f>
          </x14:formula1>
          <xm:sqref>C10</xm:sqref>
        </x14:dataValidation>
        <x14:dataValidation type="list" allowBlank="1" showInputMessage="1" showErrorMessage="1" xr:uid="{D26C99A1-F9C6-4065-A6F9-AE20C2035800}">
          <x14:formula1>
            <xm:f>'Conexión ambiental y resilienci'!$H$1:$H$2</xm:f>
          </x14:formula1>
          <xm:sqref>C9</xm:sqref>
        </x14:dataValidation>
        <x14:dataValidation type="list" allowBlank="1" showInputMessage="1" showErrorMessage="1" xr:uid="{0EDC0853-88AE-479E-AB4D-C1CE706BC12A}">
          <x14:formula1>
            <xm:f>'Conexión ambiental y resilienci'!$A$1:$A$5</xm:f>
          </x14:formula1>
          <xm:sqref>I7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6D9F0-FED6-4A98-9445-D821359FD8B7}">
  <dimension ref="B1:I50"/>
  <sheetViews>
    <sheetView topLeftCell="A43" workbookViewId="0">
      <selection activeCell="F45" sqref="F45"/>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7" width="10.81640625" style="1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2026</v>
      </c>
      <c r="D7" s="2" t="s">
        <v>7</v>
      </c>
      <c r="E7" s="33" t="s">
        <v>133</v>
      </c>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148</v>
      </c>
      <c r="F9" s="52"/>
      <c r="G9" s="2" t="s">
        <v>12</v>
      </c>
      <c r="H9" s="162" t="s">
        <v>168</v>
      </c>
      <c r="I9" s="163"/>
    </row>
    <row r="10" spans="2:9" ht="29.5" thickBot="1" x14ac:dyDescent="0.4">
      <c r="B10" s="28" t="s">
        <v>13</v>
      </c>
      <c r="C10" s="30">
        <v>3</v>
      </c>
      <c r="D10" s="29" t="s">
        <v>14</v>
      </c>
      <c r="E10" s="30">
        <v>54</v>
      </c>
      <c r="F10" s="29" t="s">
        <v>15</v>
      </c>
      <c r="G10" s="30">
        <v>90</v>
      </c>
      <c r="H10" s="29" t="s">
        <v>16</v>
      </c>
      <c r="I10" s="31">
        <f>E10+G10</f>
        <v>144</v>
      </c>
    </row>
    <row r="11" spans="2:9" x14ac:dyDescent="0.35">
      <c r="B11" s="73" t="s">
        <v>95</v>
      </c>
      <c r="C11" s="74"/>
      <c r="D11" s="74"/>
      <c r="E11" s="74"/>
      <c r="F11" s="74"/>
      <c r="G11" s="74"/>
      <c r="H11" s="74"/>
      <c r="I11" s="75"/>
    </row>
    <row r="12" spans="2:9" ht="138" customHeight="1" x14ac:dyDescent="0.35">
      <c r="B12" s="153" t="s">
        <v>96</v>
      </c>
      <c r="C12" s="50"/>
      <c r="D12" s="53" t="s">
        <v>169</v>
      </c>
      <c r="E12" s="54"/>
      <c r="F12" s="54"/>
      <c r="G12" s="54"/>
      <c r="H12" s="54"/>
      <c r="I12" s="154"/>
    </row>
    <row r="13" spans="2:9" ht="54.65" customHeight="1" thickBot="1" x14ac:dyDescent="0.4">
      <c r="B13" s="148" t="s">
        <v>98</v>
      </c>
      <c r="C13" s="149"/>
      <c r="D13" s="150" t="s">
        <v>170</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c r="E20" s="121"/>
      <c r="F20" s="122"/>
      <c r="G20" s="164" t="s">
        <v>171</v>
      </c>
      <c r="H20" s="165"/>
      <c r="I20" s="166"/>
    </row>
    <row r="21" spans="2:9" x14ac:dyDescent="0.35">
      <c r="B21" s="130"/>
      <c r="C21" s="112"/>
      <c r="D21" s="123"/>
      <c r="E21" s="124"/>
      <c r="F21" s="125"/>
      <c r="G21" s="167"/>
      <c r="H21" s="168"/>
      <c r="I21" s="169"/>
    </row>
    <row r="22" spans="2:9" x14ac:dyDescent="0.35">
      <c r="B22" s="130"/>
      <c r="C22" s="112"/>
      <c r="D22" s="123"/>
      <c r="E22" s="124"/>
      <c r="F22" s="125"/>
      <c r="G22" s="167"/>
      <c r="H22" s="168"/>
      <c r="I22" s="169"/>
    </row>
    <row r="23" spans="2:9" x14ac:dyDescent="0.35">
      <c r="B23" s="130"/>
      <c r="C23" s="112"/>
      <c r="D23" s="123"/>
      <c r="E23" s="124"/>
      <c r="F23" s="125"/>
      <c r="G23" s="167"/>
      <c r="H23" s="168"/>
      <c r="I23" s="169"/>
    </row>
    <row r="24" spans="2:9" x14ac:dyDescent="0.35">
      <c r="B24" s="130"/>
      <c r="C24" s="112"/>
      <c r="D24" s="123"/>
      <c r="E24" s="124"/>
      <c r="F24" s="125"/>
      <c r="G24" s="167"/>
      <c r="H24" s="168"/>
      <c r="I24" s="169"/>
    </row>
    <row r="25" spans="2:9" x14ac:dyDescent="0.35">
      <c r="B25" s="130"/>
      <c r="C25" s="112"/>
      <c r="D25" s="123"/>
      <c r="E25" s="124"/>
      <c r="F25" s="125"/>
      <c r="G25" s="167"/>
      <c r="H25" s="168"/>
      <c r="I25" s="169"/>
    </row>
    <row r="26" spans="2:9" ht="271.5" customHeight="1" thickBot="1" x14ac:dyDescent="0.4">
      <c r="B26" s="131"/>
      <c r="C26" s="115"/>
      <c r="D26" s="126"/>
      <c r="E26" s="127"/>
      <c r="F26" s="128"/>
      <c r="G26" s="170"/>
      <c r="H26" s="171"/>
      <c r="I26" s="172"/>
    </row>
    <row r="27" spans="2:9" ht="15" thickBot="1" x14ac:dyDescent="0.4">
      <c r="B27" s="77" t="s">
        <v>110</v>
      </c>
      <c r="C27" s="78"/>
      <c r="D27" s="78"/>
      <c r="E27" s="78"/>
      <c r="F27" s="78"/>
      <c r="G27" s="78"/>
      <c r="H27" s="78"/>
      <c r="I27" s="79"/>
    </row>
    <row r="28" spans="2:9" ht="14.5" customHeight="1" x14ac:dyDescent="0.35">
      <c r="B28" s="89" t="s">
        <v>172</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83" t="s">
        <v>112</v>
      </c>
      <c r="C33" s="84"/>
      <c r="D33" s="84"/>
      <c r="E33" s="85"/>
      <c r="F33" s="86" t="s">
        <v>113</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173</v>
      </c>
      <c r="C36" s="99"/>
      <c r="D36" s="99"/>
      <c r="E36" s="100"/>
      <c r="F36" s="107" t="s">
        <v>174</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46072</v>
      </c>
      <c r="D45" s="10" t="s">
        <v>120</v>
      </c>
      <c r="E45" s="10" t="s">
        <v>121</v>
      </c>
      <c r="F45" s="10" t="s">
        <v>122</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3D400ED4-D72B-4F92-BCAC-FCF08F344C0D}">
          <x14:formula1>
            <xm:f>'Conexión ambiental y resilienci'!$G$1:$G$10</xm:f>
          </x14:formula1>
          <xm:sqref>I34</xm:sqref>
        </x14:dataValidation>
        <x14:dataValidation type="list" allowBlank="1" showInputMessage="1" showErrorMessage="1" xr:uid="{5E9F47E0-3584-4EB7-A4DE-9179FD37CD18}">
          <x14:formula1>
            <xm:f>'Conexión ambiental y resilienci'!$F$1:$F$5</xm:f>
          </x14:formula1>
          <xm:sqref>F34:G34</xm:sqref>
        </x14:dataValidation>
        <x14:dataValidation type="list" allowBlank="1" showInputMessage="1" showErrorMessage="1" xr:uid="{31204BBA-20C6-40FA-92B8-DDD1AEC8E958}">
          <x14:formula1>
            <xm:f>'Conexión ambiental y resilienci'!$E$1:$E$15</xm:f>
          </x14:formula1>
          <xm:sqref>G10</xm:sqref>
        </x14:dataValidation>
        <x14:dataValidation type="list" allowBlank="1" showInputMessage="1" showErrorMessage="1" xr:uid="{7F277205-3D2B-4265-8DAF-9A4E55BCAC30}">
          <x14:formula1>
            <xm:f>'Conexión ambiental y resilienci'!$D$1:$D$15</xm:f>
          </x14:formula1>
          <xm:sqref>E10</xm:sqref>
        </x14:dataValidation>
        <x14:dataValidation type="list" allowBlank="1" showInputMessage="1" showErrorMessage="1" xr:uid="{0CADA0F0-C181-4ED1-997F-1C272150C7C4}">
          <x14:formula1>
            <xm:f>'Conexión ambiental y resilienci'!$C$1:$C$6</xm:f>
          </x14:formula1>
          <xm:sqref>C10</xm:sqref>
        </x14:dataValidation>
        <x14:dataValidation type="list" allowBlank="1" showInputMessage="1" showErrorMessage="1" xr:uid="{00499381-B090-4962-B68A-0D217336D304}">
          <x14:formula1>
            <xm:f>'Conexión ambiental y resilienci'!$H$1:$H$2</xm:f>
          </x14:formula1>
          <xm:sqref>C9</xm:sqref>
        </x14:dataValidation>
        <x14:dataValidation type="list" allowBlank="1" showInputMessage="1" showErrorMessage="1" xr:uid="{B48D6E01-5D86-4173-B270-2930E83BD4A6}">
          <x14:formula1>
            <xm:f>'Conexión ambiental y resilienci'!$A$1:$A$5</xm:f>
          </x14:formula1>
          <xm:sqref>I7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EEC41-9D0B-4897-B57B-E860DB90630F}">
  <dimension ref="B1:I50"/>
  <sheetViews>
    <sheetView topLeftCell="A43" workbookViewId="0">
      <selection activeCell="F45" sqref="F45"/>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7" width="10.81640625" style="1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2026</v>
      </c>
      <c r="D7" s="2" t="s">
        <v>7</v>
      </c>
      <c r="E7" s="33" t="s">
        <v>133</v>
      </c>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148</v>
      </c>
      <c r="F9" s="52"/>
      <c r="G9" s="2" t="s">
        <v>12</v>
      </c>
      <c r="H9" s="162" t="s">
        <v>175</v>
      </c>
      <c r="I9" s="163"/>
    </row>
    <row r="10" spans="2:9" ht="29.5" thickBot="1" x14ac:dyDescent="0.4">
      <c r="B10" s="28" t="s">
        <v>13</v>
      </c>
      <c r="C10" s="30">
        <v>3</v>
      </c>
      <c r="D10" s="29" t="s">
        <v>14</v>
      </c>
      <c r="E10" s="30">
        <v>54</v>
      </c>
      <c r="F10" s="29" t="s">
        <v>15</v>
      </c>
      <c r="G10" s="30">
        <v>90</v>
      </c>
      <c r="H10" s="29" t="s">
        <v>16</v>
      </c>
      <c r="I10" s="31">
        <f>E10+G10</f>
        <v>144</v>
      </c>
    </row>
    <row r="11" spans="2:9" x14ac:dyDescent="0.35">
      <c r="B11" s="73" t="s">
        <v>95</v>
      </c>
      <c r="C11" s="74"/>
      <c r="D11" s="74"/>
      <c r="E11" s="74"/>
      <c r="F11" s="74"/>
      <c r="G11" s="74"/>
      <c r="H11" s="74"/>
      <c r="I11" s="75"/>
    </row>
    <row r="12" spans="2:9" ht="138" customHeight="1" x14ac:dyDescent="0.35">
      <c r="B12" s="153" t="s">
        <v>96</v>
      </c>
      <c r="C12" s="50"/>
      <c r="D12" s="53" t="s">
        <v>176</v>
      </c>
      <c r="E12" s="54"/>
      <c r="F12" s="54"/>
      <c r="G12" s="54"/>
      <c r="H12" s="54"/>
      <c r="I12" s="154"/>
    </row>
    <row r="13" spans="2:9" ht="54.65" customHeight="1" thickBot="1" x14ac:dyDescent="0.4">
      <c r="B13" s="148" t="s">
        <v>98</v>
      </c>
      <c r="C13" s="149"/>
      <c r="D13" s="150" t="s">
        <v>177</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c r="E20" s="121"/>
      <c r="F20" s="122"/>
      <c r="G20" s="139"/>
      <c r="H20" s="140"/>
      <c r="I20" s="141"/>
    </row>
    <row r="21" spans="2:9" x14ac:dyDescent="0.35">
      <c r="B21" s="130"/>
      <c r="C21" s="112"/>
      <c r="D21" s="123"/>
      <c r="E21" s="124"/>
      <c r="F21" s="125"/>
      <c r="G21" s="142"/>
      <c r="H21" s="143"/>
      <c r="I21" s="144"/>
    </row>
    <row r="22" spans="2:9" x14ac:dyDescent="0.35">
      <c r="B22" s="130"/>
      <c r="C22" s="112"/>
      <c r="D22" s="123"/>
      <c r="E22" s="124"/>
      <c r="F22" s="125"/>
      <c r="G22" s="142"/>
      <c r="H22" s="143"/>
      <c r="I22" s="144"/>
    </row>
    <row r="23" spans="2:9" x14ac:dyDescent="0.35">
      <c r="B23" s="130"/>
      <c r="C23" s="112"/>
      <c r="D23" s="123"/>
      <c r="E23" s="124"/>
      <c r="F23" s="125"/>
      <c r="G23" s="142"/>
      <c r="H23" s="143"/>
      <c r="I23" s="144"/>
    </row>
    <row r="24" spans="2:9" x14ac:dyDescent="0.35">
      <c r="B24" s="130"/>
      <c r="C24" s="112"/>
      <c r="D24" s="123"/>
      <c r="E24" s="124"/>
      <c r="F24" s="125"/>
      <c r="G24" s="142"/>
      <c r="H24" s="143"/>
      <c r="I24" s="144"/>
    </row>
    <row r="25" spans="2:9" x14ac:dyDescent="0.35">
      <c r="B25" s="130"/>
      <c r="C25" s="112"/>
      <c r="D25" s="123"/>
      <c r="E25" s="124"/>
      <c r="F25" s="125"/>
      <c r="G25" s="142"/>
      <c r="H25" s="143"/>
      <c r="I25" s="144"/>
    </row>
    <row r="26" spans="2:9" ht="271.5" customHeight="1" thickBot="1" x14ac:dyDescent="0.4">
      <c r="B26" s="131"/>
      <c r="C26" s="115"/>
      <c r="D26" s="126"/>
      <c r="E26" s="127"/>
      <c r="F26" s="128"/>
      <c r="G26" s="145"/>
      <c r="H26" s="146"/>
      <c r="I26" s="147"/>
    </row>
    <row r="27" spans="2:9" ht="15" thickBot="1" x14ac:dyDescent="0.4">
      <c r="B27" s="77" t="s">
        <v>110</v>
      </c>
      <c r="C27" s="78"/>
      <c r="D27" s="78"/>
      <c r="E27" s="78"/>
      <c r="F27" s="78"/>
      <c r="G27" s="78"/>
      <c r="H27" s="78"/>
      <c r="I27" s="79"/>
    </row>
    <row r="28" spans="2:9" ht="14.5" customHeight="1" x14ac:dyDescent="0.35">
      <c r="B28" s="89" t="s">
        <v>178</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83" t="s">
        <v>179</v>
      </c>
      <c r="C33" s="84"/>
      <c r="D33" s="84"/>
      <c r="E33" s="85"/>
      <c r="F33" s="86" t="s">
        <v>113</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180</v>
      </c>
      <c r="C36" s="99"/>
      <c r="D36" s="99"/>
      <c r="E36" s="100"/>
      <c r="F36" s="107" t="s">
        <v>181</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46072</v>
      </c>
      <c r="D45" s="10" t="s">
        <v>182</v>
      </c>
      <c r="E45" s="10" t="s">
        <v>121</v>
      </c>
      <c r="F45" s="10" t="s">
        <v>122</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CF00927F-721F-479F-B95D-110CB4E8CC71}">
          <x14:formula1>
            <xm:f>'Conexión ambiental y resilienci'!$G$1:$G$10</xm:f>
          </x14:formula1>
          <xm:sqref>I34</xm:sqref>
        </x14:dataValidation>
        <x14:dataValidation type="list" allowBlank="1" showInputMessage="1" showErrorMessage="1" xr:uid="{29AD710D-1971-4963-B40D-5BFF00FA0684}">
          <x14:formula1>
            <xm:f>'Conexión ambiental y resilienci'!$F$1:$F$5</xm:f>
          </x14:formula1>
          <xm:sqref>F34:G34</xm:sqref>
        </x14:dataValidation>
        <x14:dataValidation type="list" allowBlank="1" showInputMessage="1" showErrorMessage="1" xr:uid="{153D7FA3-74A8-43C8-9D99-63A6FA069D94}">
          <x14:formula1>
            <xm:f>'Conexión ambiental y resilienci'!$E$1:$E$15</xm:f>
          </x14:formula1>
          <xm:sqref>G10</xm:sqref>
        </x14:dataValidation>
        <x14:dataValidation type="list" allowBlank="1" showInputMessage="1" showErrorMessage="1" xr:uid="{4B806175-A1C5-447C-A7AA-1155BFE234B5}">
          <x14:formula1>
            <xm:f>'Conexión ambiental y resilienci'!$D$1:$D$15</xm:f>
          </x14:formula1>
          <xm:sqref>E10</xm:sqref>
        </x14:dataValidation>
        <x14:dataValidation type="list" allowBlank="1" showInputMessage="1" showErrorMessage="1" xr:uid="{0BA65058-9267-4C2A-8DED-2B6FBA7B18E1}">
          <x14:formula1>
            <xm:f>'Conexión ambiental y resilienci'!$C$1:$C$6</xm:f>
          </x14:formula1>
          <xm:sqref>C10</xm:sqref>
        </x14:dataValidation>
        <x14:dataValidation type="list" allowBlank="1" showInputMessage="1" showErrorMessage="1" xr:uid="{323D5443-EDF2-4C3A-AF5E-CB206C56239F}">
          <x14:formula1>
            <xm:f>'Conexión ambiental y resilienci'!$H$1:$H$2</xm:f>
          </x14:formula1>
          <xm:sqref>C9</xm:sqref>
        </x14:dataValidation>
        <x14:dataValidation type="list" allowBlank="1" showInputMessage="1" showErrorMessage="1" xr:uid="{B122E529-213F-4C93-9636-D72E5D0E4A4F}">
          <x14:formula1>
            <xm:f>'Conexión ambiental y resilienci'!$A$1:$A$5</xm:f>
          </x14:formula1>
          <xm:sqref>I7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87792-BF78-47C1-867B-B04D643DC514}">
  <dimension ref="B1:I50"/>
  <sheetViews>
    <sheetView topLeftCell="A43" workbookViewId="0">
      <selection activeCell="F45" sqref="F45"/>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7" width="10.81640625" style="1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2026</v>
      </c>
      <c r="D7" s="2" t="s">
        <v>7</v>
      </c>
      <c r="E7" s="1" t="s">
        <v>133</v>
      </c>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148</v>
      </c>
      <c r="F9" s="52"/>
      <c r="G9" s="2" t="s">
        <v>12</v>
      </c>
      <c r="H9" s="52" t="s">
        <v>183</v>
      </c>
      <c r="I9" s="155"/>
    </row>
    <row r="10" spans="2:9" ht="29.5" thickBot="1" x14ac:dyDescent="0.4">
      <c r="B10" s="28" t="s">
        <v>13</v>
      </c>
      <c r="C10" s="30">
        <v>3</v>
      </c>
      <c r="D10" s="29" t="s">
        <v>14</v>
      </c>
      <c r="E10" s="30">
        <v>54</v>
      </c>
      <c r="F10" s="29" t="s">
        <v>15</v>
      </c>
      <c r="G10" s="30">
        <v>90</v>
      </c>
      <c r="H10" s="29" t="s">
        <v>16</v>
      </c>
      <c r="I10" s="31">
        <f>E10+G10</f>
        <v>144</v>
      </c>
    </row>
    <row r="11" spans="2:9" x14ac:dyDescent="0.35">
      <c r="B11" s="73" t="s">
        <v>95</v>
      </c>
      <c r="C11" s="74"/>
      <c r="D11" s="74"/>
      <c r="E11" s="74"/>
      <c r="F11" s="74"/>
      <c r="G11" s="74"/>
      <c r="H11" s="74"/>
      <c r="I11" s="75"/>
    </row>
    <row r="12" spans="2:9" ht="138" customHeight="1" x14ac:dyDescent="0.35">
      <c r="B12" s="153" t="s">
        <v>96</v>
      </c>
      <c r="C12" s="50"/>
      <c r="D12" s="53" t="s">
        <v>184</v>
      </c>
      <c r="E12" s="54"/>
      <c r="F12" s="54"/>
      <c r="G12" s="54"/>
      <c r="H12" s="54"/>
      <c r="I12" s="154"/>
    </row>
    <row r="13" spans="2:9" ht="54.65" customHeight="1" thickBot="1" x14ac:dyDescent="0.4">
      <c r="B13" s="148" t="s">
        <v>98</v>
      </c>
      <c r="C13" s="149"/>
      <c r="D13" s="150" t="s">
        <v>185</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c r="E20" s="121"/>
      <c r="F20" s="122"/>
      <c r="G20" s="164" t="s">
        <v>186</v>
      </c>
      <c r="H20" s="165"/>
      <c r="I20" s="166"/>
    </row>
    <row r="21" spans="2:9" x14ac:dyDescent="0.35">
      <c r="B21" s="130"/>
      <c r="C21" s="112"/>
      <c r="D21" s="123"/>
      <c r="E21" s="124"/>
      <c r="F21" s="125"/>
      <c r="G21" s="167"/>
      <c r="H21" s="168"/>
      <c r="I21" s="169"/>
    </row>
    <row r="22" spans="2:9" x14ac:dyDescent="0.35">
      <c r="B22" s="130"/>
      <c r="C22" s="112"/>
      <c r="D22" s="123"/>
      <c r="E22" s="124"/>
      <c r="F22" s="125"/>
      <c r="G22" s="167"/>
      <c r="H22" s="168"/>
      <c r="I22" s="169"/>
    </row>
    <row r="23" spans="2:9" x14ac:dyDescent="0.35">
      <c r="B23" s="130"/>
      <c r="C23" s="112"/>
      <c r="D23" s="123"/>
      <c r="E23" s="124"/>
      <c r="F23" s="125"/>
      <c r="G23" s="167"/>
      <c r="H23" s="168"/>
      <c r="I23" s="169"/>
    </row>
    <row r="24" spans="2:9" x14ac:dyDescent="0.35">
      <c r="B24" s="130"/>
      <c r="C24" s="112"/>
      <c r="D24" s="123"/>
      <c r="E24" s="124"/>
      <c r="F24" s="125"/>
      <c r="G24" s="167"/>
      <c r="H24" s="168"/>
      <c r="I24" s="169"/>
    </row>
    <row r="25" spans="2:9" x14ac:dyDescent="0.35">
      <c r="B25" s="130"/>
      <c r="C25" s="112"/>
      <c r="D25" s="123"/>
      <c r="E25" s="124"/>
      <c r="F25" s="125"/>
      <c r="G25" s="167"/>
      <c r="H25" s="168"/>
      <c r="I25" s="169"/>
    </row>
    <row r="26" spans="2:9" ht="271.5" customHeight="1" thickBot="1" x14ac:dyDescent="0.4">
      <c r="B26" s="131"/>
      <c r="C26" s="115"/>
      <c r="D26" s="126"/>
      <c r="E26" s="127"/>
      <c r="F26" s="128"/>
      <c r="G26" s="170"/>
      <c r="H26" s="171"/>
      <c r="I26" s="172"/>
    </row>
    <row r="27" spans="2:9" ht="15" thickBot="1" x14ac:dyDescent="0.4">
      <c r="B27" s="77" t="s">
        <v>110</v>
      </c>
      <c r="C27" s="78"/>
      <c r="D27" s="78"/>
      <c r="E27" s="78"/>
      <c r="F27" s="78"/>
      <c r="G27" s="78"/>
      <c r="H27" s="78"/>
      <c r="I27" s="79"/>
    </row>
    <row r="28" spans="2:9" ht="14.5" customHeight="1" x14ac:dyDescent="0.35">
      <c r="B28" s="89" t="s">
        <v>187</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83" t="s">
        <v>188</v>
      </c>
      <c r="C33" s="84"/>
      <c r="D33" s="84"/>
      <c r="E33" s="85"/>
      <c r="F33" s="86" t="s">
        <v>113</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189</v>
      </c>
      <c r="C36" s="99"/>
      <c r="D36" s="99"/>
      <c r="E36" s="100"/>
      <c r="F36" s="107" t="s">
        <v>190</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46072</v>
      </c>
      <c r="D45" s="10" t="s">
        <v>182</v>
      </c>
      <c r="E45" s="10" t="s">
        <v>121</v>
      </c>
      <c r="F45" s="10" t="s">
        <v>122</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40CECCDB-CED1-4045-ABA0-BBD1E3FBB8D2}">
          <x14:formula1>
            <xm:f>'Conexión ambiental y resilienci'!$A$1:$A$5</xm:f>
          </x14:formula1>
          <xm:sqref>I7</xm:sqref>
        </x14:dataValidation>
        <x14:dataValidation type="list" allowBlank="1" showInputMessage="1" showErrorMessage="1" xr:uid="{3EAD2B83-53FB-4254-B50E-85B610EF7502}">
          <x14:formula1>
            <xm:f>'Conexión ambiental y resilienci'!$H$1:$H$2</xm:f>
          </x14:formula1>
          <xm:sqref>C9</xm:sqref>
        </x14:dataValidation>
        <x14:dataValidation type="list" allowBlank="1" showInputMessage="1" showErrorMessage="1" xr:uid="{182A75D9-A1A8-4BF0-8D39-3B36B6B1978A}">
          <x14:formula1>
            <xm:f>'Conexión ambiental y resilienci'!$C$1:$C$6</xm:f>
          </x14:formula1>
          <xm:sqref>C10</xm:sqref>
        </x14:dataValidation>
        <x14:dataValidation type="list" allowBlank="1" showInputMessage="1" showErrorMessage="1" xr:uid="{99F9EDFF-510D-413E-AB2B-70A46504D50E}">
          <x14:formula1>
            <xm:f>'Conexión ambiental y resilienci'!$D$1:$D$15</xm:f>
          </x14:formula1>
          <xm:sqref>E10</xm:sqref>
        </x14:dataValidation>
        <x14:dataValidation type="list" allowBlank="1" showInputMessage="1" showErrorMessage="1" xr:uid="{48CB644F-9A07-4052-9ADA-71795B676346}">
          <x14:formula1>
            <xm:f>'Conexión ambiental y resilienci'!$E$1:$E$15</xm:f>
          </x14:formula1>
          <xm:sqref>G10</xm:sqref>
        </x14:dataValidation>
        <x14:dataValidation type="list" allowBlank="1" showInputMessage="1" showErrorMessage="1" xr:uid="{D9EF162A-7608-4D88-9D2A-86595BA75169}">
          <x14:formula1>
            <xm:f>'Conexión ambiental y resilienci'!$F$1:$F$5</xm:f>
          </x14:formula1>
          <xm:sqref>F34:G34</xm:sqref>
        </x14:dataValidation>
        <x14:dataValidation type="list" allowBlank="1" showInputMessage="1" showErrorMessage="1" xr:uid="{306FD2F3-3A87-4E10-9051-6DF16638BE38}">
          <x14:formula1>
            <xm:f>'Conexión ambiental y resilienci'!$G$1:$G$10</xm:f>
          </x14:formula1>
          <xm:sqref>I34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181EE-0729-4C02-92E7-08E275F8DA7B}">
  <dimension ref="B1:I50"/>
  <sheetViews>
    <sheetView tabSelected="1" topLeftCell="A43" workbookViewId="0">
      <selection activeCell="E7" sqref="E7"/>
    </sheetView>
  </sheetViews>
  <sheetFormatPr baseColWidth="10" defaultColWidth="10.81640625" defaultRowHeight="14.5" x14ac:dyDescent="0.35"/>
  <cols>
    <col min="1" max="1" width="3.1796875" style="11" customWidth="1"/>
    <col min="2" max="2" width="14.26953125" style="11" customWidth="1"/>
    <col min="3" max="3" width="11.26953125" style="11" bestFit="1" customWidth="1"/>
    <col min="4" max="4" width="12.26953125" style="11" customWidth="1"/>
    <col min="5" max="5" width="10.1796875" style="11" customWidth="1"/>
    <col min="6" max="7" width="10.81640625" style="11"/>
    <col min="8" max="8" width="9.81640625" style="11" customWidth="1"/>
    <col min="9" max="9" width="16.7265625" style="11" customWidth="1"/>
    <col min="10" max="16384" width="10.81640625" style="11"/>
  </cols>
  <sheetData>
    <row r="1" spans="2:9" ht="15" thickBot="1" x14ac:dyDescent="0.4">
      <c r="C1" s="12"/>
      <c r="D1" s="12"/>
      <c r="E1" s="12"/>
      <c r="F1" s="12"/>
      <c r="G1" s="12"/>
      <c r="H1" s="12"/>
    </row>
    <row r="2" spans="2:9" ht="22.5" customHeight="1" thickTop="1" x14ac:dyDescent="0.35">
      <c r="B2" s="36"/>
      <c r="C2" s="38" t="s">
        <v>0</v>
      </c>
      <c r="D2" s="38"/>
      <c r="E2" s="38"/>
      <c r="F2" s="38"/>
      <c r="G2" s="38"/>
      <c r="H2" s="38"/>
      <c r="I2" s="6" t="s">
        <v>85</v>
      </c>
    </row>
    <row r="3" spans="2:9" ht="20.25" customHeight="1" x14ac:dyDescent="0.35">
      <c r="B3" s="37"/>
      <c r="C3" s="39"/>
      <c r="D3" s="39"/>
      <c r="E3" s="39"/>
      <c r="F3" s="39"/>
      <c r="G3" s="39"/>
      <c r="H3" s="39"/>
      <c r="I3" s="7" t="s">
        <v>2</v>
      </c>
    </row>
    <row r="4" spans="2:9" ht="21" customHeight="1" thickBot="1" x14ac:dyDescent="0.4">
      <c r="B4" s="40" t="s">
        <v>3</v>
      </c>
      <c r="C4" s="41"/>
      <c r="D4" s="41"/>
      <c r="E4" s="41"/>
      <c r="F4" s="41"/>
      <c r="G4" s="41"/>
      <c r="H4" s="41"/>
      <c r="I4" s="8" t="s">
        <v>86</v>
      </c>
    </row>
    <row r="5" spans="2:9" ht="15.5" thickTop="1" thickBot="1" x14ac:dyDescent="0.4">
      <c r="B5" s="158"/>
      <c r="C5" s="158"/>
      <c r="D5" s="158"/>
      <c r="E5" s="158"/>
      <c r="F5" s="158"/>
      <c r="G5" s="158"/>
      <c r="H5" s="158"/>
      <c r="I5" s="158"/>
    </row>
    <row r="6" spans="2:9" x14ac:dyDescent="0.35">
      <c r="B6" s="159" t="s">
        <v>5</v>
      </c>
      <c r="C6" s="160"/>
      <c r="D6" s="160"/>
      <c r="E6" s="160"/>
      <c r="F6" s="160"/>
      <c r="G6" s="160"/>
      <c r="H6" s="160"/>
      <c r="I6" s="161"/>
    </row>
    <row r="7" spans="2:9" ht="43.5" x14ac:dyDescent="0.35">
      <c r="B7" s="25" t="s">
        <v>6</v>
      </c>
      <c r="C7" s="1">
        <v>2026</v>
      </c>
      <c r="D7" s="2" t="s">
        <v>7</v>
      </c>
      <c r="E7" s="33" t="s">
        <v>133</v>
      </c>
      <c r="F7" s="2" t="s">
        <v>8</v>
      </c>
      <c r="G7" s="1"/>
      <c r="H7" s="2" t="s">
        <v>9</v>
      </c>
      <c r="I7" s="26" t="s">
        <v>87</v>
      </c>
    </row>
    <row r="8" spans="2:9" ht="29" x14ac:dyDescent="0.35">
      <c r="B8" s="25" t="s">
        <v>88</v>
      </c>
      <c r="C8" s="3" t="s">
        <v>19</v>
      </c>
      <c r="D8" s="2" t="s">
        <v>89</v>
      </c>
      <c r="E8" s="3" t="s">
        <v>20</v>
      </c>
      <c r="F8" s="2"/>
      <c r="G8" s="2" t="s">
        <v>90</v>
      </c>
      <c r="H8" s="156"/>
      <c r="I8" s="157"/>
    </row>
    <row r="9" spans="2:9" ht="43.5" x14ac:dyDescent="0.35">
      <c r="B9" s="27" t="s">
        <v>91</v>
      </c>
      <c r="C9" s="24" t="s">
        <v>92</v>
      </c>
      <c r="D9" s="3" t="s">
        <v>65</v>
      </c>
      <c r="E9" s="52" t="s">
        <v>191</v>
      </c>
      <c r="F9" s="52"/>
      <c r="G9" s="2" t="s">
        <v>12</v>
      </c>
      <c r="H9" s="52" t="s">
        <v>192</v>
      </c>
      <c r="I9" s="155"/>
    </row>
    <row r="10" spans="2:9" ht="29.5" thickBot="1" x14ac:dyDescent="0.4">
      <c r="B10" s="28" t="s">
        <v>13</v>
      </c>
      <c r="C10" s="30">
        <v>3</v>
      </c>
      <c r="D10" s="29" t="s">
        <v>14</v>
      </c>
      <c r="E10" s="30">
        <v>54</v>
      </c>
      <c r="F10" s="29" t="s">
        <v>15</v>
      </c>
      <c r="G10" s="30">
        <v>90</v>
      </c>
      <c r="H10" s="29" t="s">
        <v>16</v>
      </c>
      <c r="I10" s="31">
        <f>E10+G10</f>
        <v>144</v>
      </c>
    </row>
    <row r="11" spans="2:9" x14ac:dyDescent="0.35">
      <c r="B11" s="73" t="s">
        <v>95</v>
      </c>
      <c r="C11" s="74"/>
      <c r="D11" s="74"/>
      <c r="E11" s="74"/>
      <c r="F11" s="74"/>
      <c r="G11" s="74"/>
      <c r="H11" s="74"/>
      <c r="I11" s="75"/>
    </row>
    <row r="12" spans="2:9" ht="138" customHeight="1" x14ac:dyDescent="0.35">
      <c r="B12" s="153" t="s">
        <v>96</v>
      </c>
      <c r="C12" s="50"/>
      <c r="D12" s="53" t="s">
        <v>193</v>
      </c>
      <c r="E12" s="54"/>
      <c r="F12" s="54"/>
      <c r="G12" s="54"/>
      <c r="H12" s="54"/>
      <c r="I12" s="154"/>
    </row>
    <row r="13" spans="2:9" ht="54.65" customHeight="1" thickBot="1" x14ac:dyDescent="0.4">
      <c r="B13" s="148" t="s">
        <v>98</v>
      </c>
      <c r="C13" s="149"/>
      <c r="D13" s="150" t="s">
        <v>194</v>
      </c>
      <c r="E13" s="151"/>
      <c r="F13" s="151"/>
      <c r="G13" s="151"/>
      <c r="H13" s="151"/>
      <c r="I13" s="152"/>
    </row>
    <row r="14" spans="2:9" x14ac:dyDescent="0.35">
      <c r="B14" s="73" t="s">
        <v>100</v>
      </c>
      <c r="C14" s="74"/>
      <c r="D14" s="74"/>
      <c r="E14" s="74"/>
      <c r="F14" s="74"/>
      <c r="G14" s="74"/>
      <c r="H14" s="74"/>
      <c r="I14" s="75"/>
    </row>
    <row r="15" spans="2:9" x14ac:dyDescent="0.35">
      <c r="B15" s="116" t="s">
        <v>101</v>
      </c>
      <c r="C15" s="34"/>
      <c r="D15" s="34"/>
      <c r="E15" s="34"/>
      <c r="F15" s="34"/>
      <c r="G15" s="34"/>
      <c r="H15" s="34"/>
      <c r="I15" s="70"/>
    </row>
    <row r="16" spans="2:9" x14ac:dyDescent="0.35">
      <c r="B16" s="116"/>
      <c r="C16" s="34"/>
      <c r="D16" s="34"/>
      <c r="E16" s="34"/>
      <c r="F16" s="34"/>
      <c r="G16" s="34"/>
      <c r="H16" s="34"/>
      <c r="I16" s="70"/>
    </row>
    <row r="17" spans="2:9" ht="15" thickBot="1" x14ac:dyDescent="0.4">
      <c r="B17" s="117"/>
      <c r="C17" s="118"/>
      <c r="D17" s="118"/>
      <c r="E17" s="118"/>
      <c r="F17" s="118"/>
      <c r="G17" s="118"/>
      <c r="H17" s="118"/>
      <c r="I17" s="119"/>
    </row>
    <row r="18" spans="2:9" ht="15" thickBot="1" x14ac:dyDescent="0.4">
      <c r="B18" s="132" t="s">
        <v>102</v>
      </c>
      <c r="C18" s="133"/>
      <c r="D18" s="133"/>
      <c r="E18" s="133"/>
      <c r="F18" s="133"/>
      <c r="G18" s="133"/>
      <c r="H18" s="133"/>
      <c r="I18" s="134"/>
    </row>
    <row r="19" spans="2:9" x14ac:dyDescent="0.35">
      <c r="B19" s="15" t="s">
        <v>103</v>
      </c>
      <c r="C19" s="16" t="s">
        <v>104</v>
      </c>
      <c r="D19" s="15" t="s">
        <v>105</v>
      </c>
      <c r="E19" s="137" t="s">
        <v>106</v>
      </c>
      <c r="F19" s="138"/>
      <c r="G19" s="17" t="s">
        <v>107</v>
      </c>
      <c r="H19" s="135" t="s">
        <v>108</v>
      </c>
      <c r="I19" s="136"/>
    </row>
    <row r="20" spans="2:9" x14ac:dyDescent="0.35">
      <c r="B20" s="129"/>
      <c r="C20" s="109"/>
      <c r="D20" s="120"/>
      <c r="E20" s="121"/>
      <c r="F20" s="122"/>
      <c r="G20" s="164" t="s">
        <v>195</v>
      </c>
      <c r="H20" s="165"/>
      <c r="I20" s="166"/>
    </row>
    <row r="21" spans="2:9" x14ac:dyDescent="0.35">
      <c r="B21" s="130"/>
      <c r="C21" s="112"/>
      <c r="D21" s="123"/>
      <c r="E21" s="124"/>
      <c r="F21" s="125"/>
      <c r="G21" s="167"/>
      <c r="H21" s="168"/>
      <c r="I21" s="169"/>
    </row>
    <row r="22" spans="2:9" x14ac:dyDescent="0.35">
      <c r="B22" s="130"/>
      <c r="C22" s="112"/>
      <c r="D22" s="123"/>
      <c r="E22" s="124"/>
      <c r="F22" s="125"/>
      <c r="G22" s="167"/>
      <c r="H22" s="168"/>
      <c r="I22" s="169"/>
    </row>
    <row r="23" spans="2:9" x14ac:dyDescent="0.35">
      <c r="B23" s="130"/>
      <c r="C23" s="112"/>
      <c r="D23" s="123"/>
      <c r="E23" s="124"/>
      <c r="F23" s="125"/>
      <c r="G23" s="167"/>
      <c r="H23" s="168"/>
      <c r="I23" s="169"/>
    </row>
    <row r="24" spans="2:9" x14ac:dyDescent="0.35">
      <c r="B24" s="130"/>
      <c r="C24" s="112"/>
      <c r="D24" s="123"/>
      <c r="E24" s="124"/>
      <c r="F24" s="125"/>
      <c r="G24" s="167"/>
      <c r="H24" s="168"/>
      <c r="I24" s="169"/>
    </row>
    <row r="25" spans="2:9" x14ac:dyDescent="0.35">
      <c r="B25" s="130"/>
      <c r="C25" s="112"/>
      <c r="D25" s="123"/>
      <c r="E25" s="124"/>
      <c r="F25" s="125"/>
      <c r="G25" s="167"/>
      <c r="H25" s="168"/>
      <c r="I25" s="169"/>
    </row>
    <row r="26" spans="2:9" ht="271.5" customHeight="1" thickBot="1" x14ac:dyDescent="0.4">
      <c r="B26" s="131"/>
      <c r="C26" s="115"/>
      <c r="D26" s="126"/>
      <c r="E26" s="127"/>
      <c r="F26" s="128"/>
      <c r="G26" s="170"/>
      <c r="H26" s="171"/>
      <c r="I26" s="172"/>
    </row>
    <row r="27" spans="2:9" ht="15" thickBot="1" x14ac:dyDescent="0.4">
      <c r="B27" s="77" t="s">
        <v>110</v>
      </c>
      <c r="C27" s="78"/>
      <c r="D27" s="78"/>
      <c r="E27" s="78"/>
      <c r="F27" s="78"/>
      <c r="G27" s="78"/>
      <c r="H27" s="78"/>
      <c r="I27" s="79"/>
    </row>
    <row r="28" spans="2:9" ht="14.5" customHeight="1" x14ac:dyDescent="0.35">
      <c r="B28" s="89" t="s">
        <v>196</v>
      </c>
      <c r="C28" s="90"/>
      <c r="D28" s="90"/>
      <c r="E28" s="90"/>
      <c r="F28" s="90"/>
      <c r="G28" s="90"/>
      <c r="H28" s="90"/>
      <c r="I28" s="91"/>
    </row>
    <row r="29" spans="2:9" x14ac:dyDescent="0.35">
      <c r="B29" s="92"/>
      <c r="C29" s="93"/>
      <c r="D29" s="93"/>
      <c r="E29" s="93"/>
      <c r="F29" s="93"/>
      <c r="G29" s="93"/>
      <c r="H29" s="93"/>
      <c r="I29" s="94"/>
    </row>
    <row r="30" spans="2:9" x14ac:dyDescent="0.35">
      <c r="B30" s="92"/>
      <c r="C30" s="93"/>
      <c r="D30" s="93"/>
      <c r="E30" s="93"/>
      <c r="F30" s="93"/>
      <c r="G30" s="93"/>
      <c r="H30" s="93"/>
      <c r="I30" s="94"/>
    </row>
    <row r="31" spans="2:9" x14ac:dyDescent="0.35">
      <c r="B31" s="92"/>
      <c r="C31" s="93"/>
      <c r="D31" s="93"/>
      <c r="E31" s="93"/>
      <c r="F31" s="93"/>
      <c r="G31" s="93"/>
      <c r="H31" s="93"/>
      <c r="I31" s="94"/>
    </row>
    <row r="32" spans="2:9" ht="102" customHeight="1" thickBot="1" x14ac:dyDescent="0.4">
      <c r="B32" s="95"/>
      <c r="C32" s="96"/>
      <c r="D32" s="96"/>
      <c r="E32" s="96"/>
      <c r="F32" s="96"/>
      <c r="G32" s="96"/>
      <c r="H32" s="96"/>
      <c r="I32" s="97"/>
    </row>
    <row r="33" spans="2:9" ht="143.15" customHeight="1" thickBot="1" x14ac:dyDescent="0.4">
      <c r="B33" s="83" t="s">
        <v>197</v>
      </c>
      <c r="C33" s="84"/>
      <c r="D33" s="84"/>
      <c r="E33" s="85"/>
      <c r="F33" s="86" t="s">
        <v>113</v>
      </c>
      <c r="G33" s="87"/>
      <c r="H33" s="87"/>
      <c r="I33" s="88"/>
    </row>
    <row r="34" spans="2:9" ht="15" thickBot="1" x14ac:dyDescent="0.4">
      <c r="B34" s="80" t="s">
        <v>114</v>
      </c>
      <c r="C34" s="81"/>
      <c r="D34" s="81"/>
      <c r="E34" s="81"/>
      <c r="F34" s="82" t="s">
        <v>84</v>
      </c>
      <c r="G34" s="82"/>
      <c r="H34" s="18" t="s">
        <v>54</v>
      </c>
      <c r="I34" s="19">
        <v>0.2</v>
      </c>
    </row>
    <row r="35" spans="2:9" x14ac:dyDescent="0.35">
      <c r="B35" s="73" t="s">
        <v>115</v>
      </c>
      <c r="C35" s="74"/>
      <c r="D35" s="74"/>
      <c r="E35" s="74"/>
      <c r="F35" s="74"/>
      <c r="G35" s="74"/>
      <c r="H35" s="74"/>
      <c r="I35" s="75"/>
    </row>
    <row r="36" spans="2:9" ht="14.5" customHeight="1" x14ac:dyDescent="0.35">
      <c r="B36" s="98" t="s">
        <v>198</v>
      </c>
      <c r="C36" s="99"/>
      <c r="D36" s="99"/>
      <c r="E36" s="100"/>
      <c r="F36" s="107" t="s">
        <v>199</v>
      </c>
      <c r="G36" s="108"/>
      <c r="H36" s="108"/>
      <c r="I36" s="109"/>
    </row>
    <row r="37" spans="2:9" x14ac:dyDescent="0.35">
      <c r="B37" s="101"/>
      <c r="C37" s="102"/>
      <c r="D37" s="102"/>
      <c r="E37" s="103"/>
      <c r="F37" s="110"/>
      <c r="G37" s="111"/>
      <c r="H37" s="111"/>
      <c r="I37" s="112"/>
    </row>
    <row r="38" spans="2:9" x14ac:dyDescent="0.35">
      <c r="B38" s="101"/>
      <c r="C38" s="102"/>
      <c r="D38" s="102"/>
      <c r="E38" s="103"/>
      <c r="F38" s="110"/>
      <c r="G38" s="111"/>
      <c r="H38" s="111"/>
      <c r="I38" s="112"/>
    </row>
    <row r="39" spans="2:9" x14ac:dyDescent="0.35">
      <c r="B39" s="101"/>
      <c r="C39" s="102"/>
      <c r="D39" s="102"/>
      <c r="E39" s="103"/>
      <c r="F39" s="110"/>
      <c r="G39" s="111"/>
      <c r="H39" s="111"/>
      <c r="I39" s="112"/>
    </row>
    <row r="40" spans="2:9" x14ac:dyDescent="0.35">
      <c r="B40" s="101"/>
      <c r="C40" s="102"/>
      <c r="D40" s="102"/>
      <c r="E40" s="103"/>
      <c r="F40" s="110"/>
      <c r="G40" s="111"/>
      <c r="H40" s="111"/>
      <c r="I40" s="112"/>
    </row>
    <row r="41" spans="2:9" x14ac:dyDescent="0.35">
      <c r="B41" s="101"/>
      <c r="C41" s="102"/>
      <c r="D41" s="102"/>
      <c r="E41" s="103"/>
      <c r="F41" s="110"/>
      <c r="G41" s="111"/>
      <c r="H41" s="111"/>
      <c r="I41" s="112"/>
    </row>
    <row r="42" spans="2:9" ht="342.65" customHeight="1" thickBot="1" x14ac:dyDescent="0.4">
      <c r="B42" s="104"/>
      <c r="C42" s="105"/>
      <c r="D42" s="105"/>
      <c r="E42" s="106"/>
      <c r="F42" s="113"/>
      <c r="G42" s="114"/>
      <c r="H42" s="114"/>
      <c r="I42" s="115"/>
    </row>
    <row r="43" spans="2:9" x14ac:dyDescent="0.35">
      <c r="B43" s="73" t="s">
        <v>118</v>
      </c>
      <c r="C43" s="74"/>
      <c r="D43" s="74"/>
      <c r="E43" s="74"/>
      <c r="F43" s="74"/>
      <c r="G43" s="74"/>
      <c r="H43" s="74"/>
      <c r="I43" s="75"/>
    </row>
    <row r="44" spans="2:9" x14ac:dyDescent="0.35">
      <c r="B44" s="20" t="s">
        <v>59</v>
      </c>
      <c r="C44" s="9" t="s">
        <v>60</v>
      </c>
      <c r="D44" s="9" t="s">
        <v>119</v>
      </c>
      <c r="E44" s="9" t="s">
        <v>62</v>
      </c>
      <c r="F44" s="9" t="s">
        <v>63</v>
      </c>
      <c r="G44" s="35" t="s">
        <v>64</v>
      </c>
      <c r="H44" s="35"/>
      <c r="I44" s="76"/>
    </row>
    <row r="45" spans="2:9" ht="29" x14ac:dyDescent="0.35">
      <c r="B45" s="21">
        <v>1</v>
      </c>
      <c r="C45" s="32">
        <v>46072</v>
      </c>
      <c r="D45" s="10" t="s">
        <v>120</v>
      </c>
      <c r="E45" s="10" t="s">
        <v>121</v>
      </c>
      <c r="F45" s="10" t="s">
        <v>122</v>
      </c>
      <c r="G45" s="34" t="s">
        <v>123</v>
      </c>
      <c r="H45" s="34"/>
      <c r="I45" s="70"/>
    </row>
    <row r="46" spans="2:9" x14ac:dyDescent="0.35">
      <c r="B46" s="21"/>
      <c r="C46" s="10"/>
      <c r="D46" s="10"/>
      <c r="E46" s="10"/>
      <c r="F46" s="10"/>
      <c r="G46" s="34"/>
      <c r="H46" s="34"/>
      <c r="I46" s="70"/>
    </row>
    <row r="47" spans="2:9" x14ac:dyDescent="0.35">
      <c r="B47" s="21"/>
      <c r="C47" s="10"/>
      <c r="D47" s="10"/>
      <c r="E47" s="10"/>
      <c r="F47" s="10"/>
      <c r="G47" s="34"/>
      <c r="H47" s="34"/>
      <c r="I47" s="70"/>
    </row>
    <row r="48" spans="2:9" x14ac:dyDescent="0.35">
      <c r="B48" s="21"/>
      <c r="C48" s="10"/>
      <c r="D48" s="10"/>
      <c r="E48" s="10"/>
      <c r="F48" s="10"/>
      <c r="G48" s="34"/>
      <c r="H48" s="34"/>
      <c r="I48" s="70"/>
    </row>
    <row r="49" spans="2:9" x14ac:dyDescent="0.35">
      <c r="B49" s="21"/>
      <c r="C49" s="10"/>
      <c r="D49" s="10"/>
      <c r="E49" s="10"/>
      <c r="F49" s="10"/>
      <c r="G49" s="34"/>
      <c r="H49" s="34"/>
      <c r="I49" s="70"/>
    </row>
    <row r="50" spans="2:9" ht="15" thickBot="1" x14ac:dyDescent="0.4">
      <c r="B50" s="22"/>
      <c r="C50" s="23"/>
      <c r="D50" s="23"/>
      <c r="E50" s="23"/>
      <c r="F50" s="23"/>
      <c r="G50" s="71"/>
      <c r="H50" s="71"/>
      <c r="I50" s="72"/>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805355F1-59D3-48B6-9C88-1EFFCB299364}">
          <x14:formula1>
            <xm:f>'Conexión ambiental y resilienci'!$G$1:$G$10</xm:f>
          </x14:formula1>
          <xm:sqref>I34</xm:sqref>
        </x14:dataValidation>
        <x14:dataValidation type="list" allowBlank="1" showInputMessage="1" showErrorMessage="1" xr:uid="{FCE7C40E-DF83-4181-B66E-619C1DC47FA0}">
          <x14:formula1>
            <xm:f>'Conexión ambiental y resilienci'!$F$1:$F$5</xm:f>
          </x14:formula1>
          <xm:sqref>F34:G34</xm:sqref>
        </x14:dataValidation>
        <x14:dataValidation type="list" allowBlank="1" showInputMessage="1" showErrorMessage="1" xr:uid="{D3A2A43D-3501-4EB7-8032-56541ABCCAF3}">
          <x14:formula1>
            <xm:f>'Conexión ambiental y resilienci'!$E$1:$E$15</xm:f>
          </x14:formula1>
          <xm:sqref>G10</xm:sqref>
        </x14:dataValidation>
        <x14:dataValidation type="list" allowBlank="1" showInputMessage="1" showErrorMessage="1" xr:uid="{1973D27B-8A79-42EE-A834-3B2334C59164}">
          <x14:formula1>
            <xm:f>'Conexión ambiental y resilienci'!$D$1:$D$15</xm:f>
          </x14:formula1>
          <xm:sqref>E10</xm:sqref>
        </x14:dataValidation>
        <x14:dataValidation type="list" allowBlank="1" showInputMessage="1" showErrorMessage="1" xr:uid="{66ADB5C0-BF0F-4E4C-A8D1-B517A70DDFE3}">
          <x14:formula1>
            <xm:f>'Conexión ambiental y resilienci'!$C$1:$C$6</xm:f>
          </x14:formula1>
          <xm:sqref>C10</xm:sqref>
        </x14:dataValidation>
        <x14:dataValidation type="list" allowBlank="1" showInputMessage="1" showErrorMessage="1" xr:uid="{5BDD434C-D5B0-45CF-B533-D91E372C0F1B}">
          <x14:formula1>
            <xm:f>'Conexión ambiental y resilienci'!$H$1:$H$2</xm:f>
          </x14:formula1>
          <xm:sqref>C9</xm:sqref>
        </x14:dataValidation>
        <x14:dataValidation type="list" allowBlank="1" showInputMessage="1" showErrorMessage="1" xr:uid="{AB033966-C2D1-44C6-BB27-EEAC2C5BC02D}">
          <x14:formula1>
            <xm:f>'Conexión ambiental y resilienci'!$A$1:$A$5</xm:f>
          </x14:formula1>
          <xm:sqref>I7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Formato Syllabus</vt:lpstr>
      <vt:lpstr>Formato Syllabus_NV</vt:lpstr>
      <vt:lpstr>SosTECnibilidad 360</vt:lpstr>
      <vt:lpstr>Conexión ambiental y resilienci</vt:lpstr>
      <vt:lpstr>Accion climática</vt:lpstr>
      <vt:lpstr>Calidad del aire</vt:lpstr>
      <vt:lpstr>Ecología regenerativa y transfo</vt:lpstr>
      <vt:lpstr>Gestión del territorio y del su</vt:lpstr>
      <vt:lpstr>Gestion de la sostenibilidad</vt:lpstr>
      <vt:lpstr>Gestion del recurso hídrico</vt:lpstr>
      <vt:lpstr>Mecánica de fluidos</vt:lpstr>
      <vt:lpstr>Tecnologías geoespaciales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MANUEL MEDINA BARRERA</cp:lastModifiedBy>
  <cp:revision/>
  <dcterms:created xsi:type="dcterms:W3CDTF">2025-08-27T15:39:23Z</dcterms:created>
  <dcterms:modified xsi:type="dcterms:W3CDTF">2026-02-23T20:09:50Z</dcterms:modified>
  <cp:category/>
  <cp:contentStatus/>
</cp:coreProperties>
</file>