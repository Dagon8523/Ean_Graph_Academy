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2000413 INGENIERIA INDUSTRIAL -PFVINIBOG001\Syllabus\2026 S1\Nuevo formato - II\"/>
    </mc:Choice>
  </mc:AlternateContent>
  <xr:revisionPtr revIDLastSave="5" documentId="13_ncr:1_{A3B38EC9-EA73-4F99-8B06-BBC802928C9E}" xr6:coauthVersionLast="47" xr6:coauthVersionMax="47" xr10:uidLastSave="{0726F478-EFDE-48FC-96E3-8A43E137C1E4}"/>
  <bookViews>
    <workbookView xWindow="-120" yWindow="-120" windowWidth="20730" windowHeight="11040" firstSheet="2" activeTab="3"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5" l="1"/>
  <c r="E30" i="5" s="1"/>
  <c r="F36" i="4" s="1"/>
  <c r="D29" i="5"/>
  <c r="E29" i="5" s="1"/>
  <c r="B36" i="4" s="1"/>
  <c r="D36" i="5"/>
  <c r="G45" i="4" s="1"/>
  <c r="F45" i="4"/>
  <c r="D15" i="5"/>
  <c r="F15" i="5" s="1"/>
  <c r="F8" i="4" s="1"/>
  <c r="G23" i="5"/>
  <c r="G20" i="4" s="1"/>
  <c r="F23" i="5"/>
  <c r="D20" i="4" s="1"/>
  <c r="E23" i="5"/>
  <c r="B20" i="4" s="1"/>
  <c r="D34" i="5"/>
  <c r="E45" i="4" s="1"/>
  <c r="D33" i="5"/>
  <c r="D45" i="4" s="1"/>
  <c r="D32" i="5"/>
  <c r="C45" i="4" s="1"/>
  <c r="D31" i="5"/>
  <c r="D28" i="5"/>
  <c r="I34" i="4" s="1"/>
  <c r="D27" i="5"/>
  <c r="D26" i="5"/>
  <c r="F33" i="4" s="1"/>
  <c r="D25" i="5"/>
  <c r="B28" i="4" s="1"/>
  <c r="G7" i="4"/>
  <c r="E7" i="4"/>
  <c r="D17" i="5"/>
  <c r="D12" i="4" s="1"/>
  <c r="D18" i="5"/>
  <c r="D19" i="5"/>
  <c r="D13" i="5"/>
  <c r="G10" i="4" s="1"/>
  <c r="D14" i="5"/>
  <c r="D16" i="5"/>
  <c r="D12" i="5"/>
  <c r="E10" i="4" s="1"/>
  <c r="D10" i="5"/>
  <c r="H9" i="4" s="1"/>
  <c r="D9" i="5"/>
  <c r="E9" i="4" s="1"/>
  <c r="D8" i="5"/>
  <c r="D7" i="5"/>
  <c r="I7" i="4" s="1"/>
  <c r="C10" i="4"/>
  <c r="C7" i="4"/>
  <c r="I9" i="3"/>
  <c r="I9" i="1"/>
  <c r="E15" i="5" l="1"/>
  <c r="D8" i="4" s="1"/>
  <c r="I10" i="4"/>
</calcChain>
</file>

<file path=xl/sharedStrings.xml><?xml version="1.0" encoding="utf-8"?>
<sst xmlns="http://schemas.openxmlformats.org/spreadsheetml/2006/main" count="266" uniqueCount="166">
  <si>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</si>
  <si>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</si>
  <si>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</si>
  <si>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</si>
  <si>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</si>
  <si>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</si>
  <si>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</si>
  <si>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</si>
  <si>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</si>
  <si>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</si>
  <si>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</si>
  <si>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</si>
  <si>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</si>
  <si>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</si>
  <si>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</si>
  <si>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</si>
  <si>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</si>
  <si>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</si>
  <si>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</si>
  <si>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</si>
  <si>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</si>
  <si>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</si>
  <si>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</si>
  <si>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</si>
  <si>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</si>
  <si>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</si>
  <si>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</si>
  <si>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</si>
  <si>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</si>
  <si>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</si>
  <si>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</si>
  <si>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</si>
  <si>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</si>
  <si>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</si>
  <si>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</si>
  <si>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</si>
  <si>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</si>
  <si>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</si>
  <si>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</si>
  <si>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</si>
  <si>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</si>
  <si>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</si>
  <si>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</si>
  <si>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</si>
  <si>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</si>
  <si>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</si>
  <si>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</si>
  <si>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</si>
  <si>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</si>
  <si>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</si>
  <si>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</si>
  <si>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</si>
  <si>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</si>
  <si>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</si>
  <si>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</si>
  <si>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</si>
  <si>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</si>
  <si>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</si>
  <si>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</si>
  <si>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</si>
  <si>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</si>
  <si>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</si>
  <si>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</si>
  <si>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</si>
  <si>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</si>
  <si>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</si>
  <si>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</si>
  <si>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</si>
  <si>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</si>
  <si>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</si>
  <si>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</si>
  <si>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</si>
  <si>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</si>
  <si>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</si>
  <si>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</si>
  <si>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</si>
  <si>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</si>
  <si>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</si>
  <si>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</si>
  <si>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</si>
  <si>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</si>
  <si>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</si>
  <si>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</si>
  <si>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</si>
  <si>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</si>
  <si>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Información Extraída</t>
  </si>
  <si>
    <t>PFVINIBOG002</t>
  </si>
  <si>
    <t>IFVN0022</t>
  </si>
  <si>
    <t>Nuclear</t>
  </si>
  <si>
    <t>Facultad de Ingeniería</t>
  </si>
  <si>
    <t>Ingeniería Industrial</t>
  </si>
  <si>
    <t>Nombre Unidad de estudios</t>
  </si>
  <si>
    <t>Estrategias de sostenibilidad económica</t>
  </si>
  <si>
    <t>Modalidad (Presencial / Virtual)</t>
  </si>
  <si>
    <t>Metodología (PAT / In Situ / Híbrida)</t>
  </si>
  <si>
    <t>Aprendizaje basado en retos, Aprendizaje basado en proyectos, Aprendizaje basado en caso de estudio, Aprendizaje experiencial, Aprendizaje basado en problemas, Aprendizaje basado en investigación</t>
  </si>
  <si>
    <t>El curso integra economía y finanzas para fortalecer la capacidad del ingeniero industrial de analizar, diseñar y tomar decisiones económicas y financieras que garanticen la sostenibilidad empresarial. A partir de la teoría de la firma, los estudiantes comprenderán el funcionamiento de los mercados, los costos, la estructura competitiva y el rol del Estado; y mediante herramientas financieras evaluarán el desempeño económico, la viabilidad de inversiones y la sostenibilidad de largo plazo de las organizaciones.</t>
  </si>
  <si>
    <t>No se especifica un texto único, pero se enfoca en determinar estrategias centradas en la eficiencia, sostenibilidad y viabilidad económica.</t>
  </si>
  <si>
    <t>Resultado de Aprendizaje de Programa</t>
  </si>
  <si>
    <t>No se explicita como ítem separado, pero se orienta a la evaluación del desempeño económico y viabilidad de inversiones de largo plazo.</t>
  </si>
  <si>
    <t>Resultado de Aprendizaje de la Unidad de Estudio</t>
  </si>
  <si>
    <t>Aplica los fundamentos de micro y macroeconomía, junto con herramientas financieras, para determinar estrategias centradas en la eficiencia, la sostenibilidad y la viabilidad económica de la organización.</t>
  </si>
  <si>
    <t>Criterios de evaluación (1, 2, 3, 4)</t>
  </si>
  <si>
    <t>1. Comprensión de las estrategias financieras. 2. Aplicación de las estrategias económicas. 3. Análisis de la eficiencia de la empresa. 4. Propuesta de mejoras para la sostenibilidad. 5. Evaluación del impacto económico.</t>
  </si>
  <si>
    <t>Competencias del modelo educativo (EM, SH, IN, COM, SO, AA, SE, COL, DI)</t>
  </si>
  <si>
    <t>EM, SH, IN, CO, SO, AU, SE, COL, DI.</t>
  </si>
  <si>
    <t>Contenidos de la Unidad de estudio</t>
  </si>
  <si>
    <t>9 Semanas</t>
  </si>
  <si>
    <t>Módulo 1: Economía y Teoría de la Firma para la sostenibilidad 1. Conceptos fundamentales de microeconomía y teoría de la firma: Oferta, demanda, elasticidades, costos, ingresos, equilibrio de la empresa. Eficiencia económica y productiva. 2. Estructuras de mercado y estrategia competitiva: Competencia perfecta, monopolio, oligopolio. Poder de mercado y fallas de mercado. 3. Macroeconomía aplicada a la empresa: PIB, inflación, desempleo, Política monetaria y fiscal, Ciclos económicos y efectos sobre la sostenibilidad. 4. Relación empresa–entorno económico: Regulación. Riesgos macroeconómicos. Externalidades y sostenibilidad. Módulo 2: Finanzas corporativas y análisis financiero 1. Estados financieros y su lectura estratégica. 2. Análisis de razones financieras: Liquidez, rentabilidad, endeudamiento, eficiencia. 3. Herramientas de análisis financiero: Excel, software especializado. 4. Benchmarking financiero y análisis sectorial. 5. Diagnóstico financiero para la sostenibilidad. Módulo 3: Evaluación financiera de proyectos y planeación estratégica sostenible 1. Valor del dinero en el tiempo. 2. Métodos de evaluación de proyectos: VAN, TIR, Payback. Análisis de sensibilidad y escenarios. 3. Evaluación sostenible de inversiones: Criterios ambientales, sociales y de gobernanza (ESG). 4. Gestión del flujo de caja y presupuestos. 5. Análisis de punto de equilibrio. 6. Financiamiento corporativo y costo de capital. 7. Planificación financiera estratégica a largo plazo.</t>
  </si>
  <si>
    <t>Estrategias Pedagógicas</t>
  </si>
  <si>
    <t>Aprendizaje basado en problemas, estudio de casos reales, análisis de datos reales de indicadores económicos, simulaciones, foros de discusión y debates guiados, presentación de resultados, talleres prácticos en Excel y software especializado, ejercicios de benchmarking sectorial, diagnósticos financieros aplicados, proyecto de evaluación de inversión sostenible con modelos financieros (VAN, TIR, flujo de caja, sensibilidad) y criterios ESG, talleres de planificación financiera, análisis de escenarios, mentorías.</t>
  </si>
  <si>
    <t>Esquema de Calificación</t>
  </si>
  <si>
    <t>Guía (Fase) 1: 10%; Guía (Fase) 2: 15%; Guía (Fase) 3: 15%; Proyecto: 10%; Prueba en línea (G1, G2, G3): 30%; Encuentro final: 10%; Pruebas objetivas: 10%.</t>
  </si>
  <si>
    <t>Plataforma LMS (Canvas), Excel, software de análisis financiero (Stata, SPSS), bases de datos financieras (Bloomberg, Reuters).</t>
  </si>
  <si>
    <t>Componente de Lengua Extranjera</t>
  </si>
  <si>
    <t>Ingles</t>
  </si>
  <si>
    <t>Mankiw, N. G. (2020). Principios de economía. Con casos y aplicaciones para América Latina. Cengage Learning. https://www-ebooks7-24-com.bdbiblioteca.universidadean.edu.co/?il=10764 Parkin Michael. (2023). Macroeconomics. Pearson Education. https://www-ebooks7-24-com.bdbiblioteca.universidadean.edu.co/?il=19902 Parkin, Michael. (2023). Microeconomics. Pearson Educación. https://www-ebooks7-24-com.bdbiblioteca.universidadean.edu.co/?il=19903 Anaya Ortiz, H. (2019). Finanzas básicas para no financieros. Cengage Learning. https://www-ebooks7-24-com.bdbiblioteca.universidadean.edu.co/?il=9978 Ross, S. A. (2022). Fundamentos de finanzas corporativas. McGraw-Hill Interamericana. https://www-ebooks7-24-com.bdbiblioteca.universidadean.edu.co/?il=22468 Brealey, R. A., Myers, S. C., &amp; Allen, F. (2011). Principios de finanzas corporativas. McGraw-Hill. Córdoba Padilla, M. (2014). Análisis financiero. Ecoe Ediciones. Scarfó, E., Vélez-Pareja, I., Sandoval-Llanos, J., Castilla-Ávila, P., Ortiz, D., &amp; Merlo, M. (2022). Análisis Financiero Integral : teoría y práctica (1a edición.). Alpha editorial. Jiménez Carabalí, V. J. (2025). Ingeniería económica para la toma de decisiones. Ediciones de la U. https://www-ebooks7-24-com.bdbiblioteca.universidadean.edu.co/?il=43448</t>
  </si>
  <si>
    <t>Damodaran, A. (2012). Valoración: La herramienta fundamental para la toma de decisiones financieras. McGraw-Hill. González, M., Guzmán Vásquez, A., &amp; Trujillo Dávila, M. A. (2020). Gerencia financiera basada en valor: hacia un proceso sistemático para la toma de decisiones financieras. Chu Rubio, M. (2018). Finanzas para no financieros (5a edición). Ediciones de la U. Sapag Chain, N. (2011). Proyectos de inversión: formulación y evaluación (2a ed.). Pearson.</t>
  </si>
  <si>
    <t>Número de versión</t>
  </si>
  <si>
    <t>Elaboró</t>
  </si>
  <si>
    <t>DIANA FIGUEROA</t>
  </si>
  <si>
    <t>JOSE DIVITT VELOSA</t>
  </si>
  <si>
    <t>Jose Divitt Velosa</t>
  </si>
  <si>
    <t>JEFFREY LEÓN</t>
  </si>
  <si>
    <t>CONTENIDO Y BIBLIOGRAFÍA</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</si>
  <si>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</si>
  <si>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</si>
  <si>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</si>
  <si>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</si>
  <si>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</si>
  <si>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</si>
  <si>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</si>
  <si>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</si>
  <si>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</si>
  <si>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 xml:space="preserve">Estructura sistemas de gestión de operación y logística, para la producción de bienes o servicios  mediante las  prácticas analíticas, computacionales y experimentales apropiadas, de manera eficaz, eficiente, sostenible y socialmente responsable.
Analiza las implicaciones éticas de las decisiones tomadas en su actividad profesional de conformidad con los códigos de ética, los lineamientos legales y el compromiso con la sociedad.
Desarrolla  procesos de optimización para mejorar la productividad de las empresas a través  de herramientas de investigación de operaciones, probabilidad, estadística, economía de la ingeniería y factores humanos.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</si>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</sst>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9" fillId="0" borderId="60" xfId="0" applyFont="1" applyBorder="1" applyAlignment="1">
      <alignment vertical="center" wrapText="1"/>
    </xf>
    <xf numFmtId="0" fontId="0" fillId="5" borderId="0" xfId="0" applyFill="1" applyAlignment="1">
      <alignment vertical="top"/>
    </xf>
    <xf numFmtId="0" fontId="0" fillId="0" borderId="0" xfId="0" applyAlignment="1">
      <alignment vertical="center"/>
    </xf>
    <xf numFmtId="0" fontId="0" fillId="0" borderId="1" xfId="0" applyBorder="1" applyAlignment="1">
      <alignment vertical="center"/>
    </xf>
    <xf numFmtId="0" fontId="0" fillId="4" borderId="1" xfId="0" applyFill="1" applyBorder="1" applyAlignment="1">
      <alignment vertical="center"/>
    </xf>
    <xf numFmtId="9" fontId="9" fillId="0" borderId="60" xfId="0" applyNumberFormat="1"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center" wrapText="1"/>
    </xf>
    <xf numFmtId="0" fontId="0" fillId="0" borderId="17"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1"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60"/>
      <c r="C2" s="62" t="s">
        <v>0</v>
      </c>
      <c r="D2" s="62"/>
      <c r="E2" s="62"/>
      <c r="F2" s="62"/>
      <c r="G2" s="62"/>
      <c r="H2" s="62"/>
      <c r="I2" s="6" t="s">
        <v>1</v>
      </c>
    </row>
    <row r="3" spans="2:9" ht="20.25" customHeight="1">
      <c r="B3" s="61"/>
      <c r="C3" s="63"/>
      <c r="D3" s="63"/>
      <c r="E3" s="63"/>
      <c r="F3" s="63"/>
      <c r="G3" s="63"/>
      <c r="H3" s="63"/>
      <c r="I3" s="7" t="s">
        <v>2</v>
      </c>
    </row>
    <row r="4" spans="2:9" ht="21" customHeight="1" thickBot="1">
      <c r="B4" s="64" t="s">
        <v>3</v>
      </c>
      <c r="C4" s="65"/>
      <c r="D4" s="65"/>
      <c r="E4" s="65"/>
      <c r="F4" s="65"/>
      <c r="G4" s="65"/>
      <c r="H4" s="65"/>
      <c r="I4" s="8" t="s">
        <v>4</v>
      </c>
    </row>
    <row r="5" spans="2:9" ht="15.75" thickTop="1">
      <c r="B5" s="69"/>
      <c r="C5" s="69"/>
      <c r="D5" s="69"/>
      <c r="E5" s="69"/>
      <c r="F5" s="69"/>
      <c r="G5" s="69"/>
      <c r="H5" s="69"/>
      <c r="I5" s="69"/>
    </row>
    <row r="6" spans="2:9">
      <c r="B6" s="69" t="s">
        <v>5</v>
      </c>
      <c r="C6" s="69"/>
      <c r="D6" s="69"/>
      <c r="E6" s="69"/>
      <c r="F6" s="69"/>
      <c r="G6" s="69"/>
      <c r="H6" s="69"/>
      <c r="I6" s="69"/>
    </row>
    <row r="7" spans="2:9" ht="60">
      <c r="B7" s="3" t="s">
        <v>6</v>
      </c>
      <c r="C7" s="1"/>
      <c r="D7" s="2" t="s">
        <v>7</v>
      </c>
      <c r="E7" s="1"/>
      <c r="F7" s="2" t="s">
        <v>8</v>
      </c>
      <c r="G7" s="1"/>
      <c r="H7" s="2" t="s">
        <v>9</v>
      </c>
      <c r="I7" s="1"/>
    </row>
    <row r="8" spans="2:9" ht="45">
      <c r="B8" s="2" t="s">
        <v>10</v>
      </c>
      <c r="C8" s="1"/>
      <c r="D8" s="3" t="s">
        <v>11</v>
      </c>
      <c r="E8" s="76"/>
      <c r="F8" s="76"/>
      <c r="G8" s="2" t="s">
        <v>12</v>
      </c>
      <c r="H8" s="76"/>
      <c r="I8" s="76"/>
    </row>
    <row r="9" spans="2:9" ht="30">
      <c r="B9" s="2" t="s">
        <v>13</v>
      </c>
      <c r="C9" s="5"/>
      <c r="D9" s="2" t="s">
        <v>14</v>
      </c>
      <c r="E9" s="5"/>
      <c r="F9" s="2" t="s">
        <v>15</v>
      </c>
      <c r="G9" s="5"/>
      <c r="H9" s="2" t="s">
        <v>16</v>
      </c>
      <c r="I9" s="5">
        <f>E9+G9</f>
        <v>0</v>
      </c>
    </row>
    <row r="10" spans="2:9">
      <c r="B10" s="75" t="s">
        <v>17</v>
      </c>
      <c r="C10" s="59"/>
      <c r="D10" s="59"/>
      <c r="E10" s="59"/>
      <c r="F10" s="59"/>
      <c r="G10" s="59"/>
      <c r="H10" s="59"/>
      <c r="I10" s="59"/>
    </row>
    <row r="11" spans="2:9">
      <c r="B11" s="75" t="s">
        <v>18</v>
      </c>
      <c r="C11" s="75"/>
      <c r="D11" s="69" t="s">
        <v>19</v>
      </c>
      <c r="E11" s="70"/>
      <c r="F11" s="70"/>
      <c r="G11" s="69" t="s">
        <v>20</v>
      </c>
      <c r="H11" s="70"/>
      <c r="I11" s="70"/>
    </row>
    <row r="12" spans="2:9">
      <c r="B12" s="75"/>
      <c r="C12" s="75"/>
      <c r="D12" s="69"/>
      <c r="E12" s="70"/>
      <c r="F12" s="70"/>
      <c r="G12" s="69"/>
      <c r="H12" s="70"/>
      <c r="I12" s="70"/>
    </row>
    <row r="13" spans="2:9">
      <c r="B13" s="59" t="s">
        <v>21</v>
      </c>
      <c r="C13" s="59"/>
      <c r="D13" s="59"/>
      <c r="E13" s="59"/>
      <c r="F13" s="59"/>
      <c r="G13" s="59"/>
      <c r="H13" s="59"/>
      <c r="I13" s="59"/>
    </row>
    <row r="14" spans="2:9">
      <c r="B14" s="3" t="s">
        <v>22</v>
      </c>
      <c r="C14" s="76"/>
      <c r="D14" s="76"/>
      <c r="E14" s="3" t="s">
        <v>23</v>
      </c>
      <c r="F14" s="1"/>
      <c r="G14" s="3" t="s">
        <v>24</v>
      </c>
      <c r="H14" s="76"/>
      <c r="I14" s="76"/>
    </row>
    <row r="15" spans="2:9">
      <c r="B15" s="59" t="s">
        <v>25</v>
      </c>
      <c r="C15" s="59"/>
      <c r="D15" s="59"/>
      <c r="E15" s="59"/>
      <c r="F15" s="59"/>
      <c r="G15" s="59"/>
      <c r="H15" s="59"/>
      <c r="I15" s="59"/>
    </row>
    <row r="16" spans="2:9">
      <c r="B16" s="75" t="s">
        <v>26</v>
      </c>
      <c r="C16" s="75"/>
      <c r="D16" s="70"/>
      <c r="E16" s="70"/>
      <c r="F16" s="70"/>
      <c r="G16" s="70"/>
      <c r="H16" s="70"/>
      <c r="I16" s="70"/>
    </row>
    <row r="17" spans="2:9">
      <c r="B17" s="75"/>
      <c r="C17" s="75"/>
      <c r="D17" s="70"/>
      <c r="E17" s="70"/>
      <c r="F17" s="70"/>
      <c r="G17" s="70"/>
      <c r="H17" s="70"/>
      <c r="I17" s="70"/>
    </row>
    <row r="18" spans="2:9">
      <c r="B18" s="73" t="s">
        <v>27</v>
      </c>
      <c r="C18" s="74"/>
      <c r="D18" s="70"/>
      <c r="E18" s="70"/>
      <c r="F18" s="70"/>
      <c r="G18" s="70"/>
      <c r="H18" s="70"/>
      <c r="I18" s="70"/>
    </row>
    <row r="19" spans="2:9">
      <c r="B19" s="75" t="s">
        <v>28</v>
      </c>
      <c r="C19" s="75"/>
      <c r="D19" s="70"/>
      <c r="E19" s="70"/>
      <c r="F19" s="70"/>
      <c r="G19" s="70"/>
      <c r="H19" s="70"/>
      <c r="I19" s="70"/>
    </row>
    <row r="20" spans="2:9">
      <c r="B20" s="75"/>
      <c r="C20" s="75"/>
      <c r="D20" s="70"/>
      <c r="E20" s="70"/>
      <c r="F20" s="70"/>
      <c r="G20" s="70"/>
      <c r="H20" s="70"/>
      <c r="I20" s="70"/>
    </row>
    <row r="21" spans="2:9">
      <c r="B21" s="75" t="s">
        <v>29</v>
      </c>
      <c r="C21" s="75"/>
      <c r="D21" s="70"/>
      <c r="E21" s="70"/>
      <c r="F21" s="70"/>
      <c r="G21" s="70"/>
      <c r="H21" s="70"/>
      <c r="I21" s="70"/>
    </row>
    <row r="22" spans="2:9">
      <c r="B22" s="75"/>
      <c r="C22" s="75"/>
      <c r="D22" s="70"/>
      <c r="E22" s="70"/>
      <c r="F22" s="70"/>
      <c r="G22" s="70"/>
      <c r="H22" s="70"/>
      <c r="I22" s="70"/>
    </row>
    <row r="23" spans="2:9">
      <c r="B23" s="69" t="s">
        <v>30</v>
      </c>
      <c r="C23" s="69"/>
      <c r="D23" s="70" t="s">
        <v>31</v>
      </c>
      <c r="E23" s="70"/>
      <c r="F23" s="70"/>
      <c r="G23" s="70"/>
      <c r="H23" s="70"/>
      <c r="I23" s="70"/>
    </row>
    <row r="24" spans="2:9">
      <c r="B24" s="69"/>
      <c r="C24" s="69"/>
      <c r="D24" s="70" t="s">
        <v>32</v>
      </c>
      <c r="E24" s="70"/>
      <c r="F24" s="70"/>
      <c r="G24" s="70"/>
      <c r="H24" s="70"/>
      <c r="I24" s="70"/>
    </row>
    <row r="25" spans="2:9">
      <c r="B25" s="69"/>
      <c r="C25" s="69"/>
      <c r="D25" s="70" t="s">
        <v>33</v>
      </c>
      <c r="E25" s="70"/>
      <c r="F25" s="70"/>
      <c r="G25" s="70"/>
      <c r="H25" s="70"/>
      <c r="I25" s="70"/>
    </row>
    <row r="26" spans="2:9">
      <c r="B26" s="69"/>
      <c r="C26" s="69"/>
      <c r="D26" s="70" t="s">
        <v>34</v>
      </c>
      <c r="E26" s="70"/>
      <c r="F26" s="70"/>
      <c r="G26" s="70"/>
      <c r="H26" s="70"/>
      <c r="I26" s="70"/>
    </row>
    <row r="27" spans="2:9">
      <c r="B27" s="71" t="s">
        <v>35</v>
      </c>
      <c r="C27" s="71"/>
      <c r="D27" s="3" t="s">
        <v>36</v>
      </c>
      <c r="E27" s="1"/>
      <c r="F27" s="3" t="s">
        <v>37</v>
      </c>
      <c r="G27" s="1"/>
      <c r="H27" s="3" t="s">
        <v>38</v>
      </c>
      <c r="I27" s="1"/>
    </row>
    <row r="28" spans="2:9">
      <c r="B28" s="71"/>
      <c r="C28" s="71"/>
      <c r="D28" s="4" t="s">
        <v>39</v>
      </c>
      <c r="E28" s="1"/>
      <c r="F28" s="3" t="s">
        <v>40</v>
      </c>
      <c r="G28" s="1"/>
      <c r="H28" s="3" t="s">
        <v>41</v>
      </c>
      <c r="I28" s="1"/>
    </row>
    <row r="29" spans="2:9">
      <c r="B29" s="71"/>
      <c r="C29" s="71"/>
      <c r="D29" s="3" t="s">
        <v>42</v>
      </c>
      <c r="E29" s="1"/>
      <c r="F29" s="3" t="s">
        <v>43</v>
      </c>
      <c r="G29" s="1"/>
      <c r="H29" s="3" t="s">
        <v>44</v>
      </c>
      <c r="I29" s="1"/>
    </row>
    <row r="30" spans="2:9">
      <c r="B30" s="72" t="s">
        <v>45</v>
      </c>
      <c r="C30" s="72"/>
      <c r="D30" s="72"/>
      <c r="E30" s="72"/>
      <c r="F30" s="72"/>
      <c r="G30" s="72"/>
      <c r="H30" s="72"/>
      <c r="I30" s="72"/>
    </row>
    <row r="31" spans="2:9">
      <c r="B31" s="72"/>
      <c r="C31" s="72"/>
      <c r="D31" s="72"/>
      <c r="E31" s="72"/>
      <c r="F31" s="72"/>
      <c r="G31" s="72"/>
      <c r="H31" s="72"/>
      <c r="I31" s="72"/>
    </row>
    <row r="32" spans="2:9">
      <c r="B32" s="72"/>
      <c r="C32" s="72"/>
      <c r="D32" s="72"/>
      <c r="E32" s="72"/>
      <c r="F32" s="72"/>
      <c r="G32" s="72"/>
      <c r="H32" s="72"/>
      <c r="I32" s="72"/>
    </row>
    <row r="33" spans="2:9">
      <c r="B33" s="72"/>
      <c r="C33" s="72"/>
      <c r="D33" s="72"/>
      <c r="E33" s="72"/>
      <c r="F33" s="72"/>
      <c r="G33" s="72"/>
      <c r="H33" s="72"/>
      <c r="I33" s="72"/>
    </row>
    <row r="34" spans="2:9">
      <c r="B34" s="72"/>
      <c r="C34" s="72"/>
      <c r="D34" s="72"/>
      <c r="E34" s="72"/>
      <c r="F34" s="72"/>
      <c r="G34" s="72"/>
      <c r="H34" s="72"/>
      <c r="I34" s="72"/>
    </row>
    <row r="35" spans="2:9">
      <c r="B35" s="59" t="s">
        <v>46</v>
      </c>
      <c r="C35" s="59"/>
      <c r="D35" s="59"/>
      <c r="E35" s="59"/>
      <c r="F35" s="59"/>
      <c r="G35" s="59"/>
      <c r="H35" s="59"/>
      <c r="I35" s="59"/>
    </row>
    <row r="36" spans="2:9">
      <c r="B36" s="58" t="s">
        <v>47</v>
      </c>
      <c r="C36" s="58"/>
      <c r="D36" s="58"/>
      <c r="E36" s="58"/>
      <c r="F36" s="58"/>
      <c r="G36" s="58"/>
      <c r="H36" s="58"/>
      <c r="I36" s="58"/>
    </row>
    <row r="37" spans="2:9">
      <c r="B37" s="58"/>
      <c r="C37" s="58"/>
      <c r="D37" s="58"/>
      <c r="E37" s="58"/>
      <c r="F37" s="58"/>
      <c r="G37" s="58"/>
      <c r="H37" s="58"/>
      <c r="I37" s="58"/>
    </row>
    <row r="38" spans="2:9">
      <c r="B38" s="58"/>
      <c r="C38" s="58"/>
      <c r="D38" s="58"/>
      <c r="E38" s="58"/>
      <c r="F38" s="58"/>
      <c r="G38" s="58"/>
      <c r="H38" s="58"/>
      <c r="I38" s="58"/>
    </row>
    <row r="39" spans="2:9">
      <c r="B39" s="66" t="s">
        <v>48</v>
      </c>
      <c r="C39" s="66"/>
      <c r="D39" s="66"/>
      <c r="E39" s="66"/>
      <c r="F39" s="66" t="s">
        <v>49</v>
      </c>
      <c r="G39" s="66"/>
      <c r="H39" s="66"/>
      <c r="I39" s="66"/>
    </row>
    <row r="40" spans="2:9">
      <c r="B40" s="66"/>
      <c r="C40" s="66"/>
      <c r="D40" s="66"/>
      <c r="E40" s="66"/>
      <c r="F40" s="66"/>
      <c r="G40" s="66"/>
      <c r="H40" s="66"/>
      <c r="I40" s="66"/>
    </row>
    <row r="41" spans="2:9">
      <c r="B41" s="66"/>
      <c r="C41" s="66"/>
      <c r="D41" s="66"/>
      <c r="E41" s="66"/>
      <c r="F41" s="66"/>
      <c r="G41" s="66"/>
      <c r="H41" s="66"/>
      <c r="I41" s="66"/>
    </row>
    <row r="42" spans="2:9">
      <c r="B42" s="66"/>
      <c r="C42" s="66"/>
      <c r="D42" s="66"/>
      <c r="E42" s="66"/>
      <c r="F42" s="66"/>
      <c r="G42" s="66"/>
      <c r="H42" s="66"/>
      <c r="I42" s="66"/>
    </row>
    <row r="43" spans="2:9">
      <c r="B43" s="66"/>
      <c r="C43" s="66"/>
      <c r="D43" s="66"/>
      <c r="E43" s="66"/>
      <c r="F43" s="66"/>
      <c r="G43" s="66"/>
      <c r="H43" s="66"/>
      <c r="I43" s="66"/>
    </row>
    <row r="44" spans="2:9">
      <c r="B44" s="66"/>
      <c r="C44" s="66"/>
      <c r="D44" s="66"/>
      <c r="E44" s="66"/>
      <c r="F44" s="66"/>
      <c r="G44" s="66"/>
      <c r="H44" s="66"/>
      <c r="I44" s="66"/>
    </row>
    <row r="45" spans="2:9">
      <c r="B45" s="66"/>
      <c r="C45" s="66"/>
      <c r="D45" s="66"/>
      <c r="E45" s="66"/>
      <c r="F45" s="66"/>
      <c r="G45" s="66"/>
      <c r="H45" s="66"/>
      <c r="I45" s="66"/>
    </row>
    <row r="46" spans="2:9">
      <c r="B46" s="66"/>
      <c r="C46" s="66"/>
      <c r="D46" s="66"/>
      <c r="E46" s="66"/>
      <c r="F46" s="66"/>
      <c r="G46" s="66"/>
      <c r="H46" s="66"/>
      <c r="I46" s="66"/>
    </row>
    <row r="47" spans="2:9">
      <c r="B47" s="66"/>
      <c r="C47" s="66"/>
      <c r="D47" s="66"/>
      <c r="E47" s="66"/>
      <c r="F47" s="66"/>
      <c r="G47" s="66"/>
      <c r="H47" s="66"/>
      <c r="I47" s="66"/>
    </row>
    <row r="48" spans="2:9">
      <c r="B48" s="59" t="s">
        <v>50</v>
      </c>
      <c r="C48" s="59"/>
      <c r="D48" s="59"/>
      <c r="E48" s="59"/>
      <c r="F48" s="59"/>
      <c r="G48" s="59"/>
      <c r="H48" s="59"/>
      <c r="I48" s="59"/>
    </row>
    <row r="49" spans="2:9">
      <c r="B49" s="68" t="s">
        <v>51</v>
      </c>
      <c r="C49" s="68"/>
      <c r="D49" s="68"/>
      <c r="E49" s="68"/>
      <c r="F49" s="66" t="s">
        <v>52</v>
      </c>
      <c r="G49" s="66"/>
      <c r="H49" s="66"/>
      <c r="I49" s="66"/>
    </row>
    <row r="50" spans="2:9">
      <c r="B50" s="68"/>
      <c r="C50" s="68"/>
      <c r="D50" s="68"/>
      <c r="E50" s="68"/>
      <c r="F50" s="66"/>
      <c r="G50" s="66"/>
      <c r="H50" s="66"/>
      <c r="I50" s="66"/>
    </row>
    <row r="51" spans="2:9">
      <c r="B51" s="68"/>
      <c r="C51" s="68"/>
      <c r="D51" s="68"/>
      <c r="E51" s="68"/>
      <c r="F51" s="66"/>
      <c r="G51" s="66"/>
      <c r="H51" s="66"/>
      <c r="I51" s="66"/>
    </row>
    <row r="52" spans="2:9">
      <c r="B52" s="68"/>
      <c r="C52" s="68"/>
      <c r="D52" s="68"/>
      <c r="E52" s="68"/>
      <c r="F52" s="66"/>
      <c r="G52" s="66"/>
      <c r="H52" s="66"/>
      <c r="I52" s="66"/>
    </row>
    <row r="53" spans="2:9">
      <c r="B53" s="68"/>
      <c r="C53" s="68"/>
      <c r="D53" s="68"/>
      <c r="E53" s="68"/>
      <c r="F53" s="66"/>
      <c r="G53" s="66"/>
      <c r="H53" s="66"/>
      <c r="I53" s="66"/>
    </row>
    <row r="54" spans="2:9">
      <c r="B54" s="68"/>
      <c r="C54" s="68"/>
      <c r="D54" s="68"/>
      <c r="E54" s="68"/>
      <c r="F54" s="66"/>
      <c r="G54" s="66"/>
      <c r="H54" s="66"/>
      <c r="I54" s="66"/>
    </row>
    <row r="55" spans="2:9">
      <c r="B55" s="68"/>
      <c r="C55" s="68"/>
      <c r="D55" s="68"/>
      <c r="E55" s="68"/>
      <c r="F55" s="66"/>
      <c r="G55" s="66"/>
      <c r="H55" s="66"/>
      <c r="I55" s="66"/>
    </row>
    <row r="56" spans="2:9">
      <c r="B56" s="68"/>
      <c r="C56" s="68"/>
      <c r="D56" s="68"/>
      <c r="E56" s="68"/>
      <c r="F56" s="66"/>
      <c r="G56" s="66"/>
      <c r="H56" s="66"/>
      <c r="I56" s="66"/>
    </row>
    <row r="57" spans="2:9">
      <c r="B57" s="68"/>
      <c r="C57" s="68"/>
      <c r="D57" s="68"/>
      <c r="E57" s="68"/>
      <c r="F57" s="66"/>
      <c r="G57" s="66"/>
      <c r="H57" s="66"/>
      <c r="I57" s="66"/>
    </row>
    <row r="58" spans="2:9">
      <c r="B58" s="68"/>
      <c r="C58" s="68"/>
      <c r="D58" s="68"/>
      <c r="E58" s="68"/>
      <c r="F58" s="66"/>
      <c r="G58" s="66"/>
      <c r="H58" s="66"/>
      <c r="I58" s="66"/>
    </row>
    <row r="59" spans="2:9">
      <c r="B59" s="68"/>
      <c r="C59" s="68"/>
      <c r="D59" s="68"/>
      <c r="E59" s="68"/>
      <c r="F59" s="66"/>
      <c r="G59" s="66"/>
      <c r="H59" s="66"/>
      <c r="I59" s="66"/>
    </row>
    <row r="60" spans="2:9">
      <c r="B60" s="69" t="s">
        <v>53</v>
      </c>
      <c r="C60" s="69"/>
      <c r="D60" s="69"/>
      <c r="E60" s="69"/>
      <c r="F60" s="70"/>
      <c r="G60" s="70"/>
      <c r="H60" s="69" t="s">
        <v>54</v>
      </c>
      <c r="I60" s="5"/>
    </row>
    <row r="61" spans="2:9">
      <c r="B61" s="69"/>
      <c r="C61" s="69"/>
      <c r="D61" s="69"/>
      <c r="E61" s="69"/>
      <c r="F61" s="70"/>
      <c r="G61" s="70"/>
      <c r="H61" s="69"/>
      <c r="I61" s="5"/>
    </row>
    <row r="62" spans="2:9">
      <c r="B62" s="69"/>
      <c r="C62" s="69"/>
      <c r="D62" s="69"/>
      <c r="E62" s="69"/>
      <c r="F62" s="70"/>
      <c r="G62" s="70"/>
      <c r="H62" s="69"/>
      <c r="I62" s="5"/>
    </row>
    <row r="63" spans="2:9">
      <c r="B63" s="69"/>
      <c r="C63" s="69"/>
      <c r="D63" s="69"/>
      <c r="E63" s="69"/>
      <c r="F63" s="70"/>
      <c r="G63" s="70"/>
      <c r="H63" s="69"/>
      <c r="I63" s="5"/>
    </row>
    <row r="64" spans="2:9">
      <c r="B64" s="69"/>
      <c r="C64" s="69"/>
      <c r="D64" s="69"/>
      <c r="E64" s="69"/>
      <c r="F64" s="70"/>
      <c r="G64" s="70"/>
      <c r="H64" s="69"/>
      <c r="I64" s="5"/>
    </row>
    <row r="65" spans="2:9">
      <c r="B65" s="59" t="s">
        <v>55</v>
      </c>
      <c r="C65" s="59"/>
      <c r="D65" s="59"/>
      <c r="E65" s="59"/>
      <c r="F65" s="59"/>
      <c r="G65" s="59"/>
      <c r="H65" s="59"/>
      <c r="I65" s="59"/>
    </row>
    <row r="66" spans="2:9">
      <c r="B66" s="66" t="s">
        <v>56</v>
      </c>
      <c r="C66" s="66"/>
      <c r="D66" s="66"/>
      <c r="E66" s="66"/>
      <c r="F66" s="66" t="s">
        <v>57</v>
      </c>
      <c r="G66" s="66"/>
      <c r="H66" s="66"/>
      <c r="I66" s="66"/>
    </row>
    <row r="67" spans="2:9">
      <c r="B67" s="66"/>
      <c r="C67" s="66"/>
      <c r="D67" s="66"/>
      <c r="E67" s="66"/>
      <c r="F67" s="66"/>
      <c r="G67" s="66"/>
      <c r="H67" s="66"/>
      <c r="I67" s="66"/>
    </row>
    <row r="68" spans="2:9">
      <c r="B68" s="66"/>
      <c r="C68" s="66"/>
      <c r="D68" s="66"/>
      <c r="E68" s="66"/>
      <c r="F68" s="66"/>
      <c r="G68" s="66"/>
      <c r="H68" s="66"/>
      <c r="I68" s="66"/>
    </row>
    <row r="69" spans="2:9">
      <c r="B69" s="66"/>
      <c r="C69" s="66"/>
      <c r="D69" s="66"/>
      <c r="E69" s="66"/>
      <c r="F69" s="66"/>
      <c r="G69" s="66"/>
      <c r="H69" s="66"/>
      <c r="I69" s="66"/>
    </row>
    <row r="70" spans="2:9">
      <c r="B70" s="66"/>
      <c r="C70" s="66"/>
      <c r="D70" s="66"/>
      <c r="E70" s="66"/>
      <c r="F70" s="66"/>
      <c r="G70" s="66"/>
      <c r="H70" s="66"/>
      <c r="I70" s="66"/>
    </row>
    <row r="71" spans="2:9">
      <c r="B71" s="66"/>
      <c r="C71" s="66"/>
      <c r="D71" s="66"/>
      <c r="E71" s="66"/>
      <c r="F71" s="66"/>
      <c r="G71" s="66"/>
      <c r="H71" s="66"/>
      <c r="I71" s="66"/>
    </row>
    <row r="72" spans="2:9">
      <c r="B72" s="66"/>
      <c r="C72" s="66"/>
      <c r="D72" s="66"/>
      <c r="E72" s="66"/>
      <c r="F72" s="66"/>
      <c r="G72" s="66"/>
      <c r="H72" s="66"/>
      <c r="I72" s="66"/>
    </row>
    <row r="73" spans="2:9">
      <c r="B73" s="66"/>
      <c r="C73" s="66"/>
      <c r="D73" s="66"/>
      <c r="E73" s="66"/>
      <c r="F73" s="66"/>
      <c r="G73" s="66"/>
      <c r="H73" s="66"/>
      <c r="I73" s="66"/>
    </row>
    <row r="74" spans="2:9">
      <c r="B74" s="66"/>
      <c r="C74" s="66"/>
      <c r="D74" s="66"/>
      <c r="E74" s="66"/>
      <c r="F74" s="66"/>
      <c r="G74" s="66"/>
      <c r="H74" s="66"/>
      <c r="I74" s="66"/>
    </row>
    <row r="75" spans="2:9">
      <c r="B75" s="66"/>
      <c r="C75" s="66"/>
      <c r="D75" s="66"/>
      <c r="E75" s="66"/>
      <c r="F75" s="66"/>
      <c r="G75" s="66"/>
      <c r="H75" s="66"/>
      <c r="I75" s="66"/>
    </row>
    <row r="76" spans="2:9">
      <c r="B76" s="66"/>
      <c r="C76" s="66"/>
      <c r="D76" s="66"/>
      <c r="E76" s="66"/>
      <c r="F76" s="66"/>
      <c r="G76" s="66"/>
      <c r="H76" s="66"/>
      <c r="I76" s="66"/>
    </row>
    <row r="77" spans="2:9">
      <c r="B77" s="66"/>
      <c r="C77" s="66"/>
      <c r="D77" s="66"/>
      <c r="E77" s="66"/>
      <c r="F77" s="66"/>
      <c r="G77" s="66"/>
      <c r="H77" s="66"/>
      <c r="I77" s="66"/>
    </row>
    <row r="78" spans="2:9">
      <c r="B78" s="66"/>
      <c r="C78" s="66"/>
      <c r="D78" s="66"/>
      <c r="E78" s="66"/>
      <c r="F78" s="66"/>
      <c r="G78" s="66"/>
      <c r="H78" s="66"/>
      <c r="I78" s="66"/>
    </row>
    <row r="79" spans="2:9">
      <c r="B79" s="66"/>
      <c r="C79" s="66"/>
      <c r="D79" s="66"/>
      <c r="E79" s="66"/>
      <c r="F79" s="66"/>
      <c r="G79" s="66"/>
      <c r="H79" s="66"/>
      <c r="I79" s="66"/>
    </row>
    <row r="80" spans="2:9">
      <c r="B80" s="67"/>
      <c r="C80" s="67"/>
      <c r="D80" s="67"/>
      <c r="E80" s="67"/>
      <c r="F80" s="67"/>
      <c r="G80" s="67"/>
      <c r="H80" s="67"/>
      <c r="I80" s="67"/>
    </row>
    <row r="81" spans="2:9">
      <c r="B81" s="59" t="s">
        <v>58</v>
      </c>
      <c r="C81" s="59"/>
      <c r="D81" s="59"/>
      <c r="E81" s="59"/>
      <c r="F81" s="59"/>
      <c r="G81" s="59"/>
      <c r="H81" s="59"/>
      <c r="I81" s="59"/>
    </row>
    <row r="82" spans="2:9">
      <c r="B82" s="9" t="s">
        <v>59</v>
      </c>
      <c r="C82" s="9" t="s">
        <v>60</v>
      </c>
      <c r="D82" s="9" t="s">
        <v>61</v>
      </c>
      <c r="E82" s="9" t="s">
        <v>62</v>
      </c>
      <c r="F82" s="9" t="s">
        <v>63</v>
      </c>
      <c r="G82" s="59" t="s">
        <v>64</v>
      </c>
      <c r="H82" s="59"/>
      <c r="I82" s="59"/>
    </row>
    <row r="83" spans="2:9">
      <c r="B83" s="10"/>
      <c r="C83" s="10"/>
      <c r="D83" s="10"/>
      <c r="E83" s="10"/>
      <c r="F83" s="10"/>
      <c r="G83" s="58"/>
      <c r="H83" s="58"/>
      <c r="I83" s="58"/>
    </row>
    <row r="84" spans="2:9">
      <c r="B84" s="10"/>
      <c r="C84" s="10"/>
      <c r="D84" s="10"/>
      <c r="E84" s="10"/>
      <c r="F84" s="10"/>
      <c r="G84" s="58"/>
      <c r="H84" s="58"/>
      <c r="I84" s="58"/>
    </row>
    <row r="85" spans="2:9">
      <c r="B85" s="10"/>
      <c r="C85" s="10"/>
      <c r="D85" s="10"/>
      <c r="E85" s="10"/>
      <c r="F85" s="10"/>
      <c r="G85" s="58"/>
      <c r="H85" s="58"/>
      <c r="I85" s="58"/>
    </row>
    <row r="86" spans="2:9">
      <c r="B86" s="10"/>
      <c r="C86" s="10"/>
      <c r="D86" s="10"/>
      <c r="E86" s="10"/>
      <c r="F86" s="10"/>
      <c r="G86" s="58"/>
      <c r="H86" s="58"/>
      <c r="I86" s="58"/>
    </row>
    <row r="87" spans="2:9">
      <c r="B87" s="10"/>
      <c r="C87" s="10"/>
      <c r="D87" s="10"/>
      <c r="E87" s="10"/>
      <c r="F87" s="10"/>
      <c r="G87" s="58"/>
      <c r="H87" s="58"/>
      <c r="I87" s="58"/>
    </row>
    <row r="88" spans="2:9">
      <c r="B88" s="10"/>
      <c r="C88" s="10"/>
      <c r="D88" s="10"/>
      <c r="E88" s="10"/>
      <c r="F88" s="10"/>
      <c r="G88" s="58"/>
      <c r="H88" s="58"/>
      <c r="I88" s="5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60"/>
      <c r="C2" s="62" t="s">
        <v>0</v>
      </c>
      <c r="D2" s="62"/>
      <c r="E2" s="62"/>
      <c r="F2" s="62"/>
      <c r="G2" s="62"/>
      <c r="H2" s="62"/>
      <c r="I2" s="6" t="s">
        <v>1</v>
      </c>
    </row>
    <row r="3" spans="2:11" ht="20.25" customHeight="1">
      <c r="B3" s="61"/>
      <c r="C3" s="63"/>
      <c r="D3" s="63"/>
      <c r="E3" s="63"/>
      <c r="F3" s="63"/>
      <c r="G3" s="63"/>
      <c r="H3" s="63"/>
      <c r="I3" s="7" t="s">
        <v>2</v>
      </c>
    </row>
    <row r="4" spans="2:11" ht="21" customHeight="1" thickBot="1">
      <c r="B4" s="64" t="s">
        <v>3</v>
      </c>
      <c r="C4" s="65"/>
      <c r="D4" s="65"/>
      <c r="E4" s="65"/>
      <c r="F4" s="65"/>
      <c r="G4" s="65"/>
      <c r="H4" s="65"/>
      <c r="I4" s="8" t="s">
        <v>4</v>
      </c>
    </row>
    <row r="5" spans="2:11" ht="15.75" thickTop="1">
      <c r="B5" s="69"/>
      <c r="C5" s="69"/>
      <c r="D5" s="69"/>
      <c r="E5" s="69"/>
      <c r="F5" s="69"/>
      <c r="G5" s="69"/>
      <c r="H5" s="69"/>
      <c r="I5" s="69"/>
    </row>
    <row r="6" spans="2:11">
      <c r="B6" s="69" t="s">
        <v>5</v>
      </c>
      <c r="C6" s="69"/>
      <c r="D6" s="69"/>
      <c r="E6" s="69"/>
      <c r="F6" s="69"/>
      <c r="G6" s="69"/>
      <c r="H6" s="69"/>
      <c r="I6" s="69"/>
    </row>
    <row r="7" spans="2:11" ht="60">
      <c r="B7" s="3" t="s">
        <v>6</v>
      </c>
      <c r="C7" s="1"/>
      <c r="D7" s="2" t="s">
        <v>7</v>
      </c>
      <c r="E7" s="1"/>
      <c r="F7" s="2" t="s">
        <v>8</v>
      </c>
      <c r="G7" s="1"/>
      <c r="H7" s="2" t="s">
        <v>9</v>
      </c>
      <c r="I7" s="1"/>
    </row>
    <row r="8" spans="2:11" ht="45">
      <c r="B8" s="15" t="s">
        <v>10</v>
      </c>
      <c r="C8" s="16"/>
      <c r="D8" s="3" t="s">
        <v>65</v>
      </c>
      <c r="E8" s="76"/>
      <c r="F8" s="76"/>
      <c r="G8" s="2" t="s">
        <v>12</v>
      </c>
      <c r="H8" s="76"/>
      <c r="I8" s="76"/>
      <c r="K8" s="11" t="s">
        <v>66</v>
      </c>
    </row>
    <row r="9" spans="2:11" ht="30">
      <c r="B9" s="2" t="s">
        <v>13</v>
      </c>
      <c r="C9" s="5">
        <v>3</v>
      </c>
      <c r="D9" s="2" t="s">
        <v>14</v>
      </c>
      <c r="E9" s="5">
        <v>54</v>
      </c>
      <c r="F9" s="2" t="s">
        <v>15</v>
      </c>
      <c r="G9" s="5">
        <v>90</v>
      </c>
      <c r="H9" s="2" t="s">
        <v>16</v>
      </c>
      <c r="I9" s="5">
        <f>E9+G9</f>
        <v>144</v>
      </c>
      <c r="K9" s="11" t="s">
        <v>67</v>
      </c>
    </row>
    <row r="10" spans="2:11">
      <c r="B10" s="75" t="s">
        <v>17</v>
      </c>
      <c r="C10" s="59"/>
      <c r="D10" s="59"/>
      <c r="E10" s="59"/>
      <c r="F10" s="59"/>
      <c r="G10" s="59"/>
      <c r="H10" s="59"/>
      <c r="I10" s="59"/>
    </row>
    <row r="11" spans="2:11">
      <c r="B11" s="75" t="s">
        <v>18</v>
      </c>
      <c r="C11" s="75"/>
      <c r="D11" s="69" t="s">
        <v>19</v>
      </c>
      <c r="E11" s="70"/>
      <c r="F11" s="70"/>
      <c r="G11" s="69" t="s">
        <v>20</v>
      </c>
      <c r="H11" s="70"/>
      <c r="I11" s="70"/>
    </row>
    <row r="12" spans="2:11">
      <c r="B12" s="75"/>
      <c r="C12" s="75"/>
      <c r="D12" s="69"/>
      <c r="E12" s="70"/>
      <c r="F12" s="70"/>
      <c r="G12" s="69"/>
      <c r="H12" s="70"/>
      <c r="I12" s="70"/>
    </row>
    <row r="13" spans="2:11">
      <c r="B13" s="59" t="s">
        <v>21</v>
      </c>
      <c r="C13" s="59"/>
      <c r="D13" s="59"/>
      <c r="E13" s="59"/>
      <c r="F13" s="59"/>
      <c r="G13" s="59"/>
      <c r="H13" s="59"/>
      <c r="I13" s="59"/>
    </row>
    <row r="14" spans="2:11">
      <c r="B14" s="3" t="s">
        <v>22</v>
      </c>
      <c r="C14" s="76"/>
      <c r="D14" s="76"/>
      <c r="E14" s="3" t="s">
        <v>23</v>
      </c>
      <c r="F14" s="1"/>
      <c r="G14" s="3" t="s">
        <v>24</v>
      </c>
      <c r="H14" s="76"/>
      <c r="I14" s="76"/>
    </row>
    <row r="15" spans="2:11">
      <c r="B15" s="59" t="s">
        <v>25</v>
      </c>
      <c r="C15" s="59"/>
      <c r="D15" s="59"/>
      <c r="E15" s="59"/>
      <c r="F15" s="59"/>
      <c r="G15" s="59"/>
      <c r="H15" s="59"/>
      <c r="I15" s="59"/>
    </row>
    <row r="16" spans="2:11">
      <c r="B16" s="75" t="s">
        <v>26</v>
      </c>
      <c r="C16" s="75"/>
      <c r="D16" s="70" t="s">
        <v>68</v>
      </c>
      <c r="E16" s="70"/>
      <c r="F16" s="70"/>
      <c r="G16" s="70"/>
      <c r="H16" s="70"/>
      <c r="I16" s="70"/>
    </row>
    <row r="17" spans="2:12">
      <c r="B17" s="75"/>
      <c r="C17" s="75"/>
      <c r="D17" s="70"/>
      <c r="E17" s="70"/>
      <c r="F17" s="70"/>
      <c r="G17" s="70"/>
      <c r="H17" s="70"/>
      <c r="I17" s="70"/>
    </row>
    <row r="18" spans="2:12">
      <c r="B18" s="80" t="s">
        <v>27</v>
      </c>
      <c r="C18" s="81"/>
      <c r="D18" s="82"/>
      <c r="E18" s="82"/>
      <c r="F18" s="82"/>
      <c r="G18" s="82"/>
      <c r="H18" s="82"/>
      <c r="I18" s="82"/>
    </row>
    <row r="19" spans="2:12">
      <c r="B19" s="83" t="s">
        <v>28</v>
      </c>
      <c r="C19" s="83"/>
      <c r="D19" s="82"/>
      <c r="E19" s="82"/>
      <c r="F19" s="82"/>
      <c r="G19" s="82"/>
      <c r="H19" s="82"/>
      <c r="I19" s="82"/>
    </row>
    <row r="20" spans="2:12">
      <c r="B20" s="83"/>
      <c r="C20" s="83"/>
      <c r="D20" s="82"/>
      <c r="E20" s="82"/>
      <c r="F20" s="82"/>
      <c r="G20" s="82"/>
      <c r="H20" s="82"/>
      <c r="I20" s="82"/>
    </row>
    <row r="21" spans="2:12">
      <c r="B21" s="83" t="s">
        <v>29</v>
      </c>
      <c r="C21" s="83"/>
      <c r="D21" s="82" t="s">
        <v>69</v>
      </c>
      <c r="E21" s="82"/>
      <c r="F21" s="82"/>
      <c r="G21" s="82"/>
      <c r="H21" s="82"/>
      <c r="I21" s="82"/>
    </row>
    <row r="22" spans="2:12">
      <c r="B22" s="83"/>
      <c r="C22" s="83"/>
      <c r="D22" s="82"/>
      <c r="E22" s="82"/>
      <c r="F22" s="82"/>
      <c r="G22" s="82"/>
      <c r="H22" s="82"/>
      <c r="I22" s="82"/>
    </row>
    <row r="23" spans="2:12">
      <c r="B23" s="84" t="s">
        <v>30</v>
      </c>
      <c r="C23" s="84"/>
      <c r="D23" s="82" t="s">
        <v>31</v>
      </c>
      <c r="E23" s="82"/>
      <c r="F23" s="82"/>
      <c r="G23" s="82"/>
      <c r="H23" s="82"/>
      <c r="I23" s="82"/>
    </row>
    <row r="24" spans="2:12">
      <c r="B24" s="84"/>
      <c r="C24" s="84"/>
      <c r="D24" s="82" t="s">
        <v>32</v>
      </c>
      <c r="E24" s="82"/>
      <c r="F24" s="82"/>
      <c r="G24" s="82"/>
      <c r="H24" s="82"/>
      <c r="I24" s="82"/>
    </row>
    <row r="25" spans="2:12">
      <c r="B25" s="84"/>
      <c r="C25" s="84"/>
      <c r="D25" s="82" t="s">
        <v>33</v>
      </c>
      <c r="E25" s="82"/>
      <c r="F25" s="82"/>
      <c r="G25" s="82"/>
      <c r="H25" s="82"/>
      <c r="I25" s="82"/>
    </row>
    <row r="26" spans="2:12">
      <c r="B26" s="84"/>
      <c r="C26" s="84"/>
      <c r="D26" s="82" t="s">
        <v>34</v>
      </c>
      <c r="E26" s="82"/>
      <c r="F26" s="82"/>
      <c r="G26" s="82"/>
      <c r="H26" s="82"/>
      <c r="I26" s="82"/>
    </row>
    <row r="27" spans="2:12" ht="99.6" customHeight="1">
      <c r="B27" s="71" t="s">
        <v>70</v>
      </c>
      <c r="C27" s="71"/>
      <c r="D27" s="85" t="s">
        <v>71</v>
      </c>
      <c r="E27" s="86"/>
      <c r="F27" s="87"/>
      <c r="G27" s="77" t="s">
        <v>72</v>
      </c>
      <c r="H27" s="86"/>
      <c r="I27" s="87"/>
      <c r="L27" s="11" t="s">
        <v>73</v>
      </c>
    </row>
    <row r="28" spans="2:12" ht="90.6" customHeight="1">
      <c r="B28" s="71"/>
      <c r="C28" s="71"/>
      <c r="D28" s="88" t="s">
        <v>74</v>
      </c>
      <c r="E28" s="89"/>
      <c r="F28" s="90"/>
      <c r="G28" s="77" t="s">
        <v>75</v>
      </c>
      <c r="H28" s="92"/>
      <c r="I28" s="93"/>
      <c r="L28" s="11" t="s">
        <v>76</v>
      </c>
    </row>
    <row r="29" spans="2:12" ht="75.599999999999994" customHeight="1">
      <c r="B29" s="71"/>
      <c r="C29" s="71"/>
      <c r="D29" s="85" t="s">
        <v>77</v>
      </c>
      <c r="E29" s="86"/>
      <c r="F29" s="87"/>
      <c r="G29" s="77" t="s">
        <v>78</v>
      </c>
      <c r="H29" s="78"/>
      <c r="I29" s="79"/>
      <c r="L29" s="11" t="s">
        <v>79</v>
      </c>
    </row>
    <row r="30" spans="2:12">
      <c r="B30" s="59" t="s">
        <v>46</v>
      </c>
      <c r="C30" s="59"/>
      <c r="D30" s="59"/>
      <c r="E30" s="59"/>
      <c r="F30" s="59"/>
      <c r="G30" s="59"/>
      <c r="H30" s="59"/>
      <c r="I30" s="59"/>
    </row>
    <row r="31" spans="2:12">
      <c r="B31" s="58" t="s">
        <v>47</v>
      </c>
      <c r="C31" s="58"/>
      <c r="D31" s="58"/>
      <c r="E31" s="58"/>
      <c r="F31" s="58"/>
      <c r="G31" s="58"/>
      <c r="H31" s="58"/>
      <c r="I31" s="58"/>
    </row>
    <row r="32" spans="2:12">
      <c r="B32" s="58"/>
      <c r="C32" s="58"/>
      <c r="D32" s="58"/>
      <c r="E32" s="58"/>
      <c r="F32" s="58"/>
      <c r="G32" s="58"/>
      <c r="H32" s="58"/>
      <c r="I32" s="58"/>
    </row>
    <row r="33" spans="2:9">
      <c r="B33" s="58"/>
      <c r="C33" s="58"/>
      <c r="D33" s="58"/>
      <c r="E33" s="58"/>
      <c r="F33" s="58"/>
      <c r="G33" s="58"/>
      <c r="H33" s="58"/>
      <c r="I33" s="58"/>
    </row>
    <row r="34" spans="2:9">
      <c r="B34" s="66" t="s">
        <v>80</v>
      </c>
      <c r="C34" s="66"/>
      <c r="D34" s="66"/>
      <c r="E34" s="66"/>
      <c r="F34" s="91" t="s">
        <v>49</v>
      </c>
      <c r="G34" s="91"/>
      <c r="H34" s="91"/>
      <c r="I34" s="91"/>
    </row>
    <row r="35" spans="2:9">
      <c r="B35" s="66"/>
      <c r="C35" s="66"/>
      <c r="D35" s="66"/>
      <c r="E35" s="66"/>
      <c r="F35" s="91"/>
      <c r="G35" s="91"/>
      <c r="H35" s="91"/>
      <c r="I35" s="91"/>
    </row>
    <row r="36" spans="2:9">
      <c r="B36" s="66"/>
      <c r="C36" s="66"/>
      <c r="D36" s="66"/>
      <c r="E36" s="66"/>
      <c r="F36" s="91"/>
      <c r="G36" s="91"/>
      <c r="H36" s="91"/>
      <c r="I36" s="91"/>
    </row>
    <row r="37" spans="2:9">
      <c r="B37" s="66"/>
      <c r="C37" s="66"/>
      <c r="D37" s="66"/>
      <c r="E37" s="66"/>
      <c r="F37" s="91"/>
      <c r="G37" s="91"/>
      <c r="H37" s="91"/>
      <c r="I37" s="91"/>
    </row>
    <row r="38" spans="2:9">
      <c r="B38" s="66"/>
      <c r="C38" s="66"/>
      <c r="D38" s="66"/>
      <c r="E38" s="66"/>
      <c r="F38" s="91"/>
      <c r="G38" s="91"/>
      <c r="H38" s="91"/>
      <c r="I38" s="91"/>
    </row>
    <row r="39" spans="2:9">
      <c r="B39" s="66"/>
      <c r="C39" s="66"/>
      <c r="D39" s="66"/>
      <c r="E39" s="66"/>
      <c r="F39" s="91"/>
      <c r="G39" s="91"/>
      <c r="H39" s="91"/>
      <c r="I39" s="91"/>
    </row>
    <row r="40" spans="2:9">
      <c r="B40" s="66"/>
      <c r="C40" s="66"/>
      <c r="D40" s="66"/>
      <c r="E40" s="66"/>
      <c r="F40" s="91"/>
      <c r="G40" s="91"/>
      <c r="H40" s="91"/>
      <c r="I40" s="91"/>
    </row>
    <row r="41" spans="2:9">
      <c r="B41" s="66"/>
      <c r="C41" s="66"/>
      <c r="D41" s="66"/>
      <c r="E41" s="66"/>
      <c r="F41" s="91"/>
      <c r="G41" s="91"/>
      <c r="H41" s="91"/>
      <c r="I41" s="91"/>
    </row>
    <row r="42" spans="2:9">
      <c r="B42" s="66"/>
      <c r="C42" s="66"/>
      <c r="D42" s="66"/>
      <c r="E42" s="66"/>
      <c r="F42" s="91"/>
      <c r="G42" s="91"/>
      <c r="H42" s="91"/>
      <c r="I42" s="91"/>
    </row>
    <row r="43" spans="2:9">
      <c r="B43" s="59" t="s">
        <v>50</v>
      </c>
      <c r="C43" s="59"/>
      <c r="D43" s="59"/>
      <c r="E43" s="59"/>
      <c r="F43" s="59"/>
      <c r="G43" s="59"/>
      <c r="H43" s="59"/>
      <c r="I43" s="59"/>
    </row>
    <row r="44" spans="2:9">
      <c r="B44" s="68" t="s">
        <v>81</v>
      </c>
      <c r="C44" s="68"/>
      <c r="D44" s="68"/>
      <c r="E44" s="68"/>
      <c r="F44" s="66" t="s">
        <v>82</v>
      </c>
      <c r="G44" s="66"/>
      <c r="H44" s="66"/>
      <c r="I44" s="66"/>
    </row>
    <row r="45" spans="2:9">
      <c r="B45" s="68"/>
      <c r="C45" s="68"/>
      <c r="D45" s="68"/>
      <c r="E45" s="68"/>
      <c r="F45" s="66"/>
      <c r="G45" s="66"/>
      <c r="H45" s="66"/>
      <c r="I45" s="66"/>
    </row>
    <row r="46" spans="2:9">
      <c r="B46" s="68"/>
      <c r="C46" s="68"/>
      <c r="D46" s="68"/>
      <c r="E46" s="68"/>
      <c r="F46" s="66"/>
      <c r="G46" s="66"/>
      <c r="H46" s="66"/>
      <c r="I46" s="66"/>
    </row>
    <row r="47" spans="2:9">
      <c r="B47" s="68"/>
      <c r="C47" s="68"/>
      <c r="D47" s="68"/>
      <c r="E47" s="68"/>
      <c r="F47" s="66"/>
      <c r="G47" s="66"/>
      <c r="H47" s="66"/>
      <c r="I47" s="66"/>
    </row>
    <row r="48" spans="2:9">
      <c r="B48" s="68"/>
      <c r="C48" s="68"/>
      <c r="D48" s="68"/>
      <c r="E48" s="68"/>
      <c r="F48" s="66"/>
      <c r="G48" s="66"/>
      <c r="H48" s="66"/>
      <c r="I48" s="66"/>
    </row>
    <row r="49" spans="2:9">
      <c r="B49" s="68"/>
      <c r="C49" s="68"/>
      <c r="D49" s="68"/>
      <c r="E49" s="68"/>
      <c r="F49" s="66"/>
      <c r="G49" s="66"/>
      <c r="H49" s="66"/>
      <c r="I49" s="66"/>
    </row>
    <row r="50" spans="2:9">
      <c r="B50" s="68"/>
      <c r="C50" s="68"/>
      <c r="D50" s="68"/>
      <c r="E50" s="68"/>
      <c r="F50" s="66"/>
      <c r="G50" s="66"/>
      <c r="H50" s="66"/>
      <c r="I50" s="66"/>
    </row>
    <row r="51" spans="2:9">
      <c r="B51" s="68"/>
      <c r="C51" s="68"/>
      <c r="D51" s="68"/>
      <c r="E51" s="68"/>
      <c r="F51" s="66"/>
      <c r="G51" s="66"/>
      <c r="H51" s="66"/>
      <c r="I51" s="66"/>
    </row>
    <row r="52" spans="2:9">
      <c r="B52" s="68"/>
      <c r="C52" s="68"/>
      <c r="D52" s="68"/>
      <c r="E52" s="68"/>
      <c r="F52" s="66"/>
      <c r="G52" s="66"/>
      <c r="H52" s="66"/>
      <c r="I52" s="66"/>
    </row>
    <row r="53" spans="2:9">
      <c r="B53" s="68"/>
      <c r="C53" s="68"/>
      <c r="D53" s="68"/>
      <c r="E53" s="68"/>
      <c r="F53" s="66"/>
      <c r="G53" s="66"/>
      <c r="H53" s="66"/>
      <c r="I53" s="66"/>
    </row>
    <row r="54" spans="2:9">
      <c r="B54" s="68"/>
      <c r="C54" s="68"/>
      <c r="D54" s="68"/>
      <c r="E54" s="68"/>
      <c r="F54" s="66"/>
      <c r="G54" s="66"/>
      <c r="H54" s="66"/>
      <c r="I54" s="66"/>
    </row>
    <row r="55" spans="2:9">
      <c r="B55" s="69" t="s">
        <v>83</v>
      </c>
      <c r="C55" s="69"/>
      <c r="D55" s="69"/>
      <c r="E55" s="69"/>
      <c r="F55" s="70" t="s">
        <v>84</v>
      </c>
      <c r="G55" s="70"/>
      <c r="H55" s="69" t="s">
        <v>54</v>
      </c>
      <c r="I55" s="5"/>
    </row>
    <row r="56" spans="2:9">
      <c r="B56" s="69"/>
      <c r="C56" s="69"/>
      <c r="D56" s="69"/>
      <c r="E56" s="69"/>
      <c r="F56" s="70"/>
      <c r="G56" s="70"/>
      <c r="H56" s="69"/>
      <c r="I56" s="5"/>
    </row>
    <row r="57" spans="2:9">
      <c r="B57" s="69"/>
      <c r="C57" s="69"/>
      <c r="D57" s="69"/>
      <c r="E57" s="69"/>
      <c r="F57" s="70"/>
      <c r="G57" s="70"/>
      <c r="H57" s="69"/>
      <c r="I57" s="5"/>
    </row>
    <row r="58" spans="2:9">
      <c r="B58" s="69"/>
      <c r="C58" s="69"/>
      <c r="D58" s="69"/>
      <c r="E58" s="69"/>
      <c r="F58" s="70"/>
      <c r="G58" s="70"/>
      <c r="H58" s="69"/>
      <c r="I58" s="5"/>
    </row>
    <row r="59" spans="2:9">
      <c r="B59" s="69"/>
      <c r="C59" s="69"/>
      <c r="D59" s="69"/>
      <c r="E59" s="69"/>
      <c r="F59" s="70"/>
      <c r="G59" s="70"/>
      <c r="H59" s="69"/>
      <c r="I59" s="5"/>
    </row>
    <row r="60" spans="2:9">
      <c r="B60" s="59" t="s">
        <v>55</v>
      </c>
      <c r="C60" s="59"/>
      <c r="D60" s="59"/>
      <c r="E60" s="59"/>
      <c r="F60" s="59"/>
      <c r="G60" s="59"/>
      <c r="H60" s="59"/>
      <c r="I60" s="59"/>
    </row>
    <row r="61" spans="2:9">
      <c r="B61" s="66" t="s">
        <v>56</v>
      </c>
      <c r="C61" s="66"/>
      <c r="D61" s="66"/>
      <c r="E61" s="66"/>
      <c r="F61" s="66" t="s">
        <v>57</v>
      </c>
      <c r="G61" s="66"/>
      <c r="H61" s="66"/>
      <c r="I61" s="66"/>
    </row>
    <row r="62" spans="2:9">
      <c r="B62" s="66"/>
      <c r="C62" s="66"/>
      <c r="D62" s="66"/>
      <c r="E62" s="66"/>
      <c r="F62" s="66"/>
      <c r="G62" s="66"/>
      <c r="H62" s="66"/>
      <c r="I62" s="66"/>
    </row>
    <row r="63" spans="2:9">
      <c r="B63" s="66"/>
      <c r="C63" s="66"/>
      <c r="D63" s="66"/>
      <c r="E63" s="66"/>
      <c r="F63" s="66"/>
      <c r="G63" s="66"/>
      <c r="H63" s="66"/>
      <c r="I63" s="66"/>
    </row>
    <row r="64" spans="2:9">
      <c r="B64" s="66"/>
      <c r="C64" s="66"/>
      <c r="D64" s="66"/>
      <c r="E64" s="66"/>
      <c r="F64" s="66"/>
      <c r="G64" s="66"/>
      <c r="H64" s="66"/>
      <c r="I64" s="66"/>
    </row>
    <row r="65" spans="2:9">
      <c r="B65" s="66"/>
      <c r="C65" s="66"/>
      <c r="D65" s="66"/>
      <c r="E65" s="66"/>
      <c r="F65" s="66"/>
      <c r="G65" s="66"/>
      <c r="H65" s="66"/>
      <c r="I65" s="66"/>
    </row>
    <row r="66" spans="2:9">
      <c r="B66" s="66"/>
      <c r="C66" s="66"/>
      <c r="D66" s="66"/>
      <c r="E66" s="66"/>
      <c r="F66" s="66"/>
      <c r="G66" s="66"/>
      <c r="H66" s="66"/>
      <c r="I66" s="66"/>
    </row>
    <row r="67" spans="2:9">
      <c r="B67" s="66"/>
      <c r="C67" s="66"/>
      <c r="D67" s="66"/>
      <c r="E67" s="66"/>
      <c r="F67" s="66"/>
      <c r="G67" s="66"/>
      <c r="H67" s="66"/>
      <c r="I67" s="66"/>
    </row>
    <row r="68" spans="2:9">
      <c r="B68" s="66"/>
      <c r="C68" s="66"/>
      <c r="D68" s="66"/>
      <c r="E68" s="66"/>
      <c r="F68" s="66"/>
      <c r="G68" s="66"/>
      <c r="H68" s="66"/>
      <c r="I68" s="66"/>
    </row>
    <row r="69" spans="2:9">
      <c r="B69" s="66"/>
      <c r="C69" s="66"/>
      <c r="D69" s="66"/>
      <c r="E69" s="66"/>
      <c r="F69" s="66"/>
      <c r="G69" s="66"/>
      <c r="H69" s="66"/>
      <c r="I69" s="66"/>
    </row>
    <row r="70" spans="2:9">
      <c r="B70" s="66"/>
      <c r="C70" s="66"/>
      <c r="D70" s="66"/>
      <c r="E70" s="66"/>
      <c r="F70" s="66"/>
      <c r="G70" s="66"/>
      <c r="H70" s="66"/>
      <c r="I70" s="66"/>
    </row>
    <row r="71" spans="2:9">
      <c r="B71" s="66"/>
      <c r="C71" s="66"/>
      <c r="D71" s="66"/>
      <c r="E71" s="66"/>
      <c r="F71" s="66"/>
      <c r="G71" s="66"/>
      <c r="H71" s="66"/>
      <c r="I71" s="66"/>
    </row>
    <row r="72" spans="2:9">
      <c r="B72" s="66"/>
      <c r="C72" s="66"/>
      <c r="D72" s="66"/>
      <c r="E72" s="66"/>
      <c r="F72" s="66"/>
      <c r="G72" s="66"/>
      <c r="H72" s="66"/>
      <c r="I72" s="66"/>
    </row>
    <row r="73" spans="2:9">
      <c r="B73" s="66"/>
      <c r="C73" s="66"/>
      <c r="D73" s="66"/>
      <c r="E73" s="66"/>
      <c r="F73" s="66"/>
      <c r="G73" s="66"/>
      <c r="H73" s="66"/>
      <c r="I73" s="66"/>
    </row>
    <row r="74" spans="2:9">
      <c r="B74" s="66"/>
      <c r="C74" s="66"/>
      <c r="D74" s="66"/>
      <c r="E74" s="66"/>
      <c r="F74" s="66"/>
      <c r="G74" s="66"/>
      <c r="H74" s="66"/>
      <c r="I74" s="66"/>
    </row>
    <row r="75" spans="2:9">
      <c r="B75" s="67"/>
      <c r="C75" s="67"/>
      <c r="D75" s="67"/>
      <c r="E75" s="67"/>
      <c r="F75" s="67"/>
      <c r="G75" s="67"/>
      <c r="H75" s="67"/>
      <c r="I75" s="67"/>
    </row>
    <row r="76" spans="2:9">
      <c r="B76" s="59" t="s">
        <v>58</v>
      </c>
      <c r="C76" s="59"/>
      <c r="D76" s="59"/>
      <c r="E76" s="59"/>
      <c r="F76" s="59"/>
      <c r="G76" s="59"/>
      <c r="H76" s="59"/>
      <c r="I76" s="59"/>
    </row>
    <row r="77" spans="2:9">
      <c r="B77" s="9" t="s">
        <v>59</v>
      </c>
      <c r="C77" s="9" t="s">
        <v>60</v>
      </c>
      <c r="D77" s="9" t="s">
        <v>61</v>
      </c>
      <c r="E77" s="9" t="s">
        <v>62</v>
      </c>
      <c r="F77" s="9" t="s">
        <v>63</v>
      </c>
      <c r="G77" s="59" t="s">
        <v>64</v>
      </c>
      <c r="H77" s="59"/>
      <c r="I77" s="59"/>
    </row>
    <row r="78" spans="2:9">
      <c r="B78" s="10"/>
      <c r="C78" s="10"/>
      <c r="D78" s="10"/>
      <c r="E78" s="10"/>
      <c r="F78" s="10"/>
      <c r="G78" s="58"/>
      <c r="H78" s="58"/>
      <c r="I78" s="58"/>
    </row>
    <row r="79" spans="2:9">
      <c r="B79" s="10"/>
      <c r="C79" s="10"/>
      <c r="D79" s="10"/>
      <c r="E79" s="10"/>
      <c r="F79" s="10"/>
      <c r="G79" s="58"/>
      <c r="H79" s="58"/>
      <c r="I79" s="58"/>
    </row>
    <row r="80" spans="2:9">
      <c r="B80" s="10"/>
      <c r="C80" s="10"/>
      <c r="D80" s="10"/>
      <c r="E80" s="10"/>
      <c r="F80" s="10"/>
      <c r="G80" s="58"/>
      <c r="H80" s="58"/>
      <c r="I80" s="58"/>
    </row>
    <row r="81" spans="2:9">
      <c r="B81" s="10"/>
      <c r="C81" s="10"/>
      <c r="D81" s="10"/>
      <c r="E81" s="10"/>
      <c r="F81" s="10"/>
      <c r="G81" s="58"/>
      <c r="H81" s="58"/>
      <c r="I81" s="58"/>
    </row>
    <row r="82" spans="2:9">
      <c r="B82" s="10"/>
      <c r="C82" s="10"/>
      <c r="D82" s="10"/>
      <c r="E82" s="10"/>
      <c r="F82" s="10"/>
      <c r="G82" s="58"/>
      <c r="H82" s="58"/>
      <c r="I82" s="58"/>
    </row>
    <row r="83" spans="2:9">
      <c r="B83" s="10"/>
      <c r="C83" s="10"/>
      <c r="D83" s="10"/>
      <c r="E83" s="10"/>
      <c r="F83" s="10"/>
      <c r="G83" s="58"/>
      <c r="H83" s="58"/>
      <c r="I83" s="5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B2:H36"/>
  <sheetViews>
    <sheetView topLeftCell="B11" zoomScale="70" zoomScaleNormal="70" workbookViewId="0">
      <selection activeCell="G35" sqref="G35"/>
    </sheetView>
  </sheetViews>
  <sheetFormatPr defaultColWidth="11.42578125" defaultRowHeight="15"/>
  <cols>
    <col min="3" max="3" width="74" bestFit="1" customWidth="1"/>
    <col min="4" max="4" width="32.85546875" customWidth="1"/>
    <col min="5" max="7" width="18.28515625" customWidth="1"/>
    <col min="8" max="8" width="44.140625" customWidth="1"/>
    <col min="9" max="9" width="11.42578125" customWidth="1"/>
  </cols>
  <sheetData>
    <row r="2" spans="2:8" ht="15.75" thickBot="1"/>
    <row r="3" spans="2:8" ht="15.75" thickBot="1">
      <c r="H3" s="35" t="s">
        <v>85</v>
      </c>
    </row>
    <row r="4" spans="2:8" ht="16.5">
      <c r="B4">
        <v>1</v>
      </c>
      <c r="C4" s="33" t="s">
        <v>6</v>
      </c>
      <c r="D4" s="39">
        <v>2026</v>
      </c>
      <c r="H4" s="36">
        <v>2026</v>
      </c>
    </row>
    <row r="5" spans="2:8" ht="16.5">
      <c r="B5">
        <v>2</v>
      </c>
      <c r="C5" s="33" t="s">
        <v>7</v>
      </c>
      <c r="D5" s="39" t="s">
        <v>86</v>
      </c>
      <c r="H5" s="36" t="s">
        <v>86</v>
      </c>
    </row>
    <row r="6" spans="2:8" ht="16.5">
      <c r="B6">
        <v>3</v>
      </c>
      <c r="C6" s="33" t="s">
        <v>8</v>
      </c>
      <c r="D6" s="53" t="s">
        <v>87</v>
      </c>
      <c r="H6" s="36" t="s">
        <v>87</v>
      </c>
    </row>
    <row r="7" spans="2:8" ht="16.5">
      <c r="B7">
        <v>4</v>
      </c>
      <c r="C7" s="33" t="s">
        <v>9</v>
      </c>
      <c r="D7" s="5" t="str">
        <f>+H7</f>
        <v>Nuclear</v>
      </c>
      <c r="H7" s="37" t="s">
        <v>88</v>
      </c>
    </row>
    <row r="8" spans="2:8" ht="17.25" thickBot="1">
      <c r="B8">
        <v>5</v>
      </c>
      <c r="C8" s="33" t="s">
        <v>10</v>
      </c>
      <c r="D8" s="5" t="str">
        <f>+H8</f>
        <v>Facultad de Ingeniería</v>
      </c>
      <c r="H8" s="35" t="s">
        <v>89</v>
      </c>
    </row>
    <row r="9" spans="2:8" ht="17.25" thickBot="1">
      <c r="B9">
        <v>6</v>
      </c>
      <c r="C9" s="33" t="s">
        <v>11</v>
      </c>
      <c r="D9" s="5" t="str">
        <f>+H9</f>
        <v>Ingeniería Industrial</v>
      </c>
      <c r="H9" s="35" t="s">
        <v>90</v>
      </c>
    </row>
    <row r="10" spans="2:8" ht="14.25" customHeight="1" thickBot="1">
      <c r="B10">
        <v>7</v>
      </c>
      <c r="C10" s="33" t="s">
        <v>91</v>
      </c>
      <c r="D10" s="48" t="str">
        <f>+H10</f>
        <v>Estrategias de sostenibilidad económica</v>
      </c>
      <c r="H10" s="35" t="s">
        <v>92</v>
      </c>
    </row>
    <row r="11" spans="2:8" ht="16.5">
      <c r="B11">
        <v>8</v>
      </c>
      <c r="C11" s="33" t="s">
        <v>13</v>
      </c>
      <c r="D11" s="5">
        <v>3</v>
      </c>
      <c r="H11" s="37">
        <v>3</v>
      </c>
    </row>
    <row r="12" spans="2:8" ht="16.5">
      <c r="B12">
        <v>9</v>
      </c>
      <c r="C12" s="33" t="s">
        <v>14</v>
      </c>
      <c r="D12" s="5">
        <f t="shared" ref="D12:D19" si="0">+H12</f>
        <v>36</v>
      </c>
      <c r="H12" s="36">
        <v>36</v>
      </c>
    </row>
    <row r="13" spans="2:8" ht="16.5">
      <c r="B13">
        <v>10</v>
      </c>
      <c r="C13" s="33" t="s">
        <v>15</v>
      </c>
      <c r="D13" s="5">
        <f t="shared" si="0"/>
        <v>108</v>
      </c>
      <c r="H13" s="36">
        <v>108</v>
      </c>
    </row>
    <row r="14" spans="2:8" ht="16.5">
      <c r="B14">
        <v>11</v>
      </c>
      <c r="C14" s="33" t="s">
        <v>16</v>
      </c>
      <c r="D14" s="5">
        <f t="shared" si="0"/>
        <v>144</v>
      </c>
      <c r="H14" s="36">
        <v>144</v>
      </c>
    </row>
    <row r="15" spans="2:8" ht="16.5">
      <c r="B15">
        <v>12</v>
      </c>
      <c r="C15" s="33" t="s">
        <v>93</v>
      </c>
      <c r="D15" s="5" t="str">
        <f t="shared" si="0"/>
        <v>Virtual</v>
      </c>
      <c r="E15" s="44" t="str">
        <f>IF(D15="Presencial","SI","")</f>
        <v/>
      </c>
      <c r="F15" s="44" t="str">
        <f>IF(D15="Virtual","SI","")</f>
        <v>SI</v>
      </c>
      <c r="H15" s="37" t="s">
        <v>20</v>
      </c>
    </row>
    <row r="16" spans="2:8" ht="17.25" thickBot="1">
      <c r="B16">
        <v>13</v>
      </c>
      <c r="C16" s="33" t="s">
        <v>94</v>
      </c>
      <c r="D16" s="5" t="str">
        <f t="shared" si="0"/>
        <v>Aprendizaje basado en retos, Aprendizaje basado en proyectos, Aprendizaje basado en caso de estudio, Aprendizaje experiencial, Aprendizaje basado en problemas, Aprendizaje basado en investigación</v>
      </c>
      <c r="H16" s="35" t="s">
        <v>95</v>
      </c>
    </row>
    <row r="17" spans="2:8" ht="17.25" thickBot="1">
      <c r="B17">
        <v>14</v>
      </c>
      <c r="C17" s="33" t="s">
        <v>26</v>
      </c>
      <c r="D17" s="5" t="str">
        <f t="shared" si="0"/>
        <v>El curso integra economía y finanzas para fortalecer la capacidad del ingeniero industrial de analizar, diseñar y tomar decisiones económicas y financieras que garanticen la sostenibilidad empresarial. A partir de la teoría de la firma, los estudiantes comprenderán el funcionamiento de los mercados, los costos, la estructura competitiva y el rol del Estado; y mediante herramientas financieras evaluarán el desempeño económico, la viabilidad de inversiones y la sostenibilidad de largo plazo de las organizaciones.</v>
      </c>
      <c r="H17" s="35" t="s">
        <v>96</v>
      </c>
    </row>
    <row r="18" spans="2:8" ht="17.25" thickBot="1">
      <c r="B18">
        <v>15</v>
      </c>
      <c r="C18" s="33" t="s">
        <v>27</v>
      </c>
      <c r="D18" s="5" t="str">
        <f t="shared" si="0"/>
        <v>No se especifica un texto único, pero se enfoca en determinar estrategias centradas en la eficiencia, sostenibilidad y viabilidad económica.</v>
      </c>
      <c r="H18" s="35" t="s">
        <v>97</v>
      </c>
    </row>
    <row r="19" spans="2:8" ht="17.25" thickBot="1">
      <c r="B19">
        <v>16</v>
      </c>
      <c r="C19" s="33" t="s">
        <v>98</v>
      </c>
      <c r="D19" s="5" t="str">
        <f t="shared" si="0"/>
        <v>No se explicita como ítem separado, pero se orienta a la evaluación del desempeño económico y viabilidad de inversiones de largo plazo.</v>
      </c>
      <c r="H19" s="35" t="s">
        <v>99</v>
      </c>
    </row>
    <row r="20" spans="2:8" ht="17.25" thickBot="1">
      <c r="B20">
        <v>17</v>
      </c>
      <c r="C20" s="33" t="s">
        <v>100</v>
      </c>
      <c r="D20" s="5"/>
      <c r="H20" s="35" t="s">
        <v>101</v>
      </c>
    </row>
    <row r="21" spans="2:8" ht="17.25" thickBot="1">
      <c r="B21">
        <v>18</v>
      </c>
      <c r="C21" s="33" t="s">
        <v>102</v>
      </c>
      <c r="D21" s="5"/>
      <c r="H21" s="35" t="s">
        <v>103</v>
      </c>
    </row>
    <row r="22" spans="2:8" ht="17.25" thickBot="1">
      <c r="B22">
        <v>19</v>
      </c>
      <c r="C22" s="33" t="s">
        <v>104</v>
      </c>
      <c r="D22" s="5"/>
      <c r="H22" s="35" t="s">
        <v>105</v>
      </c>
    </row>
    <row r="23" spans="2:8" s="54" customFormat="1" ht="17.25" thickBot="1">
      <c r="B23" s="54">
        <v>20</v>
      </c>
      <c r="C23" s="33" t="s">
        <v>106</v>
      </c>
      <c r="D23" s="55" t="s">
        <v>107</v>
      </c>
      <c r="E23" s="56" t="str">
        <f>IF(D23="4.5 Semanas",H23,"")</f>
        <v/>
      </c>
      <c r="F23" s="56" t="str">
        <f>IF(D23="9 Semanas",H23,"")</f>
        <v>Módulo 1: Economía y Teoría de la Firma para la sostenibilidad 1. Conceptos fundamentales de microeconomía y teoría de la firma: Oferta, demanda, elasticidades, costos, ingresos, equilibrio de la empresa. Eficiencia económica y productiva. 2. Estructuras de mercado y estrategia competitiva: Competencia perfecta, monopolio, oligopolio. Poder de mercado y fallas de mercado. 3. Macroeconomía aplicada a la empresa: PIB, inflación, desempleo, Política monetaria y fiscal, Ciclos económicos y efectos sobre la sostenibilidad. 4. Relación empresa–entorno económico: Regulación. Riesgos macroeconómicos. Externalidades y sostenibilidad. Módulo 2: Finanzas corporativas y análisis financiero 1. Estados financieros y su lectura estratégica. 2. Análisis de razones financieras: Liquidez, rentabilidad, endeudamiento, eficiencia. 3. Herramientas de análisis financiero: Excel, software especializado. 4. Benchmarking financiero y análisis sectorial. 5. Diagnóstico financiero para la sostenibilidad. Módulo 3: Evaluación financiera de proyectos y planeación estratégica sostenible 1. Valor del dinero en el tiempo. 2. Métodos de evaluación de proyectos: VAN, TIR, Payback. Análisis de sensibilidad y escenarios. 3. Evaluación sostenible de inversiones: Criterios ambientales, sociales y de gobernanza (ESG). 4. Gestión del flujo de caja y presupuestos. 5. Análisis de punto de equilibrio. 6. Financiamiento corporativo y costo de capital. 7. Planificación financiera estratégica a largo plazo.</v>
      </c>
      <c r="G23" s="56" t="str">
        <f>IF(D23="18 Semanas",H23,"")</f>
        <v/>
      </c>
      <c r="H23" s="35" t="s">
        <v>108</v>
      </c>
    </row>
    <row r="24" spans="2:8" ht="17.25" thickBot="1">
      <c r="B24">
        <v>21</v>
      </c>
      <c r="C24" s="33" t="s">
        <v>109</v>
      </c>
      <c r="D24" s="5"/>
      <c r="H24" s="35" t="s">
        <v>110</v>
      </c>
    </row>
    <row r="25" spans="2:8" ht="17.25" thickBot="1">
      <c r="B25">
        <v>22</v>
      </c>
      <c r="C25" s="33" t="s">
        <v>111</v>
      </c>
      <c r="D25" s="5" t="str">
        <f t="shared" ref="D25:D34" si="1">+H25</f>
        <v>Guía (Fase) 1: 10%; Guía (Fase) 2: 15%; Guía (Fase) 3: 15%; Proyecto: 10%; Prueba en línea (G1, G2, G3): 30%; Encuentro final: 10%; Pruebas objetivas: 10%.</v>
      </c>
      <c r="H25" s="35" t="s">
        <v>112</v>
      </c>
    </row>
    <row r="26" spans="2:8" ht="17.25" thickBot="1">
      <c r="B26">
        <v>23</v>
      </c>
      <c r="C26" s="33" t="s">
        <v>52</v>
      </c>
      <c r="D26" s="5" t="str">
        <f t="shared" si="1"/>
        <v>Plataforma LMS (Canvas), Excel, software de análisis financiero (Stata, SPSS), bases de datos financieras (Bloomberg, Reuters).</v>
      </c>
      <c r="H26" s="35" t="s">
        <v>113</v>
      </c>
    </row>
    <row r="27" spans="2:8" ht="16.5">
      <c r="B27">
        <v>24</v>
      </c>
      <c r="C27" s="33" t="s">
        <v>114</v>
      </c>
      <c r="D27" s="5" t="str">
        <f t="shared" si="1"/>
        <v>Ingles</v>
      </c>
      <c r="H27" s="37" t="s">
        <v>115</v>
      </c>
    </row>
    <row r="28" spans="2:8" ht="16.5">
      <c r="B28">
        <v>25</v>
      </c>
      <c r="C28" s="33" t="s">
        <v>54</v>
      </c>
      <c r="D28" s="41">
        <f t="shared" si="1"/>
        <v>0.2</v>
      </c>
      <c r="H28" s="57">
        <v>0.2</v>
      </c>
    </row>
    <row r="29" spans="2:8" ht="57" customHeight="1">
      <c r="B29">
        <v>26</v>
      </c>
      <c r="C29" s="33" t="s">
        <v>56</v>
      </c>
      <c r="D29" s="45" t="str">
        <f t="shared" si="1"/>
        <v>Mankiw, N. G. (2020). Principios de economía. Con casos y aplicaciones para América Latina. Cengage Learning. https://www-ebooks7-24-com.bdbiblioteca.universidadean.edu.co/?il=10764 Parkin Michael. (2023). Macroeconomics. Pearson Education. https://www-ebooks7-24-com.bdbiblioteca.universidadean.edu.co/?il=19902 Parkin, Michael. (2023). Microeconomics. Pearson Educación. https://www-ebooks7-24-com.bdbiblioteca.universidadean.edu.co/?il=19903 Anaya Ortiz, H. (2019). Finanzas básicas para no financieros. Cengage Learning. https://www-ebooks7-24-com.bdbiblioteca.universidadean.edu.co/?il=9978 Ross, S. A. (2022). Fundamentos de finanzas corporativas. McGraw-Hill Interamericana. https://www-ebooks7-24-com.bdbiblioteca.universidadean.edu.co/?il=22468 Brealey, R. A., Myers, S. C., &amp; Allen, F. (2011). Principios de finanzas corporativas. McGraw-Hill. Córdoba Padilla, M. (2014). Análisis financiero. Ecoe Ediciones. Scarfó, E., Vélez-Pareja, I., Sandoval-Llanos, J., Castilla-Ávila, P., Ortiz, D., &amp; Merlo, M. (2022). Análisis Financiero Integral : teoría y práctica (1a edición.). Alpha editorial. Jiménez Carabalí, V. J. (2025). Ingeniería económica para la toma de decisiones. Ediciones de la U. https://www-ebooks7-24-com.bdbiblioteca.universidadean.edu.co/?il=43448</v>
      </c>
      <c r="E29" s="46" t="str">
        <f>CONCATENATE("Bibliografía Obligatoria",": ",D29)</f>
        <v>Bibliografía Obligatoria: Mankiw, N. G. (2020). Principios de economía. Con casos y aplicaciones para América Latina. Cengage Learning. https://www-ebooks7-24-com.bdbiblioteca.universidadean.edu.co/?il=10764 Parkin Michael. (2023). Macroeconomics. Pearson Education. https://www-ebooks7-24-com.bdbiblioteca.universidadean.edu.co/?il=19902 Parkin, Michael. (2023). Microeconomics. Pearson Educación. https://www-ebooks7-24-com.bdbiblioteca.universidadean.edu.co/?il=19903 Anaya Ortiz, H. (2019). Finanzas básicas para no financieros. Cengage Learning. https://www-ebooks7-24-com.bdbiblioteca.universidadean.edu.co/?il=9978 Ross, S. A. (2022). Fundamentos de finanzas corporativas. McGraw-Hill Interamericana. https://www-ebooks7-24-com.bdbiblioteca.universidadean.edu.co/?il=22468 Brealey, R. A., Myers, S. C., &amp; Allen, F. (2011). Principios de finanzas corporativas. McGraw-Hill. Córdoba Padilla, M. (2014). Análisis financiero. Ecoe Ediciones. Scarfó, E., Vélez-Pareja, I., Sandoval-Llanos, J., Castilla-Ávila, P., Ortiz, D., &amp; Merlo, M. (2022). Análisis Financiero Integral : teoría y práctica (1a edición.). Alpha editorial. Jiménez Carabalí, V. J. (2025). Ingeniería económica para la toma de decisiones. Ediciones de la U. https://www-ebooks7-24-com.bdbiblioteca.universidadean.edu.co/?il=43448</v>
      </c>
      <c r="H29" s="52" t="s">
        <v>116</v>
      </c>
    </row>
    <row r="30" spans="2:8" ht="56.25" customHeight="1">
      <c r="B30">
        <v>27</v>
      </c>
      <c r="C30" s="33" t="s">
        <v>57</v>
      </c>
      <c r="D30" s="45" t="str">
        <f t="shared" si="1"/>
        <v>Damodaran, A. (2012). Valoración: La herramienta fundamental para la toma de decisiones financieras. McGraw-Hill. González, M., Guzmán Vásquez, A., &amp; Trujillo Dávila, M. A. (2020). Gerencia financiera basada en valor: hacia un proceso sistemático para la toma de decisiones financieras. Chu Rubio, M. (2018). Finanzas para no financieros (5a edición). Ediciones de la U. Sapag Chain, N. (2011). Proyectos de inversión: formulación y evaluación (2a ed.). Pearson.</v>
      </c>
      <c r="E30" s="46" t="str">
        <f>CONCATENATE("Bibliografía Complementaria",": ",D30)</f>
        <v>Bibliografía Complementaria: Damodaran, A. (2012). Valoración: La herramienta fundamental para la toma de decisiones financieras. McGraw-Hill. González, M., Guzmán Vásquez, A., &amp; Trujillo Dávila, M. A. (2020). Gerencia financiera basada en valor: hacia un proceso sistemático para la toma de decisiones financieras. Chu Rubio, M. (2018). Finanzas para no financieros (5a edición). Ediciones de la U. Sapag Chain, N. (2011). Proyectos de inversión: formulación y evaluación (2a ed.). Pearson.</v>
      </c>
      <c r="H30" s="52" t="s">
        <v>117</v>
      </c>
    </row>
    <row r="31" spans="2:8" ht="16.5">
      <c r="B31">
        <v>28</v>
      </c>
      <c r="C31" s="33" t="s">
        <v>118</v>
      </c>
      <c r="D31" s="5">
        <f t="shared" si="1"/>
        <v>1</v>
      </c>
      <c r="H31" s="36">
        <v>1</v>
      </c>
    </row>
    <row r="32" spans="2:8" ht="16.5">
      <c r="B32">
        <v>29</v>
      </c>
      <c r="C32" s="33" t="s">
        <v>60</v>
      </c>
      <c r="D32" s="43">
        <f t="shared" si="1"/>
        <v>46003</v>
      </c>
      <c r="H32" s="38">
        <v>46003</v>
      </c>
    </row>
    <row r="33" spans="2:8" ht="16.5">
      <c r="B33">
        <v>30</v>
      </c>
      <c r="C33" s="33" t="s">
        <v>119</v>
      </c>
      <c r="D33" s="5" t="str">
        <f t="shared" si="1"/>
        <v>DIANA FIGUEROA</v>
      </c>
      <c r="H33" s="37" t="s">
        <v>120</v>
      </c>
    </row>
    <row r="34" spans="2:8" ht="17.25" thickBot="1">
      <c r="B34">
        <v>31</v>
      </c>
      <c r="C34" s="33" t="s">
        <v>62</v>
      </c>
      <c r="D34" s="5" t="str">
        <f t="shared" si="1"/>
        <v>JOSE DIVITT VELOSA</v>
      </c>
      <c r="H34" s="35" t="s">
        <v>121</v>
      </c>
    </row>
    <row r="35" spans="2:8" ht="16.5">
      <c r="B35">
        <v>32</v>
      </c>
      <c r="C35" s="33" t="s">
        <v>63</v>
      </c>
      <c r="D35" s="34" t="s">
        <v>122</v>
      </c>
      <c r="H35" s="37" t="s">
        <v>123</v>
      </c>
    </row>
    <row r="36" spans="2:8" ht="17.25" thickBot="1">
      <c r="B36">
        <v>33</v>
      </c>
      <c r="C36" s="33" t="s">
        <v>64</v>
      </c>
      <c r="D36" s="5" t="str">
        <f>+H36</f>
        <v>CONTENIDO Y BIBLIOGRAFÍA</v>
      </c>
      <c r="H36" s="35" t="s">
        <v>124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D13" sqref="D13:I13"/>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60"/>
      <c r="C2" s="62" t="s">
        <v>0</v>
      </c>
      <c r="D2" s="62"/>
      <c r="E2" s="62"/>
      <c r="F2" s="62"/>
      <c r="G2" s="62"/>
      <c r="H2" s="62"/>
      <c r="I2" s="6" t="s">
        <v>125</v>
      </c>
    </row>
    <row r="3" spans="2:9" ht="20.25" customHeight="1">
      <c r="B3" s="61"/>
      <c r="C3" s="63"/>
      <c r="D3" s="63"/>
      <c r="E3" s="63"/>
      <c r="F3" s="63"/>
      <c r="G3" s="63"/>
      <c r="H3" s="63"/>
      <c r="I3" s="7" t="s">
        <v>2</v>
      </c>
    </row>
    <row r="4" spans="2:9" ht="21" customHeight="1" thickBot="1">
      <c r="B4" s="64" t="s">
        <v>3</v>
      </c>
      <c r="C4" s="65"/>
      <c r="D4" s="65"/>
      <c r="E4" s="65"/>
      <c r="F4" s="65"/>
      <c r="G4" s="65"/>
      <c r="H4" s="65"/>
      <c r="I4" s="8" t="s">
        <v>126</v>
      </c>
    </row>
    <row r="5" spans="2:9" ht="16.5" thickTop="1" thickBot="1">
      <c r="B5" s="178"/>
      <c r="C5" s="178"/>
      <c r="D5" s="178"/>
      <c r="E5" s="178"/>
      <c r="F5" s="178"/>
      <c r="G5" s="178"/>
      <c r="H5" s="178"/>
      <c r="I5" s="178"/>
    </row>
    <row r="6" spans="2:9">
      <c r="B6" s="179" t="s">
        <v>5</v>
      </c>
      <c r="C6" s="180"/>
      <c r="D6" s="180"/>
      <c r="E6" s="180"/>
      <c r="F6" s="180"/>
      <c r="G6" s="180"/>
      <c r="H6" s="180"/>
      <c r="I6" s="181"/>
    </row>
    <row r="7" spans="2:9" ht="60">
      <c r="B7" s="26" t="s">
        <v>6</v>
      </c>
      <c r="C7" s="1">
        <f>+Hoja1!D4</f>
        <v>2026</v>
      </c>
      <c r="D7" s="2" t="s">
        <v>7</v>
      </c>
      <c r="E7" s="47" t="str">
        <f>+Hoja1!D5</f>
        <v>PFVINIBOG002</v>
      </c>
      <c r="F7" s="2" t="s">
        <v>8</v>
      </c>
      <c r="G7" s="40" t="str">
        <f>+Hoja1!D6</f>
        <v>IFVN0022</v>
      </c>
      <c r="H7" s="2" t="s">
        <v>9</v>
      </c>
      <c r="I7" s="27" t="str">
        <f>+Hoja1!D7</f>
        <v>Nuclear</v>
      </c>
    </row>
    <row r="8" spans="2:9" ht="30">
      <c r="B8" s="26" t="s">
        <v>127</v>
      </c>
      <c r="C8" s="3" t="s">
        <v>19</v>
      </c>
      <c r="D8" s="2" t="str">
        <f>+Hoja1!E15</f>
        <v/>
      </c>
      <c r="E8" s="3" t="s">
        <v>20</v>
      </c>
      <c r="F8" s="2" t="str">
        <f>+Hoja1!F15</f>
        <v>SI</v>
      </c>
      <c r="G8" s="2" t="s">
        <v>128</v>
      </c>
      <c r="H8" s="176"/>
      <c r="I8" s="177"/>
    </row>
    <row r="9" spans="2:9" ht="45">
      <c r="B9" s="28" t="s">
        <v>129</v>
      </c>
      <c r="C9" s="25" t="s">
        <v>130</v>
      </c>
      <c r="D9" s="3" t="s">
        <v>65</v>
      </c>
      <c r="E9" s="174" t="str">
        <f>+Hoja1!D9</f>
        <v>Ingeniería Industrial</v>
      </c>
      <c r="F9" s="174"/>
      <c r="G9" s="2" t="s">
        <v>12</v>
      </c>
      <c r="H9" s="174" t="str">
        <f>+Hoja1!D10</f>
        <v>Estrategias de sostenibilidad económica</v>
      </c>
      <c r="I9" s="175"/>
    </row>
    <row r="10" spans="2:9" ht="30.75" thickBot="1">
      <c r="B10" s="29" t="s">
        <v>13</v>
      </c>
      <c r="C10" s="31">
        <f>+Hoja1!D11</f>
        <v>3</v>
      </c>
      <c r="D10" s="30" t="s">
        <v>14</v>
      </c>
      <c r="E10" s="31">
        <f>+Hoja1!D12</f>
        <v>36</v>
      </c>
      <c r="F10" s="30" t="s">
        <v>15</v>
      </c>
      <c r="G10" s="31">
        <f>+Hoja1!D13</f>
        <v>108</v>
      </c>
      <c r="H10" s="30" t="s">
        <v>16</v>
      </c>
      <c r="I10" s="32">
        <f>E10+G10</f>
        <v>144</v>
      </c>
    </row>
    <row r="11" spans="2:9">
      <c r="B11" s="97" t="s">
        <v>131</v>
      </c>
      <c r="C11" s="98"/>
      <c r="D11" s="98"/>
      <c r="E11" s="98"/>
      <c r="F11" s="98"/>
      <c r="G11" s="98"/>
      <c r="H11" s="98"/>
      <c r="I11" s="99"/>
    </row>
    <row r="12" spans="2:9" ht="37.5" customHeight="1">
      <c r="B12" s="170" t="s">
        <v>132</v>
      </c>
      <c r="C12" s="74"/>
      <c r="D12" s="171" t="str">
        <f>+Hoja1!D17</f>
        <v>El curso integra economía y finanzas para fortalecer la capacidad del ingeniero industrial de analizar, diseñar y tomar decisiones económicas y financieras que garanticen la sostenibilidad empresarial. A partir de la teoría de la firma, los estudiantes comprenderán el funcionamiento de los mercados, los costos, la estructura competitiva y el rol del Estado; y mediante herramientas financieras evaluarán el desempeño económico, la viabilidad de inversiones y la sostenibilidad de largo plazo de las organizaciones.</v>
      </c>
      <c r="E12" s="172"/>
      <c r="F12" s="172"/>
      <c r="G12" s="172"/>
      <c r="H12" s="172"/>
      <c r="I12" s="173"/>
    </row>
    <row r="13" spans="2:9" ht="83.25" customHeight="1">
      <c r="B13" s="168" t="s">
        <v>133</v>
      </c>
      <c r="C13" s="169"/>
      <c r="D13" s="171" t="s">
        <v>134</v>
      </c>
      <c r="E13" s="172"/>
      <c r="F13" s="172"/>
      <c r="G13" s="172"/>
      <c r="H13" s="172"/>
      <c r="I13" s="173"/>
    </row>
    <row r="14" spans="2:9">
      <c r="B14" s="97" t="s">
        <v>135</v>
      </c>
      <c r="C14" s="98"/>
      <c r="D14" s="98"/>
      <c r="E14" s="98"/>
      <c r="F14" s="98"/>
      <c r="G14" s="98"/>
      <c r="H14" s="98"/>
      <c r="I14" s="99"/>
    </row>
    <row r="15" spans="2:9">
      <c r="B15" s="139" t="s">
        <v>136</v>
      </c>
      <c r="C15" s="58"/>
      <c r="D15" s="58"/>
      <c r="E15" s="58"/>
      <c r="F15" s="58"/>
      <c r="G15" s="58"/>
      <c r="H15" s="58"/>
      <c r="I15" s="94"/>
    </row>
    <row r="16" spans="2:9">
      <c r="B16" s="139"/>
      <c r="C16" s="58"/>
      <c r="D16" s="58"/>
      <c r="E16" s="58"/>
      <c r="F16" s="58"/>
      <c r="G16" s="58"/>
      <c r="H16" s="58"/>
      <c r="I16" s="94"/>
    </row>
    <row r="17" spans="2:9" ht="15.75" thickBot="1">
      <c r="B17" s="140"/>
      <c r="C17" s="141"/>
      <c r="D17" s="141"/>
      <c r="E17" s="141"/>
      <c r="F17" s="141"/>
      <c r="G17" s="141"/>
      <c r="H17" s="141"/>
      <c r="I17" s="142"/>
    </row>
    <row r="18" spans="2:9" ht="15.75" thickBot="1">
      <c r="B18" s="152" t="s">
        <v>137</v>
      </c>
      <c r="C18" s="153"/>
      <c r="D18" s="153"/>
      <c r="E18" s="153"/>
      <c r="F18" s="153"/>
      <c r="G18" s="153"/>
      <c r="H18" s="153"/>
      <c r="I18" s="154"/>
    </row>
    <row r="19" spans="2:9">
      <c r="B19" s="17" t="s">
        <v>138</v>
      </c>
      <c r="C19" s="18" t="s">
        <v>139</v>
      </c>
      <c r="D19" s="17" t="s">
        <v>140</v>
      </c>
      <c r="E19" s="157" t="s">
        <v>107</v>
      </c>
      <c r="F19" s="158"/>
      <c r="G19" s="19" t="s">
        <v>141</v>
      </c>
      <c r="H19" s="155" t="s">
        <v>142</v>
      </c>
      <c r="I19" s="156"/>
    </row>
    <row r="20" spans="2:9">
      <c r="B20" s="143" t="str">
        <f>+Hoja1!E23</f>
        <v/>
      </c>
      <c r="C20" s="145"/>
      <c r="D20" s="143" t="str">
        <f>+Hoja1!F23</f>
        <v>Módulo 1: Economía y Teoría de la Firma para la sostenibilidad 1. Conceptos fundamentales de microeconomía y teoría de la firma: Oferta, demanda, elasticidades, costos, ingresos, equilibrio de la empresa. Eficiencia económica y productiva. 2. Estructuras de mercado y estrategia competitiva: Competencia perfecta, monopolio, oligopolio. Poder de mercado y fallas de mercado. 3. Macroeconomía aplicada a la empresa: PIB, inflación, desempleo, Política monetaria y fiscal, Ciclos económicos y efectos sobre la sostenibilidad. 4. Relación empresa–entorno económico: Regulación. Riesgos macroeconómicos. Externalidades y sostenibilidad. Módulo 2: Finanzas corporativas y análisis financiero 1. Estados financieros y su lectura estratégica. 2. Análisis de razones financieras: Liquidez, rentabilidad, endeudamiento, eficiencia. 3. Herramientas de análisis financiero: Excel, software especializado. 4. Benchmarking financiero y análisis sectorial. 5. Diagnóstico financiero para la sostenibilidad. Módulo 3: Evaluación financiera de proyectos y planeación estratégica sostenible 1. Valor del dinero en el tiempo. 2. Métodos de evaluación de proyectos: VAN, TIR, Payback. Análisis de sensibilidad y escenarios. 3. Evaluación sostenible de inversiones: Criterios ambientales, sociales y de gobernanza (ESG). 4. Gestión del flujo de caja y presupuestos. 5. Análisis de punto de equilibrio. 6. Financiamiento corporativo y costo de capital. 7. Planificación financiera estratégica a largo plazo.</v>
      </c>
      <c r="E20" s="144"/>
      <c r="F20" s="145"/>
      <c r="G20" s="159" t="str">
        <f>+Hoja1!G23</f>
        <v/>
      </c>
      <c r="H20" s="160"/>
      <c r="I20" s="161"/>
    </row>
    <row r="21" spans="2:9">
      <c r="B21" s="146"/>
      <c r="C21" s="148"/>
      <c r="D21" s="146"/>
      <c r="E21" s="147"/>
      <c r="F21" s="148"/>
      <c r="G21" s="162"/>
      <c r="H21" s="163"/>
      <c r="I21" s="164"/>
    </row>
    <row r="22" spans="2:9">
      <c r="B22" s="146"/>
      <c r="C22" s="148"/>
      <c r="D22" s="146"/>
      <c r="E22" s="147"/>
      <c r="F22" s="148"/>
      <c r="G22" s="162"/>
      <c r="H22" s="163"/>
      <c r="I22" s="164"/>
    </row>
    <row r="23" spans="2:9">
      <c r="B23" s="146"/>
      <c r="C23" s="148"/>
      <c r="D23" s="146"/>
      <c r="E23" s="147"/>
      <c r="F23" s="148"/>
      <c r="G23" s="162"/>
      <c r="H23" s="163"/>
      <c r="I23" s="164"/>
    </row>
    <row r="24" spans="2:9">
      <c r="B24" s="146"/>
      <c r="C24" s="148"/>
      <c r="D24" s="146"/>
      <c r="E24" s="147"/>
      <c r="F24" s="148"/>
      <c r="G24" s="162"/>
      <c r="H24" s="163"/>
      <c r="I24" s="164"/>
    </row>
    <row r="25" spans="2:9">
      <c r="B25" s="146"/>
      <c r="C25" s="148"/>
      <c r="D25" s="146"/>
      <c r="E25" s="147"/>
      <c r="F25" s="148"/>
      <c r="G25" s="162"/>
      <c r="H25" s="163"/>
      <c r="I25" s="164"/>
    </row>
    <row r="26" spans="2:9" ht="15.75" thickBot="1">
      <c r="B26" s="149"/>
      <c r="C26" s="151"/>
      <c r="D26" s="149"/>
      <c r="E26" s="150"/>
      <c r="F26" s="151"/>
      <c r="G26" s="165"/>
      <c r="H26" s="166"/>
      <c r="I26" s="167"/>
    </row>
    <row r="27" spans="2:9" ht="15.75" thickBot="1">
      <c r="B27" s="103" t="s">
        <v>143</v>
      </c>
      <c r="C27" s="104"/>
      <c r="D27" s="104"/>
      <c r="E27" s="104"/>
      <c r="F27" s="104"/>
      <c r="G27" s="104"/>
      <c r="H27" s="104"/>
      <c r="I27" s="105"/>
    </row>
    <row r="28" spans="2:9" ht="14.45" customHeight="1">
      <c r="B28" s="115" t="str">
        <f>+Hoja1!D25</f>
        <v>Guía (Fase) 1: 10%; Guía (Fase) 2: 15%; Guía (Fase) 3: 15%; Proyecto: 10%; Prueba en línea (G1, G2, G3): 30%; Encuentro final: 10%; Pruebas objetivas: 10%.</v>
      </c>
      <c r="C28" s="116"/>
      <c r="D28" s="116"/>
      <c r="E28" s="116"/>
      <c r="F28" s="116"/>
      <c r="G28" s="116"/>
      <c r="H28" s="116"/>
      <c r="I28" s="117"/>
    </row>
    <row r="29" spans="2:9">
      <c r="B29" s="118"/>
      <c r="C29" s="119"/>
      <c r="D29" s="119"/>
      <c r="E29" s="119"/>
      <c r="F29" s="119"/>
      <c r="G29" s="119"/>
      <c r="H29" s="119"/>
      <c r="I29" s="120"/>
    </row>
    <row r="30" spans="2:9">
      <c r="B30" s="118"/>
      <c r="C30" s="119"/>
      <c r="D30" s="119"/>
      <c r="E30" s="119"/>
      <c r="F30" s="119"/>
      <c r="G30" s="119"/>
      <c r="H30" s="119"/>
      <c r="I30" s="120"/>
    </row>
    <row r="31" spans="2:9">
      <c r="B31" s="118"/>
      <c r="C31" s="119"/>
      <c r="D31" s="119"/>
      <c r="E31" s="119"/>
      <c r="F31" s="119"/>
      <c r="G31" s="119"/>
      <c r="H31" s="119"/>
      <c r="I31" s="120"/>
    </row>
    <row r="32" spans="2:9" ht="15.75" thickBot="1">
      <c r="B32" s="121"/>
      <c r="C32" s="122"/>
      <c r="D32" s="122"/>
      <c r="E32" s="122"/>
      <c r="F32" s="122"/>
      <c r="G32" s="122"/>
      <c r="H32" s="122"/>
      <c r="I32" s="123"/>
    </row>
    <row r="33" spans="2:9" ht="34.5" customHeight="1" thickBot="1">
      <c r="B33" s="109" t="s">
        <v>144</v>
      </c>
      <c r="C33" s="110"/>
      <c r="D33" s="110"/>
      <c r="E33" s="111"/>
      <c r="F33" s="112" t="str">
        <f>+Hoja1!D26</f>
        <v>Plataforma LMS (Canvas), Excel, software de análisis financiero (Stata, SPSS), bases de datos financieras (Bloomberg, Reuters).</v>
      </c>
      <c r="G33" s="113"/>
      <c r="H33" s="113"/>
      <c r="I33" s="114"/>
    </row>
    <row r="34" spans="2:9" ht="15.75" thickBot="1">
      <c r="B34" s="106" t="s">
        <v>145</v>
      </c>
      <c r="C34" s="107"/>
      <c r="D34" s="107"/>
      <c r="E34" s="107"/>
      <c r="F34" s="108" t="s">
        <v>84</v>
      </c>
      <c r="G34" s="108"/>
      <c r="H34" s="20" t="s">
        <v>54</v>
      </c>
      <c r="I34" s="42">
        <f>+Hoja1!D28</f>
        <v>0.2</v>
      </c>
    </row>
    <row r="35" spans="2:9">
      <c r="B35" s="97" t="s">
        <v>146</v>
      </c>
      <c r="C35" s="98"/>
      <c r="D35" s="98"/>
      <c r="E35" s="98"/>
      <c r="F35" s="98"/>
      <c r="G35" s="98"/>
      <c r="H35" s="98"/>
      <c r="I35" s="99"/>
    </row>
    <row r="36" spans="2:9" ht="14.45" customHeight="1">
      <c r="B36" s="124" t="str">
        <f>+Hoja1!E29</f>
        <v>Bibliografía Obligatoria: Mankiw, N. G. (2020). Principios de economía. Con casos y aplicaciones para América Latina. Cengage Learning. https://www-ebooks7-24-com.bdbiblioteca.universidadean.edu.co/?il=10764 Parkin Michael. (2023). Macroeconomics. Pearson Education. https://www-ebooks7-24-com.bdbiblioteca.universidadean.edu.co/?il=19902 Parkin, Michael. (2023). Microeconomics. Pearson Educación. https://www-ebooks7-24-com.bdbiblioteca.universidadean.edu.co/?il=19903 Anaya Ortiz, H. (2019). Finanzas básicas para no financieros. Cengage Learning. https://www-ebooks7-24-com.bdbiblioteca.universidadean.edu.co/?il=9978 Ross, S. A. (2022). Fundamentos de finanzas corporativas. McGraw-Hill Interamericana. https://www-ebooks7-24-com.bdbiblioteca.universidadean.edu.co/?il=22468 Brealey, R. A., Myers, S. C., &amp; Allen, F. (2011). Principios de finanzas corporativas. McGraw-Hill. Córdoba Padilla, M. (2014). Análisis financiero. Ecoe Ediciones. Scarfó, E., Vélez-Pareja, I., Sandoval-Llanos, J., Castilla-Ávila, P., Ortiz, D., &amp; Merlo, M. (2022). Análisis Financiero Integral : teoría y práctica (1a edición.). Alpha editorial. Jiménez Carabalí, V. J. (2025). Ingeniería económica para la toma de decisiones. Ediciones de la U. https://www-ebooks7-24-com.bdbiblioteca.universidadean.edu.co/?il=43448</v>
      </c>
      <c r="C36" s="125"/>
      <c r="D36" s="125"/>
      <c r="E36" s="126"/>
      <c r="F36" s="133" t="str">
        <f>+Hoja1!E30</f>
        <v>Bibliografía Complementaria: Damodaran, A. (2012). Valoración: La herramienta fundamental para la toma de decisiones financieras. McGraw-Hill. González, M., Guzmán Vásquez, A., &amp; Trujillo Dávila, M. A. (2020). Gerencia financiera basada en valor: hacia un proceso sistemático para la toma de decisiones financieras. Chu Rubio, M. (2018). Finanzas para no financieros (5a edición). Ediciones de la U. Sapag Chain, N. (2011). Proyectos de inversión: formulación y evaluación (2a ed.). Pearson.</v>
      </c>
      <c r="G36" s="125"/>
      <c r="H36" s="125"/>
      <c r="I36" s="134"/>
    </row>
    <row r="37" spans="2:9">
      <c r="B37" s="127"/>
      <c r="C37" s="128"/>
      <c r="D37" s="128"/>
      <c r="E37" s="129"/>
      <c r="F37" s="135"/>
      <c r="G37" s="128"/>
      <c r="H37" s="128"/>
      <c r="I37" s="136"/>
    </row>
    <row r="38" spans="2:9">
      <c r="B38" s="127"/>
      <c r="C38" s="128"/>
      <c r="D38" s="128"/>
      <c r="E38" s="129"/>
      <c r="F38" s="135"/>
      <c r="G38" s="128"/>
      <c r="H38" s="128"/>
      <c r="I38" s="136"/>
    </row>
    <row r="39" spans="2:9">
      <c r="B39" s="127"/>
      <c r="C39" s="128"/>
      <c r="D39" s="128"/>
      <c r="E39" s="129"/>
      <c r="F39" s="135"/>
      <c r="G39" s="128"/>
      <c r="H39" s="128"/>
      <c r="I39" s="136"/>
    </row>
    <row r="40" spans="2:9">
      <c r="B40" s="127"/>
      <c r="C40" s="128"/>
      <c r="D40" s="128"/>
      <c r="E40" s="129"/>
      <c r="F40" s="135"/>
      <c r="G40" s="128"/>
      <c r="H40" s="128"/>
      <c r="I40" s="136"/>
    </row>
    <row r="41" spans="2:9">
      <c r="B41" s="127"/>
      <c r="C41" s="128"/>
      <c r="D41" s="128"/>
      <c r="E41" s="129"/>
      <c r="F41" s="135"/>
      <c r="G41" s="128"/>
      <c r="H41" s="128"/>
      <c r="I41" s="136"/>
    </row>
    <row r="42" spans="2:9" ht="97.5" customHeight="1" thickBot="1">
      <c r="B42" s="130"/>
      <c r="C42" s="131"/>
      <c r="D42" s="131"/>
      <c r="E42" s="132"/>
      <c r="F42" s="137"/>
      <c r="G42" s="131"/>
      <c r="H42" s="131"/>
      <c r="I42" s="138"/>
    </row>
    <row r="43" spans="2:9">
      <c r="B43" s="97" t="s">
        <v>147</v>
      </c>
      <c r="C43" s="98"/>
      <c r="D43" s="98"/>
      <c r="E43" s="98"/>
      <c r="F43" s="98"/>
      <c r="G43" s="98"/>
      <c r="H43" s="98"/>
      <c r="I43" s="99"/>
    </row>
    <row r="44" spans="2:9">
      <c r="B44" s="21" t="s">
        <v>59</v>
      </c>
      <c r="C44" s="9" t="s">
        <v>60</v>
      </c>
      <c r="D44" s="9" t="s">
        <v>119</v>
      </c>
      <c r="E44" s="9" t="s">
        <v>62</v>
      </c>
      <c r="F44" s="9" t="s">
        <v>63</v>
      </c>
      <c r="G44" s="59" t="s">
        <v>64</v>
      </c>
      <c r="H44" s="59"/>
      <c r="I44" s="100"/>
    </row>
    <row r="45" spans="2:9" ht="24.75">
      <c r="B45" s="49">
        <v>2</v>
      </c>
      <c r="C45" s="50">
        <f>+Hoja1!D32</f>
        <v>46003</v>
      </c>
      <c r="D45" s="51" t="str">
        <f>+Hoja1!D33</f>
        <v>DIANA FIGUEROA</v>
      </c>
      <c r="E45" s="51" t="str">
        <f>+Hoja1!D34</f>
        <v>JOSE DIVITT VELOSA</v>
      </c>
      <c r="F45" s="51" t="str">
        <f>+Hoja1!D35</f>
        <v>Jose Divitt Velosa</v>
      </c>
      <c r="G45" s="101" t="str">
        <f>+Hoja1!D36</f>
        <v>CONTENIDO Y BIBLIOGRAFÍA</v>
      </c>
      <c r="H45" s="101"/>
      <c r="I45" s="102"/>
    </row>
    <row r="46" spans="2:9">
      <c r="B46" s="22"/>
      <c r="C46" s="10"/>
      <c r="D46" s="10"/>
      <c r="E46" s="10"/>
      <c r="F46" s="10"/>
      <c r="G46" s="58"/>
      <c r="H46" s="58"/>
      <c r="I46" s="94"/>
    </row>
    <row r="47" spans="2:9">
      <c r="B47" s="22"/>
      <c r="C47" s="10"/>
      <c r="D47" s="10"/>
      <c r="E47" s="10"/>
      <c r="F47" s="10"/>
      <c r="G47" s="58"/>
      <c r="H47" s="58"/>
      <c r="I47" s="94"/>
    </row>
    <row r="48" spans="2:9">
      <c r="B48" s="22"/>
      <c r="C48" s="10"/>
      <c r="D48" s="10"/>
      <c r="E48" s="10"/>
      <c r="F48" s="10"/>
      <c r="G48" s="58"/>
      <c r="H48" s="58"/>
      <c r="I48" s="94"/>
    </row>
    <row r="49" spans="2:9">
      <c r="B49" s="22"/>
      <c r="C49" s="10"/>
      <c r="D49" s="10"/>
      <c r="E49" s="10"/>
      <c r="F49" s="10"/>
      <c r="G49" s="58"/>
      <c r="H49" s="58"/>
      <c r="I49" s="94"/>
    </row>
    <row r="50" spans="2:9" ht="15.75" thickBot="1">
      <c r="B50" s="23"/>
      <c r="C50" s="24"/>
      <c r="D50" s="24"/>
      <c r="E50" s="24"/>
      <c r="F50" s="24"/>
      <c r="G50" s="95"/>
      <c r="H50" s="95"/>
      <c r="I50" s="9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88</v>
      </c>
      <c r="B1" s="11" t="s">
        <v>148</v>
      </c>
      <c r="C1" s="11">
        <v>2</v>
      </c>
      <c r="D1" s="11">
        <v>36</v>
      </c>
      <c r="E1" s="11">
        <v>60</v>
      </c>
      <c r="F1" s="11" t="s">
        <v>84</v>
      </c>
      <c r="G1" s="13">
        <v>0.1</v>
      </c>
      <c r="H1" s="11" t="s">
        <v>149</v>
      </c>
    </row>
    <row r="2" spans="1:8">
      <c r="A2" s="11" t="s">
        <v>150</v>
      </c>
      <c r="B2" s="11" t="s">
        <v>151</v>
      </c>
      <c r="C2" s="11">
        <v>3</v>
      </c>
      <c r="D2" s="11">
        <v>54</v>
      </c>
      <c r="E2" s="11">
        <v>90</v>
      </c>
      <c r="F2" s="11" t="s">
        <v>152</v>
      </c>
      <c r="G2" s="13">
        <v>0.2</v>
      </c>
      <c r="H2" s="11" t="s">
        <v>130</v>
      </c>
    </row>
    <row r="3" spans="1:8">
      <c r="A3" s="11" t="s">
        <v>153</v>
      </c>
      <c r="B3" s="11" t="s">
        <v>154</v>
      </c>
      <c r="C3" s="11">
        <v>4</v>
      </c>
      <c r="D3" s="11">
        <v>72</v>
      </c>
      <c r="E3" s="11">
        <v>120</v>
      </c>
      <c r="F3" s="11" t="s">
        <v>155</v>
      </c>
      <c r="G3" s="13">
        <v>0.3</v>
      </c>
    </row>
    <row r="4" spans="1:8">
      <c r="A4" s="11" t="s">
        <v>156</v>
      </c>
      <c r="B4" s="11" t="s">
        <v>157</v>
      </c>
      <c r="C4" s="11">
        <v>5</v>
      </c>
      <c r="D4" s="11">
        <v>90</v>
      </c>
      <c r="E4" s="11">
        <v>102</v>
      </c>
      <c r="F4" s="11" t="s">
        <v>158</v>
      </c>
      <c r="G4" s="13">
        <v>0.4</v>
      </c>
    </row>
    <row r="5" spans="1:8">
      <c r="A5" s="11" t="s">
        <v>159</v>
      </c>
      <c r="B5" s="11" t="s">
        <v>160</v>
      </c>
      <c r="C5" s="11">
        <v>6</v>
      </c>
      <c r="D5" s="11">
        <v>90</v>
      </c>
      <c r="E5" s="11">
        <v>150</v>
      </c>
      <c r="F5" s="11" t="s">
        <v>161</v>
      </c>
      <c r="G5" s="13">
        <v>0.5</v>
      </c>
    </row>
    <row r="6" spans="1:8">
      <c r="B6" s="11" t="s">
        <v>162</v>
      </c>
      <c r="C6" s="11">
        <v>8</v>
      </c>
      <c r="D6" s="11">
        <v>108</v>
      </c>
      <c r="E6" s="11">
        <v>180</v>
      </c>
      <c r="G6" s="13">
        <v>0.6</v>
      </c>
    </row>
    <row r="7" spans="1:8">
      <c r="B7" s="11" t="s">
        <v>163</v>
      </c>
      <c r="D7" s="11">
        <v>144</v>
      </c>
      <c r="E7" s="11">
        <v>240</v>
      </c>
      <c r="G7" s="13">
        <v>0.7</v>
      </c>
    </row>
    <row r="8" spans="1:8">
      <c r="B8" s="11" t="s">
        <v>164</v>
      </c>
      <c r="D8" s="11">
        <v>32</v>
      </c>
      <c r="E8" s="11">
        <v>64</v>
      </c>
      <c r="G8" s="13">
        <v>0.8</v>
      </c>
    </row>
    <row r="9" spans="1:8">
      <c r="B9" s="11" t="s">
        <v>165</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2026-02-21T16:01:47Z</dcterms:modified>
  <cp:category/>
  <cp:contentStatus/>
</cp:coreProperties>
</file>