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DIRECCIÓN\2000413 INGENIERIA INDUSTRIAL -PFVINIBOG001\Syllabus\2026 S1\Nuevo formato - II\"/>
    </mc:Choice>
  </mc:AlternateContent>
  <xr:revisionPtr revIDLastSave="7" documentId="13_ncr:1_{948C791D-925A-40D2-8DF7-EDA296293AF1}" xr6:coauthVersionLast="47" xr6:coauthVersionMax="47" xr10:uidLastSave="{AF3A6C63-7CA8-4DF2-A564-505102B3133B}"/>
  <bookViews>
    <workbookView xWindow="-120" yWindow="-120" windowWidth="20730" windowHeight="11040" firstSheet="3" activeTab="3" xr2:uid="{79C19C23-9E31-446A-A15A-4EB9549A8DE9}"/>
  </bookViews>
  <sheets>
    <sheet name="Formato Syllabus" sheetId="1" state="hidden" r:id="rId1"/>
    <sheet name="Formato Syllabus_NV" sheetId="3" state="hidden" r:id="rId2"/>
    <sheet name="Hoja1" sheetId="5" r:id="rId3"/>
    <sheet name="Formato Syllabus_NV (2)" sheetId="4" r:id="rId4"/>
    <sheet name="Parámetr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5" l="1"/>
  <c r="E30" i="5" s="1"/>
  <c r="F36" i="4" s="1"/>
  <c r="D29" i="5"/>
  <c r="E29" i="5" s="1"/>
  <c r="B36" i="4" s="1"/>
  <c r="D36" i="5"/>
  <c r="G45" i="4" s="1"/>
  <c r="F45" i="4"/>
  <c r="D15" i="5"/>
  <c r="F15" i="5" s="1"/>
  <c r="F8" i="4" s="1"/>
  <c r="G23" i="5"/>
  <c r="G20" i="4" s="1"/>
  <c r="F23" i="5"/>
  <c r="D20" i="4" s="1"/>
  <c r="E23" i="5"/>
  <c r="B20" i="4" s="1"/>
  <c r="D34" i="5"/>
  <c r="E45" i="4" s="1"/>
  <c r="D33" i="5"/>
  <c r="D45" i="4" s="1"/>
  <c r="D32" i="5"/>
  <c r="C45" i="4" s="1"/>
  <c r="D31" i="5"/>
  <c r="D28" i="5"/>
  <c r="I34" i="4" s="1"/>
  <c r="D27" i="5"/>
  <c r="D26" i="5"/>
  <c r="F33" i="4"/>
  <c r="D25" i="5"/>
  <c r="B28" i="4" s="1"/>
  <c r="G7" i="4"/>
  <c r="E7" i="4"/>
  <c r="D17" i="5"/>
  <c r="D12" i="4" s="1"/>
  <c r="D18" i="5"/>
  <c r="D19" i="5"/>
  <c r="D13" i="5"/>
  <c r="G10" i="4" s="1"/>
  <c r="D14" i="5"/>
  <c r="D16" i="5"/>
  <c r="D12" i="5"/>
  <c r="E10" i="4" s="1"/>
  <c r="D10" i="5"/>
  <c r="H9" i="4" s="1"/>
  <c r="D9" i="5"/>
  <c r="E9" i="4" s="1"/>
  <c r="D8" i="5"/>
  <c r="D7" i="5"/>
  <c r="I7" i="4" s="1"/>
  <c r="C10" i="4"/>
  <c r="C7" i="4"/>
  <c r="I9" i="3"/>
  <c r="I9" i="1"/>
  <c r="E15" i="5" l="1"/>
  <c r="D8" i="4" s="1"/>
  <c r="I10" i="4"/>
</calcChain>
</file>

<file path=xl/sharedStrings.xml><?xml version="1.0" encoding="utf-8"?>
<sst xmlns="http://schemas.openxmlformats.org/spreadsheetml/2006/main" count="266" uniqueCount="167">
  <si>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</si>
  <si>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</si>
  <si>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</si>
  <si>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</si>
  <si>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</si>
  <si>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</si>
  <si>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</si>
  <si>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</si>
  <si>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</si>
  <si>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</si>
  <si>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</si>
  <si>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</si>
  <si>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</si>
  <si>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</si>
  <si>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</si>
  <si>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</si>
  <si>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</si>
  <si>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</si>
  <si>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</si>
  <si>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</si>
  <si>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</si>
  <si>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</si>
  <si>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</si>
  <si>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</si>
  <si>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</si>
  <si>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</si>
  <si>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</si>
  <si>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</si>
  <si>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</si>
  <si>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</si>
  <si>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</si>
  <si>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</si>
  <si>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</si>
  <si>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</si>
  <si>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</si>
  <si>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</si>
  <si>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</si>
  <si>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</si>
  <si>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</si>
  <si>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</si>
  <si>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</si>
  <si>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</si>
  <si>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</si>
  <si>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</si>
  <si>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</si>
  <si>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</si>
  <si>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</si>
  <si>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</si>
  <si>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</si>
  <si>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</si>
  <si>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</si>
  <si>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</si>
  <si>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</si>
  <si>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</si>
  <si>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</si>
  <si>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</si>
  <si>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</si>
  <si>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</si>
  <si>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</si>
  <si>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</si>
  <si>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</si>
  <si>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</si>
  <si>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</si>
  <si>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</si>
  <si>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</si>
  <si>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</si>
  <si>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</si>
  <si>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</si>
  <si>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</si>
  <si>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</si>
  <si>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</si>
  <si>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</si>
  <si>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</si>
  <si>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</si>
  <si>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</si>
  <si>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</si>
  <si>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</si>
  <si>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</si>
  <si>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</si>
  <si>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</si>
  <si>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</si>
  <si>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</si>
  <si>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</si>
  <si>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</si>
  <si>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</si>
  <si>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Información Extraída</t>
  </si>
  <si>
    <t>PFVINIBOG002</t>
  </si>
  <si>
    <t>IFVN0011</t>
  </si>
  <si>
    <t>Nuclear</t>
  </si>
  <si>
    <t>Facultad de Ingeniería</t>
  </si>
  <si>
    <t>Ingeniería Industrial</t>
  </si>
  <si>
    <t>Nombre Unidad de estudios</t>
  </si>
  <si>
    <t>Factores humanos y organización</t>
  </si>
  <si>
    <t>Modalidad (Presencial / Virtual)</t>
  </si>
  <si>
    <t>VIRTUAL</t>
  </si>
  <si>
    <t>Metodología (PAT / In Situ / Híbrida)</t>
  </si>
  <si>
    <t>Aprendizaje basado en retos, Aprendizaje basado en proyectos, Aprendizaje basado en caso de estudio, Aprendizaje experiencial, Aprendizaje basado en problemas, Aprendizaje basado en investigación</t>
  </si>
  <si>
    <t>Proporcionar una comprensión profunda de la interacción entre los seres humanos y los sistemas de trabajo para diseñar entornos productivos, seguros y ergonómicos.</t>
  </si>
  <si>
    <t>No se especifica una competencia general de programa independiente en el texto.</t>
  </si>
  <si>
    <t>Resultado de Aprendizaje de Programa</t>
  </si>
  <si>
    <t>No se detalla un resultado específico de nivel programa en el documento.</t>
  </si>
  <si>
    <t>Resultado de Aprendizaje de la Unidad de Estudio</t>
  </si>
  <si>
    <t>Diseñar y optimizar sistemas de trabajo integrales considerando capacidades humanas, ergonomía y estructura organizacional para mejorar bienestar y productividad.</t>
  </si>
  <si>
    <t>Criterios de evaluación (1, 2, 3, 4)</t>
  </si>
  <si>
    <t>1. Realización de lecturas que motiven la reflexión de los temas tratados en el módulo. 2. Prueba individual de conocimiento. 3. Avance N.1 del proyecto integrador. 4. Avance N.2 del proyecto integrador. 5. Avance N.3 del proyecto integrador. 6. Proyecto integrador final. 7. Prueba en línea Unidad de estudio.</t>
  </si>
  <si>
    <t>Competencias del modelo educativo (EM, SH, IN, COM, SO, AA, SE, COL, DI)</t>
  </si>
  <si>
    <t>EM, SH, IN, CO, SO, AU, SE, COL, DI.</t>
  </si>
  <si>
    <t>Contenidos de la Unidad de estudio</t>
  </si>
  <si>
    <t>9 Semanas</t>
  </si>
  <si>
    <t>Módulo 1: Talento Humano y Diseño Organizacional 1. La contribución del Talento Humano como eje vital de la Organización. 2. Tendencias globales que impactan la Gestión Humana y su relación con el Diseño Organizacional. 3. Planeación del Talento Humano para la Organización: 3.1 Aspectos que influyen en la proyección de necesidades de Talento Humano. 3.2. Diseño Ocupacional: Estructura organizacional y análisis y descripción de cargos. Módulo 2: Adquisición, Desarrollo y Retención del Talento 1. La Gestión Humana responsable de impulsar el ciclo de vida del talento en la Organización. 2. Adquisición del Talento: 2.1 Estrategias de Atracción, 2.2 Proceso de reclutamiento y Selección, 2.3 Proceso de Vinculación y Contratación. 3. Desarrollo: 3.1 Onboarding, 3.2 Plan de Carrera, 3.3 Formación y Entrenamiento. 4. Otras estrategias que contribuyen a la Retención: 4.1 Sistemas de Compensación, 4.2 Reconocimiento y Recompensa, 4.3 Creación de ambientes de trabajo positivos para la productividad y el bienestar. 5. Desvinculación Laboral: outplacement como estrategia clave. Módulo 3: Resultados Sostenibles de la Gestión Humana en la Organización 1. El vínculo entre la Gestión del Desempeño y la Satisfacción Laboral. 2. La retroalimentación y la evaluación del desempeño. 3. La medición del clima laboral. 4. Las métricas de la Gestión del Talento Humano.</t>
  </si>
  <si>
    <t>Estrategias Pedagógicas</t>
  </si>
  <si>
    <t>Realización de lecturas reflexivas, pruebas individuales de conocimiento, desarrollo de proyecto integrador por avances, aprendizaje basado en retos, proyectos, casos de estudio, experiencial, problemas e investigación.</t>
  </si>
  <si>
    <t>Esquema de Calificación</t>
  </si>
  <si>
    <t>Guía (Fase) 1: 15%; Guía (Fase) 2: 25%; Guía (Fase) 3: 15%; Proyecto integrador: 30%; Prueba en línea Unidad de estudio: 15%.</t>
  </si>
  <si>
    <t>1. Plataforma de aprendizaje en línea. 2. Bases de datos de la biblioteca. 3. Software de gestión de recursos humanos. 4. Herramientas de análisis de datos.</t>
  </si>
  <si>
    <t>Componente de Lengua Extranjera</t>
  </si>
  <si>
    <t>Ingles</t>
  </si>
  <si>
    <t>Arroyo Tovar, R. (2022). Habilidades Gerenciales : desarrollo de destrezas, competencias y actitud (3a edición.). Ecoe Ediciones. Castillo Aponte, J. Gestión humana integral. La previsión de la fuerza laboral. Ecoe Ediciones, 2020. pp.23 - 36 https://elibro-net.bdbiblioteca.universidadean.edu.co/es/ereader/bibliotecaeanecoe/129215?page=5. Chiavenato, I. (2020). Evaluación de la gestión del talento humano .En Gestión del talento humano: el nuevo papel de los recursos humanos en las organizaciones. (5ª ed., pp. 447 -469) . McGraw-Hill. http://www-ebooks7-24-com.bdbiblioteca.universidadean.edu.co/stage.aspx?il=9350&amp;pg=&amp;ed= Huang, L., Chen, Y., &amp; Wang, J. (2025). Prácticas estratégicas de recursos humanos impulsadas por ESG: Transformación de la gestión de empleados para un crecimiento organizacional sostenible. Cornell University. arXiv. https://arxiv.org/abs/2505.08201 Suárez, P. (2025). Organizaciones basadas en habilidades: el nuevo modelo de gestión del talento humano. Revista Recursos Humanos. https://revistarecursoshumanos.com/gestiontalento/organizaciones-basadas-en-habilidades-el-nuevo-modelo-de-gestion-del-talento-humano/</t>
  </si>
  <si>
    <t>Adaptación digital y cuidado del talento. (2024). Revista Gestión Humana. Deloitte. (2025). Tendencias Globales de Capital Humano 2025. Recursos humanos, fuerza laboral y tendencias en el lugar de trabajo del futuro. Blog Comercial Deloitte. http/www.deloitte.com/latam/es/services/consulting/research/tendencias-globales-de-capital-humano-2025.html Judge, T. A., Piccolo, R. F., Podsakoff, N. P., Shaw, J. C., &amp; Rich, B. L. (2010). La relación entre el salario y la satisfacción laboral: un metaanálisis de la literatura. Journal of Vocational Behavior, 77(2), 157–167. https://doi.org/10.1016/j.jvb.2010.04.002 ManpowerGroup. (2023). Escasez de talento 2023. ManpowerGroup. https://www.manpowergroup.com/ Parra, J. M., Torres, C., &amp; Herrera Sarmiento, E. (2023). ¿Por qué perdemos talento? : cómo gestionar el journey de los colaboradores en la empresa (1a edición.). Ediciones de la U. Pujol-Cols, L. &amp; Lazzaro-Salazar, M. (2022). Gestión de la diversidad en el trabajo. Universidad del Sur (Ed.) Administración de recursos humanos: perspectiva académica y práctica profesional (Edición N.1, pp.155-157). Ediuns. https://www.researchgate.net/publication/365318675_Gestion_de_la_diversidad_en_el_trabajo</t>
  </si>
  <si>
    <t>Número de versión</t>
  </si>
  <si>
    <t>Elaboró</t>
  </si>
  <si>
    <t>SANDRA XIMENA DIAZ</t>
  </si>
  <si>
    <t>JOSE DIVITT VELOSA</t>
  </si>
  <si>
    <t>Jose Divitt Velosa</t>
  </si>
  <si>
    <t>JEFFREY LEÓN</t>
  </si>
  <si>
    <t>NUEVA MALLA</t>
  </si>
  <si>
    <t>Versión:  1</t>
  </si>
  <si>
    <r>
      <t xml:space="preserve">Fecha: </t>
    </r>
    <r>
      <rPr>
        <b/>
        <sz val="10"/>
        <rFont val="Arial Narrow"/>
        <family val="2"/>
      </rPr>
      <t>17/Feb/2026</t>
    </r>
  </si>
  <si>
    <t>Modalidad</t>
  </si>
  <si>
    <t>Presencial y Virtual</t>
  </si>
  <si>
    <t xml:space="preserve">Nivel </t>
  </si>
  <si>
    <t>Pregrado</t>
  </si>
  <si>
    <t>2.	Descripción  Resultados de Aprendizaje.</t>
  </si>
  <si>
    <t>Descripción de la unidad de estudio</t>
  </si>
  <si>
    <t>Resultado de Aprendizaje</t>
  </si>
  <si>
    <t>Estructura sistemas de gestión de operación y logística, para la producción de bienes o servicios  mediante las  prácticas analíticas, computacionales y experimentales apropiadas, de manera eficaz, eficiente, sostenible y socialmente responsable.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</si>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</sst>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Segoe UI"/>
      <family val="2"/>
    </font>
    <font>
      <sz val="10"/>
      <color theme="1"/>
      <name val="Arial"/>
      <family val="2"/>
    </font>
    <font>
      <sz val="9"/>
      <color theme="1"/>
      <name val="Calibri"/>
      <family val="2"/>
      <scheme val="minor"/>
    </font>
    <font>
      <sz val="8"/>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8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xf>
    <xf numFmtId="0" fontId="0" fillId="4" borderId="1" xfId="0" applyFill="1" applyBorder="1"/>
    <xf numFmtId="0" fontId="9" fillId="0" borderId="60" xfId="0" applyFont="1" applyBorder="1" applyAlignment="1">
      <alignment vertical="center"/>
    </xf>
    <xf numFmtId="0" fontId="9" fillId="0" borderId="60" xfId="0" applyFont="1" applyBorder="1" applyAlignment="1">
      <alignment horizontal="right" wrapText="1"/>
    </xf>
    <xf numFmtId="0" fontId="9" fillId="0" borderId="60" xfId="0" applyFont="1" applyBorder="1" applyAlignment="1">
      <alignment wrapText="1"/>
    </xf>
    <xf numFmtId="9" fontId="9" fillId="0" borderId="60" xfId="0" applyNumberFormat="1" applyFont="1" applyBorder="1" applyAlignment="1">
      <alignment horizontal="right" wrapText="1"/>
    </xf>
    <xf numFmtId="14" fontId="9" fillId="0" borderId="60" xfId="0" applyNumberFormat="1" applyFont="1" applyBorder="1" applyAlignment="1">
      <alignment horizontal="right" wrapText="1"/>
    </xf>
    <xf numFmtId="0" fontId="1" fillId="4" borderId="1" xfId="0" applyFont="1" applyFill="1" applyBorder="1"/>
    <xf numFmtId="0" fontId="10" fillId="0" borderId="1" xfId="0" applyFont="1" applyBorder="1" applyAlignment="1">
      <alignment horizontal="center" vertical="center"/>
    </xf>
    <xf numFmtId="9" fontId="0" fillId="0" borderId="1" xfId="0" applyNumberFormat="1" applyBorder="1"/>
    <xf numFmtId="9" fontId="0" fillId="0" borderId="45" xfId="0" applyNumberFormat="1" applyBorder="1"/>
    <xf numFmtId="14" fontId="0" fillId="0" borderId="1" xfId="0" applyNumberFormat="1" applyBorder="1"/>
    <xf numFmtId="0" fontId="0" fillId="4" borderId="1" xfId="0" applyFill="1" applyBorder="1" applyAlignment="1">
      <alignment horizontal="center" vertical="center"/>
    </xf>
    <xf numFmtId="0" fontId="11" fillId="0" borderId="1" xfId="0" applyFont="1" applyBorder="1" applyAlignment="1">
      <alignment wrapText="1"/>
    </xf>
    <xf numFmtId="0" fontId="11" fillId="4" borderId="1" xfId="0" applyFont="1" applyFill="1" applyBorder="1" applyAlignment="1">
      <alignment wrapText="1"/>
    </xf>
    <xf numFmtId="0" fontId="10" fillId="0" borderId="1" xfId="0" applyFont="1" applyBorder="1" applyAlignment="1">
      <alignment horizontal="center" vertical="center" wrapText="1"/>
    </xf>
    <xf numFmtId="0" fontId="0" fillId="5" borderId="1" xfId="0" applyFill="1" applyBorder="1"/>
    <xf numFmtId="0" fontId="10" fillId="0" borderId="36" xfId="0" applyFont="1" applyBorder="1" applyAlignment="1">
      <alignment wrapText="1"/>
    </xf>
    <xf numFmtId="14" fontId="10" fillId="0" borderId="1" xfId="0" applyNumberFormat="1" applyFont="1" applyBorder="1" applyAlignment="1">
      <alignment wrapText="1"/>
    </xf>
    <xf numFmtId="0" fontId="10" fillId="0" borderId="1" xfId="0" applyFont="1" applyBorder="1" applyAlignment="1">
      <alignment wrapText="1"/>
    </xf>
    <xf numFmtId="0" fontId="9" fillId="0" borderId="60" xfId="0" applyFont="1" applyBorder="1" applyAlignment="1">
      <alignment vertical="center" wrapText="1"/>
    </xf>
    <xf numFmtId="0" fontId="0" fillId="0" borderId="0" xfId="0" applyAlignment="1">
      <alignment vertical="center"/>
    </xf>
    <xf numFmtId="0" fontId="0" fillId="0" borderId="1" xfId="0" applyBorder="1" applyAlignment="1">
      <alignment vertical="center"/>
    </xf>
    <xf numFmtId="0" fontId="0" fillId="4" borderId="1" xfId="0" applyFill="1" applyBorder="1" applyAlignment="1">
      <alignment vertical="center"/>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0" fillId="0" borderId="1" xfId="0" applyFont="1" applyBorder="1" applyAlignment="1">
      <alignment horizontal="center" wrapText="1"/>
    </xf>
    <xf numFmtId="0" fontId="10"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1" fillId="0" borderId="23"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0" fontId="11" fillId="0" borderId="25" xfId="0" applyFont="1" applyBorder="1" applyAlignment="1">
      <alignment horizontal="center" vertical="top" wrapText="1"/>
    </xf>
    <xf numFmtId="0" fontId="11" fillId="0" borderId="0" xfId="0" applyFont="1" applyAlignment="1">
      <alignment horizontal="center" vertical="top" wrapText="1"/>
    </xf>
    <xf numFmtId="0" fontId="11" fillId="0" borderId="20" xfId="0" applyFont="1" applyBorder="1" applyAlignment="1">
      <alignment horizontal="center" vertical="top" wrapText="1"/>
    </xf>
    <xf numFmtId="0" fontId="11" fillId="0" borderId="27" xfId="0" applyFont="1" applyBorder="1" applyAlignment="1">
      <alignment horizontal="center" vertical="top" wrapText="1"/>
    </xf>
    <xf numFmtId="0" fontId="11" fillId="0" borderId="31" xfId="0" applyFont="1" applyBorder="1" applyAlignment="1">
      <alignment horizontal="center" vertical="top" wrapText="1"/>
    </xf>
    <xf numFmtId="0" fontId="11" fillId="0" borderId="54" xfId="0" applyFont="1" applyBorder="1" applyAlignment="1">
      <alignment horizontal="center" vertical="top" wrapText="1"/>
    </xf>
    <xf numFmtId="0" fontId="11" fillId="0" borderId="16" xfId="0" applyFont="1" applyBorder="1" applyAlignment="1">
      <alignment horizontal="center" vertical="top" wrapText="1"/>
    </xf>
    <xf numFmtId="0" fontId="11" fillId="0" borderId="24" xfId="0" applyFont="1" applyBorder="1" applyAlignment="1">
      <alignment horizontal="center" vertical="top" wrapText="1"/>
    </xf>
    <xf numFmtId="0" fontId="11" fillId="0" borderId="19" xfId="0" applyFont="1" applyBorder="1" applyAlignment="1">
      <alignment horizontal="center" vertical="top" wrapText="1"/>
    </xf>
    <xf numFmtId="0" fontId="11" fillId="0" borderId="26" xfId="0" applyFont="1" applyBorder="1" applyAlignment="1">
      <alignment horizontal="center" vertical="top" wrapText="1"/>
    </xf>
    <xf numFmtId="0" fontId="11" fillId="0" borderId="55" xfId="0" applyFont="1" applyBorder="1" applyAlignment="1">
      <alignment horizontal="center" vertical="top" wrapText="1"/>
    </xf>
    <xf numFmtId="0" fontId="11" fillId="0" borderId="28" xfId="0" applyFont="1" applyBorder="1" applyAlignment="1">
      <alignment horizontal="center" vertical="top" wrapText="1"/>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center" wrapText="1"/>
    </xf>
    <xf numFmtId="0" fontId="0" fillId="0" borderId="17"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31"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59" xfId="0" applyFont="1" applyBorder="1" applyAlignment="1">
      <alignment horizontal="center" wrapText="1"/>
    </xf>
    <xf numFmtId="0" fontId="11" fillId="0" borderId="2" xfId="0" applyFont="1" applyBorder="1" applyAlignment="1">
      <alignment horizontal="center" wrapText="1"/>
    </xf>
    <xf numFmtId="0" fontId="11" fillId="0" borderId="15" xfId="0" applyFont="1" applyBorder="1" applyAlignment="1">
      <alignment horizontal="center" wrapText="1"/>
    </xf>
    <xf numFmtId="0" fontId="11" fillId="0" borderId="56" xfId="0" applyFont="1"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59"/>
      <c r="C2" s="61" t="s">
        <v>0</v>
      </c>
      <c r="D2" s="61"/>
      <c r="E2" s="61"/>
      <c r="F2" s="61"/>
      <c r="G2" s="61"/>
      <c r="H2" s="61"/>
      <c r="I2" s="6" t="s">
        <v>1</v>
      </c>
    </row>
    <row r="3" spans="2:9" ht="20.25" customHeight="1">
      <c r="B3" s="60"/>
      <c r="C3" s="62"/>
      <c r="D3" s="62"/>
      <c r="E3" s="62"/>
      <c r="F3" s="62"/>
      <c r="G3" s="62"/>
      <c r="H3" s="62"/>
      <c r="I3" s="7" t="s">
        <v>2</v>
      </c>
    </row>
    <row r="4" spans="2:9" ht="21" customHeight="1" thickBot="1">
      <c r="B4" s="63" t="s">
        <v>3</v>
      </c>
      <c r="C4" s="64"/>
      <c r="D4" s="64"/>
      <c r="E4" s="64"/>
      <c r="F4" s="64"/>
      <c r="G4" s="64"/>
      <c r="H4" s="64"/>
      <c r="I4" s="8" t="s">
        <v>4</v>
      </c>
    </row>
    <row r="5" spans="2:9" ht="15.75" thickTop="1">
      <c r="B5" s="68"/>
      <c r="C5" s="68"/>
      <c r="D5" s="68"/>
      <c r="E5" s="68"/>
      <c r="F5" s="68"/>
      <c r="G5" s="68"/>
      <c r="H5" s="68"/>
      <c r="I5" s="68"/>
    </row>
    <row r="6" spans="2:9">
      <c r="B6" s="68" t="s">
        <v>5</v>
      </c>
      <c r="C6" s="68"/>
      <c r="D6" s="68"/>
      <c r="E6" s="68"/>
      <c r="F6" s="68"/>
      <c r="G6" s="68"/>
      <c r="H6" s="68"/>
      <c r="I6" s="68"/>
    </row>
    <row r="7" spans="2:9" ht="60">
      <c r="B7" s="3" t="s">
        <v>6</v>
      </c>
      <c r="C7" s="1"/>
      <c r="D7" s="2" t="s">
        <v>7</v>
      </c>
      <c r="E7" s="1"/>
      <c r="F7" s="2" t="s">
        <v>8</v>
      </c>
      <c r="G7" s="1"/>
      <c r="H7" s="2" t="s">
        <v>9</v>
      </c>
      <c r="I7" s="1"/>
    </row>
    <row r="8" spans="2:9" ht="45">
      <c r="B8" s="2" t="s">
        <v>10</v>
      </c>
      <c r="C8" s="1"/>
      <c r="D8" s="3" t="s">
        <v>11</v>
      </c>
      <c r="E8" s="75"/>
      <c r="F8" s="75"/>
      <c r="G8" s="2" t="s">
        <v>12</v>
      </c>
      <c r="H8" s="75"/>
      <c r="I8" s="75"/>
    </row>
    <row r="9" spans="2:9" ht="30">
      <c r="B9" s="2" t="s">
        <v>13</v>
      </c>
      <c r="C9" s="5"/>
      <c r="D9" s="2" t="s">
        <v>14</v>
      </c>
      <c r="E9" s="5"/>
      <c r="F9" s="2" t="s">
        <v>15</v>
      </c>
      <c r="G9" s="5"/>
      <c r="H9" s="2" t="s">
        <v>16</v>
      </c>
      <c r="I9" s="5">
        <f>E9+G9</f>
        <v>0</v>
      </c>
    </row>
    <row r="10" spans="2:9">
      <c r="B10" s="74" t="s">
        <v>17</v>
      </c>
      <c r="C10" s="58"/>
      <c r="D10" s="58"/>
      <c r="E10" s="58"/>
      <c r="F10" s="58"/>
      <c r="G10" s="58"/>
      <c r="H10" s="58"/>
      <c r="I10" s="58"/>
    </row>
    <row r="11" spans="2:9">
      <c r="B11" s="74" t="s">
        <v>18</v>
      </c>
      <c r="C11" s="74"/>
      <c r="D11" s="68" t="s">
        <v>19</v>
      </c>
      <c r="E11" s="69"/>
      <c r="F11" s="69"/>
      <c r="G11" s="68" t="s">
        <v>20</v>
      </c>
      <c r="H11" s="69"/>
      <c r="I11" s="69"/>
    </row>
    <row r="12" spans="2:9">
      <c r="B12" s="74"/>
      <c r="C12" s="74"/>
      <c r="D12" s="68"/>
      <c r="E12" s="69"/>
      <c r="F12" s="69"/>
      <c r="G12" s="68"/>
      <c r="H12" s="69"/>
      <c r="I12" s="69"/>
    </row>
    <row r="13" spans="2:9">
      <c r="B13" s="58" t="s">
        <v>21</v>
      </c>
      <c r="C13" s="58"/>
      <c r="D13" s="58"/>
      <c r="E13" s="58"/>
      <c r="F13" s="58"/>
      <c r="G13" s="58"/>
      <c r="H13" s="58"/>
      <c r="I13" s="58"/>
    </row>
    <row r="14" spans="2:9">
      <c r="B14" s="3" t="s">
        <v>22</v>
      </c>
      <c r="C14" s="75"/>
      <c r="D14" s="75"/>
      <c r="E14" s="3" t="s">
        <v>23</v>
      </c>
      <c r="F14" s="1"/>
      <c r="G14" s="3" t="s">
        <v>24</v>
      </c>
      <c r="H14" s="75"/>
      <c r="I14" s="75"/>
    </row>
    <row r="15" spans="2:9">
      <c r="B15" s="58" t="s">
        <v>25</v>
      </c>
      <c r="C15" s="58"/>
      <c r="D15" s="58"/>
      <c r="E15" s="58"/>
      <c r="F15" s="58"/>
      <c r="G15" s="58"/>
      <c r="H15" s="58"/>
      <c r="I15" s="58"/>
    </row>
    <row r="16" spans="2:9">
      <c r="B16" s="74" t="s">
        <v>26</v>
      </c>
      <c r="C16" s="74"/>
      <c r="D16" s="69"/>
      <c r="E16" s="69"/>
      <c r="F16" s="69"/>
      <c r="G16" s="69"/>
      <c r="H16" s="69"/>
      <c r="I16" s="69"/>
    </row>
    <row r="17" spans="2:9">
      <c r="B17" s="74"/>
      <c r="C17" s="74"/>
      <c r="D17" s="69"/>
      <c r="E17" s="69"/>
      <c r="F17" s="69"/>
      <c r="G17" s="69"/>
      <c r="H17" s="69"/>
      <c r="I17" s="69"/>
    </row>
    <row r="18" spans="2:9">
      <c r="B18" s="72" t="s">
        <v>27</v>
      </c>
      <c r="C18" s="73"/>
      <c r="D18" s="69"/>
      <c r="E18" s="69"/>
      <c r="F18" s="69"/>
      <c r="G18" s="69"/>
      <c r="H18" s="69"/>
      <c r="I18" s="69"/>
    </row>
    <row r="19" spans="2:9">
      <c r="B19" s="74" t="s">
        <v>28</v>
      </c>
      <c r="C19" s="74"/>
      <c r="D19" s="69"/>
      <c r="E19" s="69"/>
      <c r="F19" s="69"/>
      <c r="G19" s="69"/>
      <c r="H19" s="69"/>
      <c r="I19" s="69"/>
    </row>
    <row r="20" spans="2:9">
      <c r="B20" s="74"/>
      <c r="C20" s="74"/>
      <c r="D20" s="69"/>
      <c r="E20" s="69"/>
      <c r="F20" s="69"/>
      <c r="G20" s="69"/>
      <c r="H20" s="69"/>
      <c r="I20" s="69"/>
    </row>
    <row r="21" spans="2:9">
      <c r="B21" s="74" t="s">
        <v>29</v>
      </c>
      <c r="C21" s="74"/>
      <c r="D21" s="69"/>
      <c r="E21" s="69"/>
      <c r="F21" s="69"/>
      <c r="G21" s="69"/>
      <c r="H21" s="69"/>
      <c r="I21" s="69"/>
    </row>
    <row r="22" spans="2:9">
      <c r="B22" s="74"/>
      <c r="C22" s="74"/>
      <c r="D22" s="69"/>
      <c r="E22" s="69"/>
      <c r="F22" s="69"/>
      <c r="G22" s="69"/>
      <c r="H22" s="69"/>
      <c r="I22" s="69"/>
    </row>
    <row r="23" spans="2:9">
      <c r="B23" s="68" t="s">
        <v>30</v>
      </c>
      <c r="C23" s="68"/>
      <c r="D23" s="69" t="s">
        <v>31</v>
      </c>
      <c r="E23" s="69"/>
      <c r="F23" s="69"/>
      <c r="G23" s="69"/>
      <c r="H23" s="69"/>
      <c r="I23" s="69"/>
    </row>
    <row r="24" spans="2:9">
      <c r="B24" s="68"/>
      <c r="C24" s="68"/>
      <c r="D24" s="69" t="s">
        <v>32</v>
      </c>
      <c r="E24" s="69"/>
      <c r="F24" s="69"/>
      <c r="G24" s="69"/>
      <c r="H24" s="69"/>
      <c r="I24" s="69"/>
    </row>
    <row r="25" spans="2:9">
      <c r="B25" s="68"/>
      <c r="C25" s="68"/>
      <c r="D25" s="69" t="s">
        <v>33</v>
      </c>
      <c r="E25" s="69"/>
      <c r="F25" s="69"/>
      <c r="G25" s="69"/>
      <c r="H25" s="69"/>
      <c r="I25" s="69"/>
    </row>
    <row r="26" spans="2:9">
      <c r="B26" s="68"/>
      <c r="C26" s="68"/>
      <c r="D26" s="69" t="s">
        <v>34</v>
      </c>
      <c r="E26" s="69"/>
      <c r="F26" s="69"/>
      <c r="G26" s="69"/>
      <c r="H26" s="69"/>
      <c r="I26" s="69"/>
    </row>
    <row r="27" spans="2:9">
      <c r="B27" s="70" t="s">
        <v>35</v>
      </c>
      <c r="C27" s="70"/>
      <c r="D27" s="3" t="s">
        <v>36</v>
      </c>
      <c r="E27" s="1"/>
      <c r="F27" s="3" t="s">
        <v>37</v>
      </c>
      <c r="G27" s="1"/>
      <c r="H27" s="3" t="s">
        <v>38</v>
      </c>
      <c r="I27" s="1"/>
    </row>
    <row r="28" spans="2:9">
      <c r="B28" s="70"/>
      <c r="C28" s="70"/>
      <c r="D28" s="4" t="s">
        <v>39</v>
      </c>
      <c r="E28" s="1"/>
      <c r="F28" s="3" t="s">
        <v>40</v>
      </c>
      <c r="G28" s="1"/>
      <c r="H28" s="3" t="s">
        <v>41</v>
      </c>
      <c r="I28" s="1"/>
    </row>
    <row r="29" spans="2:9">
      <c r="B29" s="70"/>
      <c r="C29" s="70"/>
      <c r="D29" s="3" t="s">
        <v>42</v>
      </c>
      <c r="E29" s="1"/>
      <c r="F29" s="3" t="s">
        <v>43</v>
      </c>
      <c r="G29" s="1"/>
      <c r="H29" s="3" t="s">
        <v>44</v>
      </c>
      <c r="I29" s="1"/>
    </row>
    <row r="30" spans="2:9">
      <c r="B30" s="71" t="s">
        <v>45</v>
      </c>
      <c r="C30" s="71"/>
      <c r="D30" s="71"/>
      <c r="E30" s="71"/>
      <c r="F30" s="71"/>
      <c r="G30" s="71"/>
      <c r="H30" s="71"/>
      <c r="I30" s="71"/>
    </row>
    <row r="31" spans="2:9">
      <c r="B31" s="71"/>
      <c r="C31" s="71"/>
      <c r="D31" s="71"/>
      <c r="E31" s="71"/>
      <c r="F31" s="71"/>
      <c r="G31" s="71"/>
      <c r="H31" s="71"/>
      <c r="I31" s="71"/>
    </row>
    <row r="32" spans="2:9">
      <c r="B32" s="71"/>
      <c r="C32" s="71"/>
      <c r="D32" s="71"/>
      <c r="E32" s="71"/>
      <c r="F32" s="71"/>
      <c r="G32" s="71"/>
      <c r="H32" s="71"/>
      <c r="I32" s="71"/>
    </row>
    <row r="33" spans="2:9">
      <c r="B33" s="71"/>
      <c r="C33" s="71"/>
      <c r="D33" s="71"/>
      <c r="E33" s="71"/>
      <c r="F33" s="71"/>
      <c r="G33" s="71"/>
      <c r="H33" s="71"/>
      <c r="I33" s="71"/>
    </row>
    <row r="34" spans="2:9">
      <c r="B34" s="71"/>
      <c r="C34" s="71"/>
      <c r="D34" s="71"/>
      <c r="E34" s="71"/>
      <c r="F34" s="71"/>
      <c r="G34" s="71"/>
      <c r="H34" s="71"/>
      <c r="I34" s="71"/>
    </row>
    <row r="35" spans="2:9">
      <c r="B35" s="58" t="s">
        <v>46</v>
      </c>
      <c r="C35" s="58"/>
      <c r="D35" s="58"/>
      <c r="E35" s="58"/>
      <c r="F35" s="58"/>
      <c r="G35" s="58"/>
      <c r="H35" s="58"/>
      <c r="I35" s="58"/>
    </row>
    <row r="36" spans="2:9">
      <c r="B36" s="57" t="s">
        <v>47</v>
      </c>
      <c r="C36" s="57"/>
      <c r="D36" s="57"/>
      <c r="E36" s="57"/>
      <c r="F36" s="57"/>
      <c r="G36" s="57"/>
      <c r="H36" s="57"/>
      <c r="I36" s="57"/>
    </row>
    <row r="37" spans="2:9">
      <c r="B37" s="57"/>
      <c r="C37" s="57"/>
      <c r="D37" s="57"/>
      <c r="E37" s="57"/>
      <c r="F37" s="57"/>
      <c r="G37" s="57"/>
      <c r="H37" s="57"/>
      <c r="I37" s="57"/>
    </row>
    <row r="38" spans="2:9">
      <c r="B38" s="57"/>
      <c r="C38" s="57"/>
      <c r="D38" s="57"/>
      <c r="E38" s="57"/>
      <c r="F38" s="57"/>
      <c r="G38" s="57"/>
      <c r="H38" s="57"/>
      <c r="I38" s="57"/>
    </row>
    <row r="39" spans="2:9">
      <c r="B39" s="65" t="s">
        <v>48</v>
      </c>
      <c r="C39" s="65"/>
      <c r="D39" s="65"/>
      <c r="E39" s="65"/>
      <c r="F39" s="65" t="s">
        <v>49</v>
      </c>
      <c r="G39" s="65"/>
      <c r="H39" s="65"/>
      <c r="I39" s="65"/>
    </row>
    <row r="40" spans="2:9">
      <c r="B40" s="65"/>
      <c r="C40" s="65"/>
      <c r="D40" s="65"/>
      <c r="E40" s="65"/>
      <c r="F40" s="65"/>
      <c r="G40" s="65"/>
      <c r="H40" s="65"/>
      <c r="I40" s="65"/>
    </row>
    <row r="41" spans="2:9">
      <c r="B41" s="65"/>
      <c r="C41" s="65"/>
      <c r="D41" s="65"/>
      <c r="E41" s="65"/>
      <c r="F41" s="65"/>
      <c r="G41" s="65"/>
      <c r="H41" s="65"/>
      <c r="I41" s="65"/>
    </row>
    <row r="42" spans="2:9">
      <c r="B42" s="65"/>
      <c r="C42" s="65"/>
      <c r="D42" s="65"/>
      <c r="E42" s="65"/>
      <c r="F42" s="65"/>
      <c r="G42" s="65"/>
      <c r="H42" s="65"/>
      <c r="I42" s="65"/>
    </row>
    <row r="43" spans="2:9">
      <c r="B43" s="65"/>
      <c r="C43" s="65"/>
      <c r="D43" s="65"/>
      <c r="E43" s="65"/>
      <c r="F43" s="65"/>
      <c r="G43" s="65"/>
      <c r="H43" s="65"/>
      <c r="I43" s="65"/>
    </row>
    <row r="44" spans="2:9">
      <c r="B44" s="65"/>
      <c r="C44" s="65"/>
      <c r="D44" s="65"/>
      <c r="E44" s="65"/>
      <c r="F44" s="65"/>
      <c r="G44" s="65"/>
      <c r="H44" s="65"/>
      <c r="I44" s="65"/>
    </row>
    <row r="45" spans="2:9">
      <c r="B45" s="65"/>
      <c r="C45" s="65"/>
      <c r="D45" s="65"/>
      <c r="E45" s="65"/>
      <c r="F45" s="65"/>
      <c r="G45" s="65"/>
      <c r="H45" s="65"/>
      <c r="I45" s="65"/>
    </row>
    <row r="46" spans="2:9">
      <c r="B46" s="65"/>
      <c r="C46" s="65"/>
      <c r="D46" s="65"/>
      <c r="E46" s="65"/>
      <c r="F46" s="65"/>
      <c r="G46" s="65"/>
      <c r="H46" s="65"/>
      <c r="I46" s="65"/>
    </row>
    <row r="47" spans="2:9">
      <c r="B47" s="65"/>
      <c r="C47" s="65"/>
      <c r="D47" s="65"/>
      <c r="E47" s="65"/>
      <c r="F47" s="65"/>
      <c r="G47" s="65"/>
      <c r="H47" s="65"/>
      <c r="I47" s="65"/>
    </row>
    <row r="48" spans="2:9">
      <c r="B48" s="58" t="s">
        <v>50</v>
      </c>
      <c r="C48" s="58"/>
      <c r="D48" s="58"/>
      <c r="E48" s="58"/>
      <c r="F48" s="58"/>
      <c r="G48" s="58"/>
      <c r="H48" s="58"/>
      <c r="I48" s="58"/>
    </row>
    <row r="49" spans="2:9">
      <c r="B49" s="67" t="s">
        <v>51</v>
      </c>
      <c r="C49" s="67"/>
      <c r="D49" s="67"/>
      <c r="E49" s="67"/>
      <c r="F49" s="65" t="s">
        <v>52</v>
      </c>
      <c r="G49" s="65"/>
      <c r="H49" s="65"/>
      <c r="I49" s="65"/>
    </row>
    <row r="50" spans="2:9">
      <c r="B50" s="67"/>
      <c r="C50" s="67"/>
      <c r="D50" s="67"/>
      <c r="E50" s="67"/>
      <c r="F50" s="65"/>
      <c r="G50" s="65"/>
      <c r="H50" s="65"/>
      <c r="I50" s="65"/>
    </row>
    <row r="51" spans="2:9">
      <c r="B51" s="67"/>
      <c r="C51" s="67"/>
      <c r="D51" s="67"/>
      <c r="E51" s="67"/>
      <c r="F51" s="65"/>
      <c r="G51" s="65"/>
      <c r="H51" s="65"/>
      <c r="I51" s="65"/>
    </row>
    <row r="52" spans="2:9">
      <c r="B52" s="67"/>
      <c r="C52" s="67"/>
      <c r="D52" s="67"/>
      <c r="E52" s="67"/>
      <c r="F52" s="65"/>
      <c r="G52" s="65"/>
      <c r="H52" s="65"/>
      <c r="I52" s="65"/>
    </row>
    <row r="53" spans="2:9">
      <c r="B53" s="67"/>
      <c r="C53" s="67"/>
      <c r="D53" s="67"/>
      <c r="E53" s="67"/>
      <c r="F53" s="65"/>
      <c r="G53" s="65"/>
      <c r="H53" s="65"/>
      <c r="I53" s="65"/>
    </row>
    <row r="54" spans="2:9">
      <c r="B54" s="67"/>
      <c r="C54" s="67"/>
      <c r="D54" s="67"/>
      <c r="E54" s="67"/>
      <c r="F54" s="65"/>
      <c r="G54" s="65"/>
      <c r="H54" s="65"/>
      <c r="I54" s="65"/>
    </row>
    <row r="55" spans="2:9">
      <c r="B55" s="67"/>
      <c r="C55" s="67"/>
      <c r="D55" s="67"/>
      <c r="E55" s="67"/>
      <c r="F55" s="65"/>
      <c r="G55" s="65"/>
      <c r="H55" s="65"/>
      <c r="I55" s="65"/>
    </row>
    <row r="56" spans="2:9">
      <c r="B56" s="67"/>
      <c r="C56" s="67"/>
      <c r="D56" s="67"/>
      <c r="E56" s="67"/>
      <c r="F56" s="65"/>
      <c r="G56" s="65"/>
      <c r="H56" s="65"/>
      <c r="I56" s="65"/>
    </row>
    <row r="57" spans="2:9">
      <c r="B57" s="67"/>
      <c r="C57" s="67"/>
      <c r="D57" s="67"/>
      <c r="E57" s="67"/>
      <c r="F57" s="65"/>
      <c r="G57" s="65"/>
      <c r="H57" s="65"/>
      <c r="I57" s="65"/>
    </row>
    <row r="58" spans="2:9">
      <c r="B58" s="67"/>
      <c r="C58" s="67"/>
      <c r="D58" s="67"/>
      <c r="E58" s="67"/>
      <c r="F58" s="65"/>
      <c r="G58" s="65"/>
      <c r="H58" s="65"/>
      <c r="I58" s="65"/>
    </row>
    <row r="59" spans="2:9">
      <c r="B59" s="67"/>
      <c r="C59" s="67"/>
      <c r="D59" s="67"/>
      <c r="E59" s="67"/>
      <c r="F59" s="65"/>
      <c r="G59" s="65"/>
      <c r="H59" s="65"/>
      <c r="I59" s="65"/>
    </row>
    <row r="60" spans="2:9">
      <c r="B60" s="68" t="s">
        <v>53</v>
      </c>
      <c r="C60" s="68"/>
      <c r="D60" s="68"/>
      <c r="E60" s="68"/>
      <c r="F60" s="69"/>
      <c r="G60" s="69"/>
      <c r="H60" s="68" t="s">
        <v>54</v>
      </c>
      <c r="I60" s="5"/>
    </row>
    <row r="61" spans="2:9">
      <c r="B61" s="68"/>
      <c r="C61" s="68"/>
      <c r="D61" s="68"/>
      <c r="E61" s="68"/>
      <c r="F61" s="69"/>
      <c r="G61" s="69"/>
      <c r="H61" s="68"/>
      <c r="I61" s="5"/>
    </row>
    <row r="62" spans="2:9">
      <c r="B62" s="68"/>
      <c r="C62" s="68"/>
      <c r="D62" s="68"/>
      <c r="E62" s="68"/>
      <c r="F62" s="69"/>
      <c r="G62" s="69"/>
      <c r="H62" s="68"/>
      <c r="I62" s="5"/>
    </row>
    <row r="63" spans="2:9">
      <c r="B63" s="68"/>
      <c r="C63" s="68"/>
      <c r="D63" s="68"/>
      <c r="E63" s="68"/>
      <c r="F63" s="69"/>
      <c r="G63" s="69"/>
      <c r="H63" s="68"/>
      <c r="I63" s="5"/>
    </row>
    <row r="64" spans="2:9">
      <c r="B64" s="68"/>
      <c r="C64" s="68"/>
      <c r="D64" s="68"/>
      <c r="E64" s="68"/>
      <c r="F64" s="69"/>
      <c r="G64" s="69"/>
      <c r="H64" s="68"/>
      <c r="I64" s="5"/>
    </row>
    <row r="65" spans="2:9">
      <c r="B65" s="58" t="s">
        <v>55</v>
      </c>
      <c r="C65" s="58"/>
      <c r="D65" s="58"/>
      <c r="E65" s="58"/>
      <c r="F65" s="58"/>
      <c r="G65" s="58"/>
      <c r="H65" s="58"/>
      <c r="I65" s="58"/>
    </row>
    <row r="66" spans="2:9">
      <c r="B66" s="65" t="s">
        <v>56</v>
      </c>
      <c r="C66" s="65"/>
      <c r="D66" s="65"/>
      <c r="E66" s="65"/>
      <c r="F66" s="65" t="s">
        <v>57</v>
      </c>
      <c r="G66" s="65"/>
      <c r="H66" s="65"/>
      <c r="I66" s="65"/>
    </row>
    <row r="67" spans="2:9">
      <c r="B67" s="65"/>
      <c r="C67" s="65"/>
      <c r="D67" s="65"/>
      <c r="E67" s="65"/>
      <c r="F67" s="65"/>
      <c r="G67" s="65"/>
      <c r="H67" s="65"/>
      <c r="I67" s="65"/>
    </row>
    <row r="68" spans="2:9">
      <c r="B68" s="65"/>
      <c r="C68" s="65"/>
      <c r="D68" s="65"/>
      <c r="E68" s="65"/>
      <c r="F68" s="65"/>
      <c r="G68" s="65"/>
      <c r="H68" s="65"/>
      <c r="I68" s="65"/>
    </row>
    <row r="69" spans="2:9">
      <c r="B69" s="65"/>
      <c r="C69" s="65"/>
      <c r="D69" s="65"/>
      <c r="E69" s="65"/>
      <c r="F69" s="65"/>
      <c r="G69" s="65"/>
      <c r="H69" s="65"/>
      <c r="I69" s="65"/>
    </row>
    <row r="70" spans="2:9">
      <c r="B70" s="65"/>
      <c r="C70" s="65"/>
      <c r="D70" s="65"/>
      <c r="E70" s="65"/>
      <c r="F70" s="65"/>
      <c r="G70" s="65"/>
      <c r="H70" s="65"/>
      <c r="I70" s="65"/>
    </row>
    <row r="71" spans="2:9">
      <c r="B71" s="65"/>
      <c r="C71" s="65"/>
      <c r="D71" s="65"/>
      <c r="E71" s="65"/>
      <c r="F71" s="65"/>
      <c r="G71" s="65"/>
      <c r="H71" s="65"/>
      <c r="I71" s="65"/>
    </row>
    <row r="72" spans="2:9">
      <c r="B72" s="65"/>
      <c r="C72" s="65"/>
      <c r="D72" s="65"/>
      <c r="E72" s="65"/>
      <c r="F72" s="65"/>
      <c r="G72" s="65"/>
      <c r="H72" s="65"/>
      <c r="I72" s="65"/>
    </row>
    <row r="73" spans="2:9">
      <c r="B73" s="65"/>
      <c r="C73" s="65"/>
      <c r="D73" s="65"/>
      <c r="E73" s="65"/>
      <c r="F73" s="65"/>
      <c r="G73" s="65"/>
      <c r="H73" s="65"/>
      <c r="I73" s="65"/>
    </row>
    <row r="74" spans="2:9">
      <c r="B74" s="65"/>
      <c r="C74" s="65"/>
      <c r="D74" s="65"/>
      <c r="E74" s="65"/>
      <c r="F74" s="65"/>
      <c r="G74" s="65"/>
      <c r="H74" s="65"/>
      <c r="I74" s="65"/>
    </row>
    <row r="75" spans="2:9">
      <c r="B75" s="65"/>
      <c r="C75" s="65"/>
      <c r="D75" s="65"/>
      <c r="E75" s="65"/>
      <c r="F75" s="65"/>
      <c r="G75" s="65"/>
      <c r="H75" s="65"/>
      <c r="I75" s="65"/>
    </row>
    <row r="76" spans="2:9">
      <c r="B76" s="65"/>
      <c r="C76" s="65"/>
      <c r="D76" s="65"/>
      <c r="E76" s="65"/>
      <c r="F76" s="65"/>
      <c r="G76" s="65"/>
      <c r="H76" s="65"/>
      <c r="I76" s="65"/>
    </row>
    <row r="77" spans="2:9">
      <c r="B77" s="65"/>
      <c r="C77" s="65"/>
      <c r="D77" s="65"/>
      <c r="E77" s="65"/>
      <c r="F77" s="65"/>
      <c r="G77" s="65"/>
      <c r="H77" s="65"/>
      <c r="I77" s="65"/>
    </row>
    <row r="78" spans="2:9">
      <c r="B78" s="65"/>
      <c r="C78" s="65"/>
      <c r="D78" s="65"/>
      <c r="E78" s="65"/>
      <c r="F78" s="65"/>
      <c r="G78" s="65"/>
      <c r="H78" s="65"/>
      <c r="I78" s="65"/>
    </row>
    <row r="79" spans="2:9">
      <c r="B79" s="65"/>
      <c r="C79" s="65"/>
      <c r="D79" s="65"/>
      <c r="E79" s="65"/>
      <c r="F79" s="65"/>
      <c r="G79" s="65"/>
      <c r="H79" s="65"/>
      <c r="I79" s="65"/>
    </row>
    <row r="80" spans="2:9">
      <c r="B80" s="66"/>
      <c r="C80" s="66"/>
      <c r="D80" s="66"/>
      <c r="E80" s="66"/>
      <c r="F80" s="66"/>
      <c r="G80" s="66"/>
      <c r="H80" s="66"/>
      <c r="I80" s="66"/>
    </row>
    <row r="81" spans="2:9">
      <c r="B81" s="58" t="s">
        <v>58</v>
      </c>
      <c r="C81" s="58"/>
      <c r="D81" s="58"/>
      <c r="E81" s="58"/>
      <c r="F81" s="58"/>
      <c r="G81" s="58"/>
      <c r="H81" s="58"/>
      <c r="I81" s="58"/>
    </row>
    <row r="82" spans="2:9">
      <c r="B82" s="9" t="s">
        <v>59</v>
      </c>
      <c r="C82" s="9" t="s">
        <v>60</v>
      </c>
      <c r="D82" s="9" t="s">
        <v>61</v>
      </c>
      <c r="E82" s="9" t="s">
        <v>62</v>
      </c>
      <c r="F82" s="9" t="s">
        <v>63</v>
      </c>
      <c r="G82" s="58" t="s">
        <v>64</v>
      </c>
      <c r="H82" s="58"/>
      <c r="I82" s="58"/>
    </row>
    <row r="83" spans="2:9">
      <c r="B83" s="10"/>
      <c r="C83" s="10"/>
      <c r="D83" s="10"/>
      <c r="E83" s="10"/>
      <c r="F83" s="10"/>
      <c r="G83" s="57"/>
      <c r="H83" s="57"/>
      <c r="I83" s="57"/>
    </row>
    <row r="84" spans="2:9">
      <c r="B84" s="10"/>
      <c r="C84" s="10"/>
      <c r="D84" s="10"/>
      <c r="E84" s="10"/>
      <c r="F84" s="10"/>
      <c r="G84" s="57"/>
      <c r="H84" s="57"/>
      <c r="I84" s="57"/>
    </row>
    <row r="85" spans="2:9">
      <c r="B85" s="10"/>
      <c r="C85" s="10"/>
      <c r="D85" s="10"/>
      <c r="E85" s="10"/>
      <c r="F85" s="10"/>
      <c r="G85" s="57"/>
      <c r="H85" s="57"/>
      <c r="I85" s="57"/>
    </row>
    <row r="86" spans="2:9">
      <c r="B86" s="10"/>
      <c r="C86" s="10"/>
      <c r="D86" s="10"/>
      <c r="E86" s="10"/>
      <c r="F86" s="10"/>
      <c r="G86" s="57"/>
      <c r="H86" s="57"/>
      <c r="I86" s="57"/>
    </row>
    <row r="87" spans="2:9">
      <c r="B87" s="10"/>
      <c r="C87" s="10"/>
      <c r="D87" s="10"/>
      <c r="E87" s="10"/>
      <c r="F87" s="10"/>
      <c r="G87" s="57"/>
      <c r="H87" s="57"/>
      <c r="I87" s="57"/>
    </row>
    <row r="88" spans="2:9">
      <c r="B88" s="10"/>
      <c r="C88" s="10"/>
      <c r="D88" s="10"/>
      <c r="E88" s="10"/>
      <c r="F88" s="10"/>
      <c r="G88" s="57"/>
      <c r="H88" s="57"/>
      <c r="I88" s="57"/>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59"/>
      <c r="C2" s="61" t="s">
        <v>0</v>
      </c>
      <c r="D2" s="61"/>
      <c r="E2" s="61"/>
      <c r="F2" s="61"/>
      <c r="G2" s="61"/>
      <c r="H2" s="61"/>
      <c r="I2" s="6" t="s">
        <v>1</v>
      </c>
    </row>
    <row r="3" spans="2:11" ht="20.25" customHeight="1">
      <c r="B3" s="60"/>
      <c r="C3" s="62"/>
      <c r="D3" s="62"/>
      <c r="E3" s="62"/>
      <c r="F3" s="62"/>
      <c r="G3" s="62"/>
      <c r="H3" s="62"/>
      <c r="I3" s="7" t="s">
        <v>2</v>
      </c>
    </row>
    <row r="4" spans="2:11" ht="21" customHeight="1" thickBot="1">
      <c r="B4" s="63" t="s">
        <v>3</v>
      </c>
      <c r="C4" s="64"/>
      <c r="D4" s="64"/>
      <c r="E4" s="64"/>
      <c r="F4" s="64"/>
      <c r="G4" s="64"/>
      <c r="H4" s="64"/>
      <c r="I4" s="8" t="s">
        <v>4</v>
      </c>
    </row>
    <row r="5" spans="2:11" ht="15.75" thickTop="1">
      <c r="B5" s="68"/>
      <c r="C5" s="68"/>
      <c r="D5" s="68"/>
      <c r="E5" s="68"/>
      <c r="F5" s="68"/>
      <c r="G5" s="68"/>
      <c r="H5" s="68"/>
      <c r="I5" s="68"/>
    </row>
    <row r="6" spans="2:11">
      <c r="B6" s="68" t="s">
        <v>5</v>
      </c>
      <c r="C6" s="68"/>
      <c r="D6" s="68"/>
      <c r="E6" s="68"/>
      <c r="F6" s="68"/>
      <c r="G6" s="68"/>
      <c r="H6" s="68"/>
      <c r="I6" s="68"/>
    </row>
    <row r="7" spans="2:11" ht="60">
      <c r="B7" s="3" t="s">
        <v>6</v>
      </c>
      <c r="C7" s="1"/>
      <c r="D7" s="2" t="s">
        <v>7</v>
      </c>
      <c r="E7" s="1"/>
      <c r="F7" s="2" t="s">
        <v>8</v>
      </c>
      <c r="G7" s="1"/>
      <c r="H7" s="2" t="s">
        <v>9</v>
      </c>
      <c r="I7" s="1"/>
    </row>
    <row r="8" spans="2:11" ht="45">
      <c r="B8" s="15" t="s">
        <v>10</v>
      </c>
      <c r="C8" s="16"/>
      <c r="D8" s="3" t="s">
        <v>65</v>
      </c>
      <c r="E8" s="75"/>
      <c r="F8" s="75"/>
      <c r="G8" s="2" t="s">
        <v>12</v>
      </c>
      <c r="H8" s="75"/>
      <c r="I8" s="75"/>
      <c r="K8" s="11" t="s">
        <v>66</v>
      </c>
    </row>
    <row r="9" spans="2:11" ht="30">
      <c r="B9" s="2" t="s">
        <v>13</v>
      </c>
      <c r="C9" s="5">
        <v>3</v>
      </c>
      <c r="D9" s="2" t="s">
        <v>14</v>
      </c>
      <c r="E9" s="5">
        <v>54</v>
      </c>
      <c r="F9" s="2" t="s">
        <v>15</v>
      </c>
      <c r="G9" s="5">
        <v>90</v>
      </c>
      <c r="H9" s="2" t="s">
        <v>16</v>
      </c>
      <c r="I9" s="5">
        <f>E9+G9</f>
        <v>144</v>
      </c>
      <c r="K9" s="11" t="s">
        <v>67</v>
      </c>
    </row>
    <row r="10" spans="2:11">
      <c r="B10" s="74" t="s">
        <v>17</v>
      </c>
      <c r="C10" s="58"/>
      <c r="D10" s="58"/>
      <c r="E10" s="58"/>
      <c r="F10" s="58"/>
      <c r="G10" s="58"/>
      <c r="H10" s="58"/>
      <c r="I10" s="58"/>
    </row>
    <row r="11" spans="2:11">
      <c r="B11" s="74" t="s">
        <v>18</v>
      </c>
      <c r="C11" s="74"/>
      <c r="D11" s="68" t="s">
        <v>19</v>
      </c>
      <c r="E11" s="69"/>
      <c r="F11" s="69"/>
      <c r="G11" s="68" t="s">
        <v>20</v>
      </c>
      <c r="H11" s="69"/>
      <c r="I11" s="69"/>
    </row>
    <row r="12" spans="2:11">
      <c r="B12" s="74"/>
      <c r="C12" s="74"/>
      <c r="D12" s="68"/>
      <c r="E12" s="69"/>
      <c r="F12" s="69"/>
      <c r="G12" s="68"/>
      <c r="H12" s="69"/>
      <c r="I12" s="69"/>
    </row>
    <row r="13" spans="2:11">
      <c r="B13" s="58" t="s">
        <v>21</v>
      </c>
      <c r="C13" s="58"/>
      <c r="D13" s="58"/>
      <c r="E13" s="58"/>
      <c r="F13" s="58"/>
      <c r="G13" s="58"/>
      <c r="H13" s="58"/>
      <c r="I13" s="58"/>
    </row>
    <row r="14" spans="2:11">
      <c r="B14" s="3" t="s">
        <v>22</v>
      </c>
      <c r="C14" s="75"/>
      <c r="D14" s="75"/>
      <c r="E14" s="3" t="s">
        <v>23</v>
      </c>
      <c r="F14" s="1"/>
      <c r="G14" s="3" t="s">
        <v>24</v>
      </c>
      <c r="H14" s="75"/>
      <c r="I14" s="75"/>
    </row>
    <row r="15" spans="2:11">
      <c r="B15" s="58" t="s">
        <v>25</v>
      </c>
      <c r="C15" s="58"/>
      <c r="D15" s="58"/>
      <c r="E15" s="58"/>
      <c r="F15" s="58"/>
      <c r="G15" s="58"/>
      <c r="H15" s="58"/>
      <c r="I15" s="58"/>
    </row>
    <row r="16" spans="2:11">
      <c r="B16" s="74" t="s">
        <v>26</v>
      </c>
      <c r="C16" s="74"/>
      <c r="D16" s="69" t="s">
        <v>68</v>
      </c>
      <c r="E16" s="69"/>
      <c r="F16" s="69"/>
      <c r="G16" s="69"/>
      <c r="H16" s="69"/>
      <c r="I16" s="69"/>
    </row>
    <row r="17" spans="2:12">
      <c r="B17" s="74"/>
      <c r="C17" s="74"/>
      <c r="D17" s="69"/>
      <c r="E17" s="69"/>
      <c r="F17" s="69"/>
      <c r="G17" s="69"/>
      <c r="H17" s="69"/>
      <c r="I17" s="69"/>
    </row>
    <row r="18" spans="2:12">
      <c r="B18" s="79" t="s">
        <v>27</v>
      </c>
      <c r="C18" s="80"/>
      <c r="D18" s="81"/>
      <c r="E18" s="81"/>
      <c r="F18" s="81"/>
      <c r="G18" s="81"/>
      <c r="H18" s="81"/>
      <c r="I18" s="81"/>
    </row>
    <row r="19" spans="2:12">
      <c r="B19" s="82" t="s">
        <v>28</v>
      </c>
      <c r="C19" s="82"/>
      <c r="D19" s="81"/>
      <c r="E19" s="81"/>
      <c r="F19" s="81"/>
      <c r="G19" s="81"/>
      <c r="H19" s="81"/>
      <c r="I19" s="81"/>
    </row>
    <row r="20" spans="2:12">
      <c r="B20" s="82"/>
      <c r="C20" s="82"/>
      <c r="D20" s="81"/>
      <c r="E20" s="81"/>
      <c r="F20" s="81"/>
      <c r="G20" s="81"/>
      <c r="H20" s="81"/>
      <c r="I20" s="81"/>
    </row>
    <row r="21" spans="2:12">
      <c r="B21" s="82" t="s">
        <v>29</v>
      </c>
      <c r="C21" s="82"/>
      <c r="D21" s="81" t="s">
        <v>69</v>
      </c>
      <c r="E21" s="81"/>
      <c r="F21" s="81"/>
      <c r="G21" s="81"/>
      <c r="H21" s="81"/>
      <c r="I21" s="81"/>
    </row>
    <row r="22" spans="2:12">
      <c r="B22" s="82"/>
      <c r="C22" s="82"/>
      <c r="D22" s="81"/>
      <c r="E22" s="81"/>
      <c r="F22" s="81"/>
      <c r="G22" s="81"/>
      <c r="H22" s="81"/>
      <c r="I22" s="81"/>
    </row>
    <row r="23" spans="2:12">
      <c r="B23" s="83" t="s">
        <v>30</v>
      </c>
      <c r="C23" s="83"/>
      <c r="D23" s="81" t="s">
        <v>31</v>
      </c>
      <c r="E23" s="81"/>
      <c r="F23" s="81"/>
      <c r="G23" s="81"/>
      <c r="H23" s="81"/>
      <c r="I23" s="81"/>
    </row>
    <row r="24" spans="2:12">
      <c r="B24" s="83"/>
      <c r="C24" s="83"/>
      <c r="D24" s="81" t="s">
        <v>32</v>
      </c>
      <c r="E24" s="81"/>
      <c r="F24" s="81"/>
      <c r="G24" s="81"/>
      <c r="H24" s="81"/>
      <c r="I24" s="81"/>
    </row>
    <row r="25" spans="2:12">
      <c r="B25" s="83"/>
      <c r="C25" s="83"/>
      <c r="D25" s="81" t="s">
        <v>33</v>
      </c>
      <c r="E25" s="81"/>
      <c r="F25" s="81"/>
      <c r="G25" s="81"/>
      <c r="H25" s="81"/>
      <c r="I25" s="81"/>
    </row>
    <row r="26" spans="2:12">
      <c r="B26" s="83"/>
      <c r="C26" s="83"/>
      <c r="D26" s="81" t="s">
        <v>34</v>
      </c>
      <c r="E26" s="81"/>
      <c r="F26" s="81"/>
      <c r="G26" s="81"/>
      <c r="H26" s="81"/>
      <c r="I26" s="81"/>
    </row>
    <row r="27" spans="2:12" ht="99.6" customHeight="1">
      <c r="B27" s="70" t="s">
        <v>70</v>
      </c>
      <c r="C27" s="70"/>
      <c r="D27" s="84" t="s">
        <v>71</v>
      </c>
      <c r="E27" s="85"/>
      <c r="F27" s="86"/>
      <c r="G27" s="76" t="s">
        <v>72</v>
      </c>
      <c r="H27" s="85"/>
      <c r="I27" s="86"/>
      <c r="L27" s="11" t="s">
        <v>73</v>
      </c>
    </row>
    <row r="28" spans="2:12" ht="90.6" customHeight="1">
      <c r="B28" s="70"/>
      <c r="C28" s="70"/>
      <c r="D28" s="87" t="s">
        <v>74</v>
      </c>
      <c r="E28" s="88"/>
      <c r="F28" s="89"/>
      <c r="G28" s="76" t="s">
        <v>75</v>
      </c>
      <c r="H28" s="91"/>
      <c r="I28" s="92"/>
      <c r="L28" s="11" t="s">
        <v>76</v>
      </c>
    </row>
    <row r="29" spans="2:12" ht="75.599999999999994" customHeight="1">
      <c r="B29" s="70"/>
      <c r="C29" s="70"/>
      <c r="D29" s="84" t="s">
        <v>77</v>
      </c>
      <c r="E29" s="85"/>
      <c r="F29" s="86"/>
      <c r="G29" s="76" t="s">
        <v>78</v>
      </c>
      <c r="H29" s="77"/>
      <c r="I29" s="78"/>
      <c r="L29" s="11" t="s">
        <v>79</v>
      </c>
    </row>
    <row r="30" spans="2:12">
      <c r="B30" s="58" t="s">
        <v>46</v>
      </c>
      <c r="C30" s="58"/>
      <c r="D30" s="58"/>
      <c r="E30" s="58"/>
      <c r="F30" s="58"/>
      <c r="G30" s="58"/>
      <c r="H30" s="58"/>
      <c r="I30" s="58"/>
    </row>
    <row r="31" spans="2:12">
      <c r="B31" s="57" t="s">
        <v>47</v>
      </c>
      <c r="C31" s="57"/>
      <c r="D31" s="57"/>
      <c r="E31" s="57"/>
      <c r="F31" s="57"/>
      <c r="G31" s="57"/>
      <c r="H31" s="57"/>
      <c r="I31" s="57"/>
    </row>
    <row r="32" spans="2:12">
      <c r="B32" s="57"/>
      <c r="C32" s="57"/>
      <c r="D32" s="57"/>
      <c r="E32" s="57"/>
      <c r="F32" s="57"/>
      <c r="G32" s="57"/>
      <c r="H32" s="57"/>
      <c r="I32" s="57"/>
    </row>
    <row r="33" spans="2:9">
      <c r="B33" s="57"/>
      <c r="C33" s="57"/>
      <c r="D33" s="57"/>
      <c r="E33" s="57"/>
      <c r="F33" s="57"/>
      <c r="G33" s="57"/>
      <c r="H33" s="57"/>
      <c r="I33" s="57"/>
    </row>
    <row r="34" spans="2:9">
      <c r="B34" s="65" t="s">
        <v>80</v>
      </c>
      <c r="C34" s="65"/>
      <c r="D34" s="65"/>
      <c r="E34" s="65"/>
      <c r="F34" s="90" t="s">
        <v>49</v>
      </c>
      <c r="G34" s="90"/>
      <c r="H34" s="90"/>
      <c r="I34" s="90"/>
    </row>
    <row r="35" spans="2:9">
      <c r="B35" s="65"/>
      <c r="C35" s="65"/>
      <c r="D35" s="65"/>
      <c r="E35" s="65"/>
      <c r="F35" s="90"/>
      <c r="G35" s="90"/>
      <c r="H35" s="90"/>
      <c r="I35" s="90"/>
    </row>
    <row r="36" spans="2:9">
      <c r="B36" s="65"/>
      <c r="C36" s="65"/>
      <c r="D36" s="65"/>
      <c r="E36" s="65"/>
      <c r="F36" s="90"/>
      <c r="G36" s="90"/>
      <c r="H36" s="90"/>
      <c r="I36" s="90"/>
    </row>
    <row r="37" spans="2:9">
      <c r="B37" s="65"/>
      <c r="C37" s="65"/>
      <c r="D37" s="65"/>
      <c r="E37" s="65"/>
      <c r="F37" s="90"/>
      <c r="G37" s="90"/>
      <c r="H37" s="90"/>
      <c r="I37" s="90"/>
    </row>
    <row r="38" spans="2:9">
      <c r="B38" s="65"/>
      <c r="C38" s="65"/>
      <c r="D38" s="65"/>
      <c r="E38" s="65"/>
      <c r="F38" s="90"/>
      <c r="G38" s="90"/>
      <c r="H38" s="90"/>
      <c r="I38" s="90"/>
    </row>
    <row r="39" spans="2:9">
      <c r="B39" s="65"/>
      <c r="C39" s="65"/>
      <c r="D39" s="65"/>
      <c r="E39" s="65"/>
      <c r="F39" s="90"/>
      <c r="G39" s="90"/>
      <c r="H39" s="90"/>
      <c r="I39" s="90"/>
    </row>
    <row r="40" spans="2:9">
      <c r="B40" s="65"/>
      <c r="C40" s="65"/>
      <c r="D40" s="65"/>
      <c r="E40" s="65"/>
      <c r="F40" s="90"/>
      <c r="G40" s="90"/>
      <c r="H40" s="90"/>
      <c r="I40" s="90"/>
    </row>
    <row r="41" spans="2:9">
      <c r="B41" s="65"/>
      <c r="C41" s="65"/>
      <c r="D41" s="65"/>
      <c r="E41" s="65"/>
      <c r="F41" s="90"/>
      <c r="G41" s="90"/>
      <c r="H41" s="90"/>
      <c r="I41" s="90"/>
    </row>
    <row r="42" spans="2:9">
      <c r="B42" s="65"/>
      <c r="C42" s="65"/>
      <c r="D42" s="65"/>
      <c r="E42" s="65"/>
      <c r="F42" s="90"/>
      <c r="G42" s="90"/>
      <c r="H42" s="90"/>
      <c r="I42" s="90"/>
    </row>
    <row r="43" spans="2:9">
      <c r="B43" s="58" t="s">
        <v>50</v>
      </c>
      <c r="C43" s="58"/>
      <c r="D43" s="58"/>
      <c r="E43" s="58"/>
      <c r="F43" s="58"/>
      <c r="G43" s="58"/>
      <c r="H43" s="58"/>
      <c r="I43" s="58"/>
    </row>
    <row r="44" spans="2:9">
      <c r="B44" s="67" t="s">
        <v>81</v>
      </c>
      <c r="C44" s="67"/>
      <c r="D44" s="67"/>
      <c r="E44" s="67"/>
      <c r="F44" s="65" t="s">
        <v>82</v>
      </c>
      <c r="G44" s="65"/>
      <c r="H44" s="65"/>
      <c r="I44" s="65"/>
    </row>
    <row r="45" spans="2:9">
      <c r="B45" s="67"/>
      <c r="C45" s="67"/>
      <c r="D45" s="67"/>
      <c r="E45" s="67"/>
      <c r="F45" s="65"/>
      <c r="G45" s="65"/>
      <c r="H45" s="65"/>
      <c r="I45" s="65"/>
    </row>
    <row r="46" spans="2:9">
      <c r="B46" s="67"/>
      <c r="C46" s="67"/>
      <c r="D46" s="67"/>
      <c r="E46" s="67"/>
      <c r="F46" s="65"/>
      <c r="G46" s="65"/>
      <c r="H46" s="65"/>
      <c r="I46" s="65"/>
    </row>
    <row r="47" spans="2:9">
      <c r="B47" s="67"/>
      <c r="C47" s="67"/>
      <c r="D47" s="67"/>
      <c r="E47" s="67"/>
      <c r="F47" s="65"/>
      <c r="G47" s="65"/>
      <c r="H47" s="65"/>
      <c r="I47" s="65"/>
    </row>
    <row r="48" spans="2:9">
      <c r="B48" s="67"/>
      <c r="C48" s="67"/>
      <c r="D48" s="67"/>
      <c r="E48" s="67"/>
      <c r="F48" s="65"/>
      <c r="G48" s="65"/>
      <c r="H48" s="65"/>
      <c r="I48" s="65"/>
    </row>
    <row r="49" spans="2:9">
      <c r="B49" s="67"/>
      <c r="C49" s="67"/>
      <c r="D49" s="67"/>
      <c r="E49" s="67"/>
      <c r="F49" s="65"/>
      <c r="G49" s="65"/>
      <c r="H49" s="65"/>
      <c r="I49" s="65"/>
    </row>
    <row r="50" spans="2:9">
      <c r="B50" s="67"/>
      <c r="C50" s="67"/>
      <c r="D50" s="67"/>
      <c r="E50" s="67"/>
      <c r="F50" s="65"/>
      <c r="G50" s="65"/>
      <c r="H50" s="65"/>
      <c r="I50" s="65"/>
    </row>
    <row r="51" spans="2:9">
      <c r="B51" s="67"/>
      <c r="C51" s="67"/>
      <c r="D51" s="67"/>
      <c r="E51" s="67"/>
      <c r="F51" s="65"/>
      <c r="G51" s="65"/>
      <c r="H51" s="65"/>
      <c r="I51" s="65"/>
    </row>
    <row r="52" spans="2:9">
      <c r="B52" s="67"/>
      <c r="C52" s="67"/>
      <c r="D52" s="67"/>
      <c r="E52" s="67"/>
      <c r="F52" s="65"/>
      <c r="G52" s="65"/>
      <c r="H52" s="65"/>
      <c r="I52" s="65"/>
    </row>
    <row r="53" spans="2:9">
      <c r="B53" s="67"/>
      <c r="C53" s="67"/>
      <c r="D53" s="67"/>
      <c r="E53" s="67"/>
      <c r="F53" s="65"/>
      <c r="G53" s="65"/>
      <c r="H53" s="65"/>
      <c r="I53" s="65"/>
    </row>
    <row r="54" spans="2:9">
      <c r="B54" s="67"/>
      <c r="C54" s="67"/>
      <c r="D54" s="67"/>
      <c r="E54" s="67"/>
      <c r="F54" s="65"/>
      <c r="G54" s="65"/>
      <c r="H54" s="65"/>
      <c r="I54" s="65"/>
    </row>
    <row r="55" spans="2:9">
      <c r="B55" s="68" t="s">
        <v>83</v>
      </c>
      <c r="C55" s="68"/>
      <c r="D55" s="68"/>
      <c r="E55" s="68"/>
      <c r="F55" s="69" t="s">
        <v>84</v>
      </c>
      <c r="G55" s="69"/>
      <c r="H55" s="68" t="s">
        <v>54</v>
      </c>
      <c r="I55" s="5"/>
    </row>
    <row r="56" spans="2:9">
      <c r="B56" s="68"/>
      <c r="C56" s="68"/>
      <c r="D56" s="68"/>
      <c r="E56" s="68"/>
      <c r="F56" s="69"/>
      <c r="G56" s="69"/>
      <c r="H56" s="68"/>
      <c r="I56" s="5"/>
    </row>
    <row r="57" spans="2:9">
      <c r="B57" s="68"/>
      <c r="C57" s="68"/>
      <c r="D57" s="68"/>
      <c r="E57" s="68"/>
      <c r="F57" s="69"/>
      <c r="G57" s="69"/>
      <c r="H57" s="68"/>
      <c r="I57" s="5"/>
    </row>
    <row r="58" spans="2:9">
      <c r="B58" s="68"/>
      <c r="C58" s="68"/>
      <c r="D58" s="68"/>
      <c r="E58" s="68"/>
      <c r="F58" s="69"/>
      <c r="G58" s="69"/>
      <c r="H58" s="68"/>
      <c r="I58" s="5"/>
    </row>
    <row r="59" spans="2:9">
      <c r="B59" s="68"/>
      <c r="C59" s="68"/>
      <c r="D59" s="68"/>
      <c r="E59" s="68"/>
      <c r="F59" s="69"/>
      <c r="G59" s="69"/>
      <c r="H59" s="68"/>
      <c r="I59" s="5"/>
    </row>
    <row r="60" spans="2:9">
      <c r="B60" s="58" t="s">
        <v>55</v>
      </c>
      <c r="C60" s="58"/>
      <c r="D60" s="58"/>
      <c r="E60" s="58"/>
      <c r="F60" s="58"/>
      <c r="G60" s="58"/>
      <c r="H60" s="58"/>
      <c r="I60" s="58"/>
    </row>
    <row r="61" spans="2:9">
      <c r="B61" s="65" t="s">
        <v>56</v>
      </c>
      <c r="C61" s="65"/>
      <c r="D61" s="65"/>
      <c r="E61" s="65"/>
      <c r="F61" s="65" t="s">
        <v>57</v>
      </c>
      <c r="G61" s="65"/>
      <c r="H61" s="65"/>
      <c r="I61" s="65"/>
    </row>
    <row r="62" spans="2:9">
      <c r="B62" s="65"/>
      <c r="C62" s="65"/>
      <c r="D62" s="65"/>
      <c r="E62" s="65"/>
      <c r="F62" s="65"/>
      <c r="G62" s="65"/>
      <c r="H62" s="65"/>
      <c r="I62" s="65"/>
    </row>
    <row r="63" spans="2:9">
      <c r="B63" s="65"/>
      <c r="C63" s="65"/>
      <c r="D63" s="65"/>
      <c r="E63" s="65"/>
      <c r="F63" s="65"/>
      <c r="G63" s="65"/>
      <c r="H63" s="65"/>
      <c r="I63" s="65"/>
    </row>
    <row r="64" spans="2:9">
      <c r="B64" s="65"/>
      <c r="C64" s="65"/>
      <c r="D64" s="65"/>
      <c r="E64" s="65"/>
      <c r="F64" s="65"/>
      <c r="G64" s="65"/>
      <c r="H64" s="65"/>
      <c r="I64" s="65"/>
    </row>
    <row r="65" spans="2:9">
      <c r="B65" s="65"/>
      <c r="C65" s="65"/>
      <c r="D65" s="65"/>
      <c r="E65" s="65"/>
      <c r="F65" s="65"/>
      <c r="G65" s="65"/>
      <c r="H65" s="65"/>
      <c r="I65" s="65"/>
    </row>
    <row r="66" spans="2:9">
      <c r="B66" s="65"/>
      <c r="C66" s="65"/>
      <c r="D66" s="65"/>
      <c r="E66" s="65"/>
      <c r="F66" s="65"/>
      <c r="G66" s="65"/>
      <c r="H66" s="65"/>
      <c r="I66" s="65"/>
    </row>
    <row r="67" spans="2:9">
      <c r="B67" s="65"/>
      <c r="C67" s="65"/>
      <c r="D67" s="65"/>
      <c r="E67" s="65"/>
      <c r="F67" s="65"/>
      <c r="G67" s="65"/>
      <c r="H67" s="65"/>
      <c r="I67" s="65"/>
    </row>
    <row r="68" spans="2:9">
      <c r="B68" s="65"/>
      <c r="C68" s="65"/>
      <c r="D68" s="65"/>
      <c r="E68" s="65"/>
      <c r="F68" s="65"/>
      <c r="G68" s="65"/>
      <c r="H68" s="65"/>
      <c r="I68" s="65"/>
    </row>
    <row r="69" spans="2:9">
      <c r="B69" s="65"/>
      <c r="C69" s="65"/>
      <c r="D69" s="65"/>
      <c r="E69" s="65"/>
      <c r="F69" s="65"/>
      <c r="G69" s="65"/>
      <c r="H69" s="65"/>
      <c r="I69" s="65"/>
    </row>
    <row r="70" spans="2:9">
      <c r="B70" s="65"/>
      <c r="C70" s="65"/>
      <c r="D70" s="65"/>
      <c r="E70" s="65"/>
      <c r="F70" s="65"/>
      <c r="G70" s="65"/>
      <c r="H70" s="65"/>
      <c r="I70" s="65"/>
    </row>
    <row r="71" spans="2:9">
      <c r="B71" s="65"/>
      <c r="C71" s="65"/>
      <c r="D71" s="65"/>
      <c r="E71" s="65"/>
      <c r="F71" s="65"/>
      <c r="G71" s="65"/>
      <c r="H71" s="65"/>
      <c r="I71" s="65"/>
    </row>
    <row r="72" spans="2:9">
      <c r="B72" s="65"/>
      <c r="C72" s="65"/>
      <c r="D72" s="65"/>
      <c r="E72" s="65"/>
      <c r="F72" s="65"/>
      <c r="G72" s="65"/>
      <c r="H72" s="65"/>
      <c r="I72" s="65"/>
    </row>
    <row r="73" spans="2:9">
      <c r="B73" s="65"/>
      <c r="C73" s="65"/>
      <c r="D73" s="65"/>
      <c r="E73" s="65"/>
      <c r="F73" s="65"/>
      <c r="G73" s="65"/>
      <c r="H73" s="65"/>
      <c r="I73" s="65"/>
    </row>
    <row r="74" spans="2:9">
      <c r="B74" s="65"/>
      <c r="C74" s="65"/>
      <c r="D74" s="65"/>
      <c r="E74" s="65"/>
      <c r="F74" s="65"/>
      <c r="G74" s="65"/>
      <c r="H74" s="65"/>
      <c r="I74" s="65"/>
    </row>
    <row r="75" spans="2:9">
      <c r="B75" s="66"/>
      <c r="C75" s="66"/>
      <c r="D75" s="66"/>
      <c r="E75" s="66"/>
      <c r="F75" s="66"/>
      <c r="G75" s="66"/>
      <c r="H75" s="66"/>
      <c r="I75" s="66"/>
    </row>
    <row r="76" spans="2:9">
      <c r="B76" s="58" t="s">
        <v>58</v>
      </c>
      <c r="C76" s="58"/>
      <c r="D76" s="58"/>
      <c r="E76" s="58"/>
      <c r="F76" s="58"/>
      <c r="G76" s="58"/>
      <c r="H76" s="58"/>
      <c r="I76" s="58"/>
    </row>
    <row r="77" spans="2:9">
      <c r="B77" s="9" t="s">
        <v>59</v>
      </c>
      <c r="C77" s="9" t="s">
        <v>60</v>
      </c>
      <c r="D77" s="9" t="s">
        <v>61</v>
      </c>
      <c r="E77" s="9" t="s">
        <v>62</v>
      </c>
      <c r="F77" s="9" t="s">
        <v>63</v>
      </c>
      <c r="G77" s="58" t="s">
        <v>64</v>
      </c>
      <c r="H77" s="58"/>
      <c r="I77" s="58"/>
    </row>
    <row r="78" spans="2:9">
      <c r="B78" s="10"/>
      <c r="C78" s="10"/>
      <c r="D78" s="10"/>
      <c r="E78" s="10"/>
      <c r="F78" s="10"/>
      <c r="G78" s="57"/>
      <c r="H78" s="57"/>
      <c r="I78" s="57"/>
    </row>
    <row r="79" spans="2:9">
      <c r="B79" s="10"/>
      <c r="C79" s="10"/>
      <c r="D79" s="10"/>
      <c r="E79" s="10"/>
      <c r="F79" s="10"/>
      <c r="G79" s="57"/>
      <c r="H79" s="57"/>
      <c r="I79" s="57"/>
    </row>
    <row r="80" spans="2:9">
      <c r="B80" s="10"/>
      <c r="C80" s="10"/>
      <c r="D80" s="10"/>
      <c r="E80" s="10"/>
      <c r="F80" s="10"/>
      <c r="G80" s="57"/>
      <c r="H80" s="57"/>
      <c r="I80" s="57"/>
    </row>
    <row r="81" spans="2:9">
      <c r="B81" s="10"/>
      <c r="C81" s="10"/>
      <c r="D81" s="10"/>
      <c r="E81" s="10"/>
      <c r="F81" s="10"/>
      <c r="G81" s="57"/>
      <c r="H81" s="57"/>
      <c r="I81" s="57"/>
    </row>
    <row r="82" spans="2:9">
      <c r="B82" s="10"/>
      <c r="C82" s="10"/>
      <c r="D82" s="10"/>
      <c r="E82" s="10"/>
      <c r="F82" s="10"/>
      <c r="G82" s="57"/>
      <c r="H82" s="57"/>
      <c r="I82" s="57"/>
    </row>
    <row r="83" spans="2:9">
      <c r="B83" s="10"/>
      <c r="C83" s="10"/>
      <c r="D83" s="10"/>
      <c r="E83" s="10"/>
      <c r="F83" s="10"/>
      <c r="G83" s="57"/>
      <c r="H83" s="57"/>
      <c r="I83" s="57"/>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2FAA-7448-415A-9188-F1A5055635C9}">
  <dimension ref="B2:H36"/>
  <sheetViews>
    <sheetView topLeftCell="B5" zoomScale="70" zoomScaleNormal="70" workbookViewId="0">
      <selection activeCell="H21" sqref="H21:H36"/>
    </sheetView>
  </sheetViews>
  <sheetFormatPr defaultColWidth="11.42578125" defaultRowHeight="15"/>
  <cols>
    <col min="3" max="3" width="74" bestFit="1" customWidth="1"/>
    <col min="4" max="4" width="32.85546875" customWidth="1"/>
    <col min="5" max="7" width="18.28515625" customWidth="1"/>
    <col min="8" max="8" width="44.140625" customWidth="1"/>
    <col min="9" max="9" width="11.42578125" customWidth="1"/>
  </cols>
  <sheetData>
    <row r="2" spans="2:8" ht="15.75" thickBot="1"/>
    <row r="3" spans="2:8" ht="15.75" thickBot="1">
      <c r="H3" s="35" t="s">
        <v>85</v>
      </c>
    </row>
    <row r="4" spans="2:8" ht="16.5">
      <c r="B4">
        <v>1</v>
      </c>
      <c r="C4" s="33" t="s">
        <v>6</v>
      </c>
      <c r="D4" s="40">
        <v>2026</v>
      </c>
      <c r="H4" s="36">
        <v>2026</v>
      </c>
    </row>
    <row r="5" spans="2:8" ht="16.5">
      <c r="B5">
        <v>2</v>
      </c>
      <c r="C5" s="33" t="s">
        <v>7</v>
      </c>
      <c r="D5" s="40" t="s">
        <v>86</v>
      </c>
      <c r="H5" s="36" t="s">
        <v>86</v>
      </c>
    </row>
    <row r="6" spans="2:8" ht="16.5">
      <c r="B6">
        <v>3</v>
      </c>
      <c r="C6" s="33" t="s">
        <v>8</v>
      </c>
      <c r="D6" s="40" t="s">
        <v>87</v>
      </c>
      <c r="H6" s="37" t="s">
        <v>87</v>
      </c>
    </row>
    <row r="7" spans="2:8" ht="16.5">
      <c r="B7">
        <v>4</v>
      </c>
      <c r="C7" s="33" t="s">
        <v>9</v>
      </c>
      <c r="D7" s="5" t="str">
        <f>+H7</f>
        <v>Nuclear</v>
      </c>
      <c r="H7" s="37" t="s">
        <v>88</v>
      </c>
    </row>
    <row r="8" spans="2:8" ht="17.25" thickBot="1">
      <c r="B8">
        <v>5</v>
      </c>
      <c r="C8" s="33" t="s">
        <v>10</v>
      </c>
      <c r="D8" s="5" t="str">
        <f>+H8</f>
        <v>Facultad de Ingeniería</v>
      </c>
      <c r="H8" s="35" t="s">
        <v>89</v>
      </c>
    </row>
    <row r="9" spans="2:8" ht="17.25" thickBot="1">
      <c r="B9">
        <v>6</v>
      </c>
      <c r="C9" s="33" t="s">
        <v>11</v>
      </c>
      <c r="D9" s="5" t="str">
        <f>+H9</f>
        <v>Ingeniería Industrial</v>
      </c>
      <c r="H9" s="35" t="s">
        <v>90</v>
      </c>
    </row>
    <row r="10" spans="2:8" ht="14.25" customHeight="1" thickBot="1">
      <c r="B10">
        <v>7</v>
      </c>
      <c r="C10" s="33" t="s">
        <v>91</v>
      </c>
      <c r="D10" s="49" t="str">
        <f>+H10</f>
        <v>Factores humanos y organización</v>
      </c>
      <c r="H10" s="35" t="s">
        <v>92</v>
      </c>
    </row>
    <row r="11" spans="2:8" ht="16.5">
      <c r="B11">
        <v>8</v>
      </c>
      <c r="C11" s="33" t="s">
        <v>13</v>
      </c>
      <c r="D11" s="5">
        <v>3</v>
      </c>
      <c r="H11" s="36">
        <v>3</v>
      </c>
    </row>
    <row r="12" spans="2:8" ht="16.5">
      <c r="B12">
        <v>9</v>
      </c>
      <c r="C12" s="33" t="s">
        <v>14</v>
      </c>
      <c r="D12" s="5">
        <f t="shared" ref="D12:D19" si="0">+H12</f>
        <v>54</v>
      </c>
      <c r="H12" s="36">
        <v>54</v>
      </c>
    </row>
    <row r="13" spans="2:8" ht="16.5">
      <c r="B13">
        <v>10</v>
      </c>
      <c r="C13" s="33" t="s">
        <v>15</v>
      </c>
      <c r="D13" s="5">
        <f t="shared" si="0"/>
        <v>90</v>
      </c>
      <c r="H13" s="36">
        <v>90</v>
      </c>
    </row>
    <row r="14" spans="2:8" ht="16.5">
      <c r="B14">
        <v>11</v>
      </c>
      <c r="C14" s="33" t="s">
        <v>16</v>
      </c>
      <c r="D14" s="5">
        <f t="shared" si="0"/>
        <v>144</v>
      </c>
      <c r="H14" s="36">
        <v>144</v>
      </c>
    </row>
    <row r="15" spans="2:8" ht="16.5">
      <c r="B15">
        <v>12</v>
      </c>
      <c r="C15" s="33" t="s">
        <v>93</v>
      </c>
      <c r="D15" s="5" t="str">
        <f t="shared" si="0"/>
        <v>VIRTUAL</v>
      </c>
      <c r="E15" s="45" t="str">
        <f>IF(D15="Presencial","SI","")</f>
        <v/>
      </c>
      <c r="F15" s="45" t="str">
        <f>IF(D15="Virtual","SI","")</f>
        <v>SI</v>
      </c>
      <c r="H15" s="37" t="s">
        <v>94</v>
      </c>
    </row>
    <row r="16" spans="2:8" ht="17.25" thickBot="1">
      <c r="B16">
        <v>13</v>
      </c>
      <c r="C16" s="33" t="s">
        <v>95</v>
      </c>
      <c r="D16" s="5" t="str">
        <f t="shared" si="0"/>
        <v>Aprendizaje basado en retos, Aprendizaje basado en proyectos, Aprendizaje basado en caso de estudio, Aprendizaje experiencial, Aprendizaje basado en problemas, Aprendizaje basado en investigación</v>
      </c>
      <c r="H16" s="35" t="s">
        <v>96</v>
      </c>
    </row>
    <row r="17" spans="2:8" ht="17.25" thickBot="1">
      <c r="B17">
        <v>14</v>
      </c>
      <c r="C17" s="33" t="s">
        <v>26</v>
      </c>
      <c r="D17" s="5" t="str">
        <f t="shared" si="0"/>
        <v>Proporcionar una comprensión profunda de la interacción entre los seres humanos y los sistemas de trabajo para diseñar entornos productivos, seguros y ergonómicos.</v>
      </c>
      <c r="H17" s="35" t="s">
        <v>97</v>
      </c>
    </row>
    <row r="18" spans="2:8" ht="17.25" thickBot="1">
      <c r="B18">
        <v>15</v>
      </c>
      <c r="C18" s="33" t="s">
        <v>27</v>
      </c>
      <c r="D18" s="5" t="str">
        <f t="shared" si="0"/>
        <v>No se especifica una competencia general de programa independiente en el texto.</v>
      </c>
      <c r="H18" s="35" t="s">
        <v>98</v>
      </c>
    </row>
    <row r="19" spans="2:8" ht="17.25" thickBot="1">
      <c r="B19">
        <v>16</v>
      </c>
      <c r="C19" s="33" t="s">
        <v>99</v>
      </c>
      <c r="D19" s="5" t="str">
        <f t="shared" si="0"/>
        <v>No se detalla un resultado específico de nivel programa en el documento.</v>
      </c>
      <c r="H19" s="35" t="s">
        <v>100</v>
      </c>
    </row>
    <row r="20" spans="2:8" ht="17.25" thickBot="1">
      <c r="B20">
        <v>17</v>
      </c>
      <c r="C20" s="33" t="s">
        <v>101</v>
      </c>
      <c r="D20" s="5"/>
      <c r="H20" s="35" t="s">
        <v>102</v>
      </c>
    </row>
    <row r="21" spans="2:8" ht="17.25" thickBot="1">
      <c r="B21">
        <v>18</v>
      </c>
      <c r="C21" s="33" t="s">
        <v>103</v>
      </c>
      <c r="D21" s="5"/>
      <c r="H21" s="35" t="s">
        <v>104</v>
      </c>
    </row>
    <row r="22" spans="2:8" ht="17.25" thickBot="1">
      <c r="B22">
        <v>19</v>
      </c>
      <c r="C22" s="33" t="s">
        <v>105</v>
      </c>
      <c r="D22" s="5"/>
      <c r="H22" s="35" t="s">
        <v>106</v>
      </c>
    </row>
    <row r="23" spans="2:8" s="54" customFormat="1" ht="357">
      <c r="B23" s="54">
        <v>20</v>
      </c>
      <c r="C23" s="33" t="s">
        <v>107</v>
      </c>
      <c r="D23" s="55" t="s">
        <v>108</v>
      </c>
      <c r="E23" s="56" t="str">
        <f>IF(D23="4.5 Semanas",H23,"")</f>
        <v/>
      </c>
      <c r="F23" s="56" t="str">
        <f>IF(D23="9 Semanas",H23,"")</f>
        <v>Módulo 1: Talento Humano y Diseño Organizacional 1. La contribución del Talento Humano como eje vital de la Organización. 2. Tendencias globales que impactan la Gestión Humana y su relación con el Diseño Organizacional. 3. Planeación del Talento Humano para la Organización: 3.1 Aspectos que influyen en la proyección de necesidades de Talento Humano. 3.2. Diseño Ocupacional: Estructura organizacional y análisis y descripción de cargos. Módulo 2: Adquisición, Desarrollo y Retención del Talento 1. La Gestión Humana responsable de impulsar el ciclo de vida del talento en la Organización. 2. Adquisición del Talento: 2.1 Estrategias de Atracción, 2.2 Proceso de reclutamiento y Selección, 2.3 Proceso de Vinculación y Contratación. 3. Desarrollo: 3.1 Onboarding, 3.2 Plan de Carrera, 3.3 Formación y Entrenamiento. 4. Otras estrategias que contribuyen a la Retención: 4.1 Sistemas de Compensación, 4.2 Reconocimiento y Recompensa, 4.3 Creación de ambientes de trabajo positivos para la productividad y el bienestar. 5. Desvinculación Laboral: outplacement como estrategia clave. Módulo 3: Resultados Sostenibles de la Gestión Humana en la Organización 1. El vínculo entre la Gestión del Desempeño y la Satisfacción Laboral. 2. La retroalimentación y la evaluación del desempeño. 3. La medición del clima laboral. 4. Las métricas de la Gestión del Talento Humano.</v>
      </c>
      <c r="G23" s="56" t="str">
        <f>IF(D23="18 Semanas",H23,"")</f>
        <v/>
      </c>
      <c r="H23" s="53" t="s">
        <v>109</v>
      </c>
    </row>
    <row r="24" spans="2:8" ht="17.25" thickBot="1">
      <c r="B24">
        <v>21</v>
      </c>
      <c r="C24" s="33" t="s">
        <v>110</v>
      </c>
      <c r="D24" s="5"/>
      <c r="H24" s="35" t="s">
        <v>111</v>
      </c>
    </row>
    <row r="25" spans="2:8" ht="17.25" thickBot="1">
      <c r="B25">
        <v>22</v>
      </c>
      <c r="C25" s="33" t="s">
        <v>112</v>
      </c>
      <c r="D25" s="5" t="str">
        <f t="shared" ref="D25:D34" si="1">+H25</f>
        <v>Guía (Fase) 1: 15%; Guía (Fase) 2: 25%; Guía (Fase) 3: 15%; Proyecto integrador: 30%; Prueba en línea Unidad de estudio: 15%.</v>
      </c>
      <c r="H25" s="35" t="s">
        <v>113</v>
      </c>
    </row>
    <row r="26" spans="2:8" ht="17.25" thickBot="1">
      <c r="B26">
        <v>23</v>
      </c>
      <c r="C26" s="33" t="s">
        <v>52</v>
      </c>
      <c r="D26" s="5" t="str">
        <f t="shared" si="1"/>
        <v>1. Plataforma de aprendizaje en línea. 2. Bases de datos de la biblioteca. 3. Software de gestión de recursos humanos. 4. Herramientas de análisis de datos.</v>
      </c>
      <c r="H26" s="35" t="s">
        <v>114</v>
      </c>
    </row>
    <row r="27" spans="2:8" ht="16.5">
      <c r="B27">
        <v>24</v>
      </c>
      <c r="C27" s="33" t="s">
        <v>115</v>
      </c>
      <c r="D27" s="5" t="str">
        <f t="shared" si="1"/>
        <v>Ingles</v>
      </c>
      <c r="H27" s="37" t="s">
        <v>116</v>
      </c>
    </row>
    <row r="28" spans="2:8" ht="16.5">
      <c r="B28">
        <v>25</v>
      </c>
      <c r="C28" s="33" t="s">
        <v>54</v>
      </c>
      <c r="D28" s="42">
        <f t="shared" si="1"/>
        <v>0.2</v>
      </c>
      <c r="H28" s="38">
        <v>0.2</v>
      </c>
    </row>
    <row r="29" spans="2:8" ht="57" customHeight="1">
      <c r="B29">
        <v>26</v>
      </c>
      <c r="C29" s="33" t="s">
        <v>56</v>
      </c>
      <c r="D29" s="46" t="str">
        <f t="shared" si="1"/>
        <v>Arroyo Tovar, R. (2022). Habilidades Gerenciales : desarrollo de destrezas, competencias y actitud (3a edición.). Ecoe Ediciones. Castillo Aponte, J. Gestión humana integral. La previsión de la fuerza laboral. Ecoe Ediciones, 2020. pp.23 - 36 https://elibro-net.bdbiblioteca.universidadean.edu.co/es/ereader/bibliotecaeanecoe/129215?page=5. Chiavenato, I. (2020). Evaluación de la gestión del talento humano .En Gestión del talento humano: el nuevo papel de los recursos humanos en las organizaciones. (5ª ed., pp. 447 -469) . McGraw-Hill. http://www-ebooks7-24-com.bdbiblioteca.universidadean.edu.co/stage.aspx?il=9350&amp;pg=&amp;ed= Huang, L., Chen, Y., &amp; Wang, J. (2025). Prácticas estratégicas de recursos humanos impulsadas por ESG: Transformación de la gestión de empleados para un crecimiento organizacional sostenible. Cornell University. arXiv. https://arxiv.org/abs/2505.08201 Suárez, P. (2025). Organizaciones basadas en habilidades: el nuevo modelo de gestión del talento humano. Revista Recursos Humanos. https://revistarecursoshumanos.com/gestiontalento/organizaciones-basadas-en-habilidades-el-nuevo-modelo-de-gestion-del-talento-humano/</v>
      </c>
      <c r="E29" s="47" t="str">
        <f>CONCATENATE("Bibliografía Obligatoria",": ",D29)</f>
        <v>Bibliografía Obligatoria: Arroyo Tovar, R. (2022). Habilidades Gerenciales : desarrollo de destrezas, competencias y actitud (3a edición.). Ecoe Ediciones. Castillo Aponte, J. Gestión humana integral. La previsión de la fuerza laboral. Ecoe Ediciones, 2020. pp.23 - 36 https://elibro-net.bdbiblioteca.universidadean.edu.co/es/ereader/bibliotecaeanecoe/129215?page=5. Chiavenato, I. (2020). Evaluación de la gestión del talento humano .En Gestión del talento humano: el nuevo papel de los recursos humanos en las organizaciones. (5ª ed., pp. 447 -469) . McGraw-Hill. http://www-ebooks7-24-com.bdbiblioteca.universidadean.edu.co/stage.aspx?il=9350&amp;pg=&amp;ed= Huang, L., Chen, Y., &amp; Wang, J. (2025). Prácticas estratégicas de recursos humanos impulsadas por ESG: Transformación de la gestión de empleados para un crecimiento organizacional sostenible. Cornell University. arXiv. https://arxiv.org/abs/2505.08201 Suárez, P. (2025). Organizaciones basadas en habilidades: el nuevo modelo de gestión del talento humano. Revista Recursos Humanos. https://revistarecursoshumanos.com/gestiontalento/organizaciones-basadas-en-habilidades-el-nuevo-modelo-de-gestion-del-talento-humano/</v>
      </c>
      <c r="H29" s="53" t="s">
        <v>117</v>
      </c>
    </row>
    <row r="30" spans="2:8" ht="56.25" customHeight="1">
      <c r="B30">
        <v>27</v>
      </c>
      <c r="C30" s="33" t="s">
        <v>57</v>
      </c>
      <c r="D30" s="46" t="str">
        <f t="shared" si="1"/>
        <v>Adaptación digital y cuidado del talento. (2024). Revista Gestión Humana. Deloitte. (2025). Tendencias Globales de Capital Humano 2025. Recursos humanos, fuerza laboral y tendencias en el lugar de trabajo del futuro. Blog Comercial Deloitte. http/www.deloitte.com/latam/es/services/consulting/research/tendencias-globales-de-capital-humano-2025.html Judge, T. A., Piccolo, R. F., Podsakoff, N. P., Shaw, J. C., &amp; Rich, B. L. (2010). La relación entre el salario y la satisfacción laboral: un metaanálisis de la literatura. Journal of Vocational Behavior, 77(2), 157–167. https://doi.org/10.1016/j.jvb.2010.04.002 ManpowerGroup. (2023). Escasez de talento 2023. ManpowerGroup. https://www.manpowergroup.com/ Parra, J. M., Torres, C., &amp; Herrera Sarmiento, E. (2023). ¿Por qué perdemos talento? : cómo gestionar el journey de los colaboradores en la empresa (1a edición.). Ediciones de la U. Pujol-Cols, L. &amp; Lazzaro-Salazar, M. (2022). Gestión de la diversidad en el trabajo. Universidad del Sur (Ed.) Administración de recursos humanos: perspectiva académica y práctica profesional (Edición N.1, pp.155-157). Ediuns. https://www.researchgate.net/publication/365318675_Gestion_de_la_diversidad_en_el_trabajo</v>
      </c>
      <c r="E30" s="47" t="str">
        <f>CONCATENATE("Bibliografía Complementaria",": ",D30)</f>
        <v>Bibliografía Complementaria: Adaptación digital y cuidado del talento. (2024). Revista Gestión Humana. Deloitte. (2025). Tendencias Globales de Capital Humano 2025. Recursos humanos, fuerza laboral y tendencias en el lugar de trabajo del futuro. Blog Comercial Deloitte. http/www.deloitte.com/latam/es/services/consulting/research/tendencias-globales-de-capital-humano-2025.html Judge, T. A., Piccolo, R. F., Podsakoff, N. P., Shaw, J. C., &amp; Rich, B. L. (2010). La relación entre el salario y la satisfacción laboral: un metaanálisis de la literatura. Journal of Vocational Behavior, 77(2), 157–167. https://doi.org/10.1016/j.jvb.2010.04.002 ManpowerGroup. (2023). Escasez de talento 2023. ManpowerGroup. https://www.manpowergroup.com/ Parra, J. M., Torres, C., &amp; Herrera Sarmiento, E. (2023). ¿Por qué perdemos talento? : cómo gestionar el journey de los colaboradores en la empresa (1a edición.). Ediciones de la U. Pujol-Cols, L. &amp; Lazzaro-Salazar, M. (2022). Gestión de la diversidad en el trabajo. Universidad del Sur (Ed.) Administración de recursos humanos: perspectiva académica y práctica profesional (Edición N.1, pp.155-157). Ediuns. https://www.researchgate.net/publication/365318675_Gestion_de_la_diversidad_en_el_trabajo</v>
      </c>
      <c r="H30" s="53" t="s">
        <v>118</v>
      </c>
    </row>
    <row r="31" spans="2:8" ht="16.5">
      <c r="B31">
        <v>28</v>
      </c>
      <c r="C31" s="33" t="s">
        <v>119</v>
      </c>
      <c r="D31" s="5">
        <f t="shared" si="1"/>
        <v>1</v>
      </c>
      <c r="H31" s="36">
        <v>1</v>
      </c>
    </row>
    <row r="32" spans="2:8" ht="16.5">
      <c r="B32">
        <v>29</v>
      </c>
      <c r="C32" s="33" t="s">
        <v>60</v>
      </c>
      <c r="D32" s="44">
        <f t="shared" si="1"/>
        <v>45884</v>
      </c>
      <c r="H32" s="39">
        <v>45884</v>
      </c>
    </row>
    <row r="33" spans="2:8" ht="17.25" thickBot="1">
      <c r="B33">
        <v>30</v>
      </c>
      <c r="C33" s="33" t="s">
        <v>120</v>
      </c>
      <c r="D33" s="5" t="str">
        <f t="shared" si="1"/>
        <v>SANDRA XIMENA DIAZ</v>
      </c>
      <c r="H33" s="35" t="s">
        <v>121</v>
      </c>
    </row>
    <row r="34" spans="2:8" ht="17.25" thickBot="1">
      <c r="B34">
        <v>31</v>
      </c>
      <c r="C34" s="33" t="s">
        <v>62</v>
      </c>
      <c r="D34" s="5" t="str">
        <f t="shared" si="1"/>
        <v>JOSE DIVITT VELOSA</v>
      </c>
      <c r="H34" s="35" t="s">
        <v>122</v>
      </c>
    </row>
    <row r="35" spans="2:8" ht="16.5">
      <c r="B35">
        <v>32</v>
      </c>
      <c r="C35" s="33" t="s">
        <v>63</v>
      </c>
      <c r="D35" s="34" t="s">
        <v>123</v>
      </c>
      <c r="H35" s="37" t="s">
        <v>124</v>
      </c>
    </row>
    <row r="36" spans="2:8" ht="16.5">
      <c r="B36">
        <v>33</v>
      </c>
      <c r="C36" s="33" t="s">
        <v>64</v>
      </c>
      <c r="D36" s="5" t="str">
        <f>+H36</f>
        <v>NUEVA MALLA</v>
      </c>
      <c r="H36" s="37" t="s">
        <v>125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F58610-8BE9-400B-B5E3-930E48F074A0}">
          <x14:formula1>
            <xm:f>'Formato Syllabus_NV (2)'!$B$19:$I$19</xm:f>
          </x14:formula1>
          <xm:sqref>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8" zoomScaleNormal="100" workbookViewId="0">
      <selection activeCell="D13" sqref="D13:I13"/>
    </sheetView>
  </sheetViews>
  <sheetFormatPr defaultColWidth="10.85546875" defaultRowHeight="15"/>
  <cols>
    <col min="1" max="1" width="3.140625" style="11" customWidth="1"/>
    <col min="2" max="2" width="14.28515625" style="11" customWidth="1"/>
    <col min="3" max="3" width="14" style="11" customWidth="1"/>
    <col min="4" max="4" width="12.28515625" style="11" customWidth="1"/>
    <col min="5" max="5" width="10.140625" style="11" customWidth="1"/>
    <col min="6" max="6" width="10.85546875" style="11"/>
    <col min="7" max="7" width="12.2851562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59"/>
      <c r="C2" s="61" t="s">
        <v>0</v>
      </c>
      <c r="D2" s="61"/>
      <c r="E2" s="61"/>
      <c r="F2" s="61"/>
      <c r="G2" s="61"/>
      <c r="H2" s="61"/>
      <c r="I2" s="6" t="s">
        <v>126</v>
      </c>
    </row>
    <row r="3" spans="2:9" ht="20.25" customHeight="1">
      <c r="B3" s="60"/>
      <c r="C3" s="62"/>
      <c r="D3" s="62"/>
      <c r="E3" s="62"/>
      <c r="F3" s="62"/>
      <c r="G3" s="62"/>
      <c r="H3" s="62"/>
      <c r="I3" s="7" t="s">
        <v>2</v>
      </c>
    </row>
    <row r="4" spans="2:9" ht="21" customHeight="1" thickBot="1">
      <c r="B4" s="63" t="s">
        <v>3</v>
      </c>
      <c r="C4" s="64"/>
      <c r="D4" s="64"/>
      <c r="E4" s="64"/>
      <c r="F4" s="64"/>
      <c r="G4" s="64"/>
      <c r="H4" s="64"/>
      <c r="I4" s="8" t="s">
        <v>127</v>
      </c>
    </row>
    <row r="5" spans="2:9" ht="16.5" thickTop="1" thickBot="1">
      <c r="B5" s="177"/>
      <c r="C5" s="177"/>
      <c r="D5" s="177"/>
      <c r="E5" s="177"/>
      <c r="F5" s="177"/>
      <c r="G5" s="177"/>
      <c r="H5" s="177"/>
      <c r="I5" s="177"/>
    </row>
    <row r="6" spans="2:9">
      <c r="B6" s="178" t="s">
        <v>5</v>
      </c>
      <c r="C6" s="179"/>
      <c r="D6" s="179"/>
      <c r="E6" s="179"/>
      <c r="F6" s="179"/>
      <c r="G6" s="179"/>
      <c r="H6" s="179"/>
      <c r="I6" s="180"/>
    </row>
    <row r="7" spans="2:9" ht="60">
      <c r="B7" s="26" t="s">
        <v>6</v>
      </c>
      <c r="C7" s="1">
        <f>+Hoja1!D4</f>
        <v>2026</v>
      </c>
      <c r="D7" s="2" t="s">
        <v>7</v>
      </c>
      <c r="E7" s="48" t="str">
        <f>+Hoja1!D5</f>
        <v>PFVINIBOG002</v>
      </c>
      <c r="F7" s="2" t="s">
        <v>8</v>
      </c>
      <c r="G7" s="41" t="str">
        <f>+Hoja1!D6</f>
        <v>IFVN0011</v>
      </c>
      <c r="H7" s="2" t="s">
        <v>9</v>
      </c>
      <c r="I7" s="27" t="str">
        <f>+Hoja1!D7</f>
        <v>Nuclear</v>
      </c>
    </row>
    <row r="8" spans="2:9" ht="30">
      <c r="B8" s="26" t="s">
        <v>128</v>
      </c>
      <c r="C8" s="3" t="s">
        <v>19</v>
      </c>
      <c r="D8" s="2" t="str">
        <f>+Hoja1!E15</f>
        <v/>
      </c>
      <c r="E8" s="3" t="s">
        <v>20</v>
      </c>
      <c r="F8" s="2" t="str">
        <f>+Hoja1!F15</f>
        <v>SI</v>
      </c>
      <c r="G8" s="2" t="s">
        <v>129</v>
      </c>
      <c r="H8" s="175"/>
      <c r="I8" s="176"/>
    </row>
    <row r="9" spans="2:9" ht="45">
      <c r="B9" s="28" t="s">
        <v>130</v>
      </c>
      <c r="C9" s="25" t="s">
        <v>131</v>
      </c>
      <c r="D9" s="3" t="s">
        <v>65</v>
      </c>
      <c r="E9" s="173" t="str">
        <f>+Hoja1!D9</f>
        <v>Ingeniería Industrial</v>
      </c>
      <c r="F9" s="173"/>
      <c r="G9" s="2" t="s">
        <v>12</v>
      </c>
      <c r="H9" s="173" t="str">
        <f>+Hoja1!D10</f>
        <v>Factores humanos y organización</v>
      </c>
      <c r="I9" s="174"/>
    </row>
    <row r="10" spans="2:9" ht="30.75" thickBot="1">
      <c r="B10" s="29" t="s">
        <v>13</v>
      </c>
      <c r="C10" s="31">
        <f>+Hoja1!D11</f>
        <v>3</v>
      </c>
      <c r="D10" s="30" t="s">
        <v>14</v>
      </c>
      <c r="E10" s="31">
        <f>+Hoja1!D12</f>
        <v>54</v>
      </c>
      <c r="F10" s="30" t="s">
        <v>15</v>
      </c>
      <c r="G10" s="31">
        <f>+Hoja1!D13</f>
        <v>90</v>
      </c>
      <c r="H10" s="30" t="s">
        <v>16</v>
      </c>
      <c r="I10" s="32">
        <f>E10+G10</f>
        <v>144</v>
      </c>
    </row>
    <row r="11" spans="2:9">
      <c r="B11" s="96" t="s">
        <v>132</v>
      </c>
      <c r="C11" s="97"/>
      <c r="D11" s="97"/>
      <c r="E11" s="97"/>
      <c r="F11" s="97"/>
      <c r="G11" s="97"/>
      <c r="H11" s="97"/>
      <c r="I11" s="98"/>
    </row>
    <row r="12" spans="2:9" ht="37.5" customHeight="1">
      <c r="B12" s="169" t="s">
        <v>133</v>
      </c>
      <c r="C12" s="73"/>
      <c r="D12" s="170" t="str">
        <f>+Hoja1!D17</f>
        <v>Proporcionar una comprensión profunda de la interacción entre los seres humanos y los sistemas de trabajo para diseñar entornos productivos, seguros y ergonómicos.</v>
      </c>
      <c r="E12" s="171"/>
      <c r="F12" s="171"/>
      <c r="G12" s="171"/>
      <c r="H12" s="171"/>
      <c r="I12" s="172"/>
    </row>
    <row r="13" spans="2:9" ht="40.5" customHeight="1">
      <c r="B13" s="167" t="s">
        <v>134</v>
      </c>
      <c r="C13" s="168"/>
      <c r="D13" s="170" t="s">
        <v>135</v>
      </c>
      <c r="E13" s="171"/>
      <c r="F13" s="171"/>
      <c r="G13" s="171"/>
      <c r="H13" s="171"/>
      <c r="I13" s="172"/>
    </row>
    <row r="14" spans="2:9">
      <c r="B14" s="96" t="s">
        <v>136</v>
      </c>
      <c r="C14" s="97"/>
      <c r="D14" s="97"/>
      <c r="E14" s="97"/>
      <c r="F14" s="97"/>
      <c r="G14" s="97"/>
      <c r="H14" s="97"/>
      <c r="I14" s="98"/>
    </row>
    <row r="15" spans="2:9">
      <c r="B15" s="138" t="s">
        <v>137</v>
      </c>
      <c r="C15" s="57"/>
      <c r="D15" s="57"/>
      <c r="E15" s="57"/>
      <c r="F15" s="57"/>
      <c r="G15" s="57"/>
      <c r="H15" s="57"/>
      <c r="I15" s="93"/>
    </row>
    <row r="16" spans="2:9">
      <c r="B16" s="138"/>
      <c r="C16" s="57"/>
      <c r="D16" s="57"/>
      <c r="E16" s="57"/>
      <c r="F16" s="57"/>
      <c r="G16" s="57"/>
      <c r="H16" s="57"/>
      <c r="I16" s="93"/>
    </row>
    <row r="17" spans="2:9" ht="15.75" thickBot="1">
      <c r="B17" s="139"/>
      <c r="C17" s="140"/>
      <c r="D17" s="140"/>
      <c r="E17" s="140"/>
      <c r="F17" s="140"/>
      <c r="G17" s="140"/>
      <c r="H17" s="140"/>
      <c r="I17" s="141"/>
    </row>
    <row r="18" spans="2:9" ht="15.75" thickBot="1">
      <c r="B18" s="151" t="s">
        <v>138</v>
      </c>
      <c r="C18" s="152"/>
      <c r="D18" s="152"/>
      <c r="E18" s="152"/>
      <c r="F18" s="152"/>
      <c r="G18" s="152"/>
      <c r="H18" s="152"/>
      <c r="I18" s="153"/>
    </row>
    <row r="19" spans="2:9">
      <c r="B19" s="17" t="s">
        <v>139</v>
      </c>
      <c r="C19" s="18" t="s">
        <v>140</v>
      </c>
      <c r="D19" s="17" t="s">
        <v>141</v>
      </c>
      <c r="E19" s="156" t="s">
        <v>108</v>
      </c>
      <c r="F19" s="157"/>
      <c r="G19" s="19" t="s">
        <v>142</v>
      </c>
      <c r="H19" s="154" t="s">
        <v>143</v>
      </c>
      <c r="I19" s="155"/>
    </row>
    <row r="20" spans="2:9">
      <c r="B20" s="142" t="str">
        <f>+Hoja1!E23</f>
        <v/>
      </c>
      <c r="C20" s="144"/>
      <c r="D20" s="142" t="str">
        <f>+Hoja1!F23</f>
        <v>Módulo 1: Talento Humano y Diseño Organizacional 1. La contribución del Talento Humano como eje vital de la Organización. 2. Tendencias globales que impactan la Gestión Humana y su relación con el Diseño Organizacional. 3. Planeación del Talento Humano para la Organización: 3.1 Aspectos que influyen en la proyección de necesidades de Talento Humano. 3.2. Diseño Ocupacional: Estructura organizacional y análisis y descripción de cargos. Módulo 2: Adquisición, Desarrollo y Retención del Talento 1. La Gestión Humana responsable de impulsar el ciclo de vida del talento en la Organización. 2. Adquisición del Talento: 2.1 Estrategias de Atracción, 2.2 Proceso de reclutamiento y Selección, 2.3 Proceso de Vinculación y Contratación. 3. Desarrollo: 3.1 Onboarding, 3.2 Plan de Carrera, 3.3 Formación y Entrenamiento. 4. Otras estrategias que contribuyen a la Retención: 4.1 Sistemas de Compensación, 4.2 Reconocimiento y Recompensa, 4.3 Creación de ambientes de trabajo positivos para la productividad y el bienestar. 5. Desvinculación Laboral: outplacement como estrategia clave. Módulo 3: Resultados Sostenibles de la Gestión Humana en la Organización 1. El vínculo entre la Gestión del Desempeño y la Satisfacción Laboral. 2. La retroalimentación y la evaluación del desempeño. 3. La medición del clima laboral. 4. Las métricas de la Gestión del Talento Humano.</v>
      </c>
      <c r="E20" s="143"/>
      <c r="F20" s="144"/>
      <c r="G20" s="158" t="str">
        <f>+Hoja1!G23</f>
        <v/>
      </c>
      <c r="H20" s="159"/>
      <c r="I20" s="160"/>
    </row>
    <row r="21" spans="2:9">
      <c r="B21" s="145"/>
      <c r="C21" s="147"/>
      <c r="D21" s="145"/>
      <c r="E21" s="146"/>
      <c r="F21" s="147"/>
      <c r="G21" s="161"/>
      <c r="H21" s="162"/>
      <c r="I21" s="163"/>
    </row>
    <row r="22" spans="2:9">
      <c r="B22" s="145"/>
      <c r="C22" s="147"/>
      <c r="D22" s="145"/>
      <c r="E22" s="146"/>
      <c r="F22" s="147"/>
      <c r="G22" s="161"/>
      <c r="H22" s="162"/>
      <c r="I22" s="163"/>
    </row>
    <row r="23" spans="2:9">
      <c r="B23" s="145"/>
      <c r="C23" s="147"/>
      <c r="D23" s="145"/>
      <c r="E23" s="146"/>
      <c r="F23" s="147"/>
      <c r="G23" s="161"/>
      <c r="H23" s="162"/>
      <c r="I23" s="163"/>
    </row>
    <row r="24" spans="2:9">
      <c r="B24" s="145"/>
      <c r="C24" s="147"/>
      <c r="D24" s="145"/>
      <c r="E24" s="146"/>
      <c r="F24" s="147"/>
      <c r="G24" s="161"/>
      <c r="H24" s="162"/>
      <c r="I24" s="163"/>
    </row>
    <row r="25" spans="2:9">
      <c r="B25" s="145"/>
      <c r="C25" s="147"/>
      <c r="D25" s="145"/>
      <c r="E25" s="146"/>
      <c r="F25" s="147"/>
      <c r="G25" s="161"/>
      <c r="H25" s="162"/>
      <c r="I25" s="163"/>
    </row>
    <row r="26" spans="2:9" ht="15.75" thickBot="1">
      <c r="B26" s="148"/>
      <c r="C26" s="150"/>
      <c r="D26" s="148"/>
      <c r="E26" s="149"/>
      <c r="F26" s="150"/>
      <c r="G26" s="164"/>
      <c r="H26" s="165"/>
      <c r="I26" s="166"/>
    </row>
    <row r="27" spans="2:9" ht="15.75" thickBot="1">
      <c r="B27" s="102" t="s">
        <v>144</v>
      </c>
      <c r="C27" s="103"/>
      <c r="D27" s="103"/>
      <c r="E27" s="103"/>
      <c r="F27" s="103"/>
      <c r="G27" s="103"/>
      <c r="H27" s="103"/>
      <c r="I27" s="104"/>
    </row>
    <row r="28" spans="2:9" ht="14.45" customHeight="1">
      <c r="B28" s="114" t="str">
        <f>+Hoja1!D25</f>
        <v>Guía (Fase) 1: 15%; Guía (Fase) 2: 25%; Guía (Fase) 3: 15%; Proyecto integrador: 30%; Prueba en línea Unidad de estudio: 15%.</v>
      </c>
      <c r="C28" s="115"/>
      <c r="D28" s="115"/>
      <c r="E28" s="115"/>
      <c r="F28" s="115"/>
      <c r="G28" s="115"/>
      <c r="H28" s="115"/>
      <c r="I28" s="116"/>
    </row>
    <row r="29" spans="2:9">
      <c r="B29" s="117"/>
      <c r="C29" s="118"/>
      <c r="D29" s="118"/>
      <c r="E29" s="118"/>
      <c r="F29" s="118"/>
      <c r="G29" s="118"/>
      <c r="H29" s="118"/>
      <c r="I29" s="119"/>
    </row>
    <row r="30" spans="2:9">
      <c r="B30" s="117"/>
      <c r="C30" s="118"/>
      <c r="D30" s="118"/>
      <c r="E30" s="118"/>
      <c r="F30" s="118"/>
      <c r="G30" s="118"/>
      <c r="H30" s="118"/>
      <c r="I30" s="119"/>
    </row>
    <row r="31" spans="2:9">
      <c r="B31" s="117"/>
      <c r="C31" s="118"/>
      <c r="D31" s="118"/>
      <c r="E31" s="118"/>
      <c r="F31" s="118"/>
      <c r="G31" s="118"/>
      <c r="H31" s="118"/>
      <c r="I31" s="119"/>
    </row>
    <row r="32" spans="2:9" ht="15.75" thickBot="1">
      <c r="B32" s="120"/>
      <c r="C32" s="121"/>
      <c r="D32" s="121"/>
      <c r="E32" s="121"/>
      <c r="F32" s="121"/>
      <c r="G32" s="121"/>
      <c r="H32" s="121"/>
      <c r="I32" s="122"/>
    </row>
    <row r="33" spans="2:9" ht="34.5" customHeight="1" thickBot="1">
      <c r="B33" s="108" t="s">
        <v>145</v>
      </c>
      <c r="C33" s="109"/>
      <c r="D33" s="109"/>
      <c r="E33" s="110"/>
      <c r="F33" s="111" t="str">
        <f>+Hoja1!D26</f>
        <v>1. Plataforma de aprendizaje en línea. 2. Bases de datos de la biblioteca. 3. Software de gestión de recursos humanos. 4. Herramientas de análisis de datos.</v>
      </c>
      <c r="G33" s="112"/>
      <c r="H33" s="112"/>
      <c r="I33" s="113"/>
    </row>
    <row r="34" spans="2:9" ht="15.75" thickBot="1">
      <c r="B34" s="105" t="s">
        <v>146</v>
      </c>
      <c r="C34" s="106"/>
      <c r="D34" s="106"/>
      <c r="E34" s="106"/>
      <c r="F34" s="107" t="s">
        <v>84</v>
      </c>
      <c r="G34" s="107"/>
      <c r="H34" s="20" t="s">
        <v>54</v>
      </c>
      <c r="I34" s="43">
        <f>+Hoja1!D28</f>
        <v>0.2</v>
      </c>
    </row>
    <row r="35" spans="2:9">
      <c r="B35" s="96" t="s">
        <v>147</v>
      </c>
      <c r="C35" s="97"/>
      <c r="D35" s="97"/>
      <c r="E35" s="97"/>
      <c r="F35" s="97"/>
      <c r="G35" s="97"/>
      <c r="H35" s="97"/>
      <c r="I35" s="98"/>
    </row>
    <row r="36" spans="2:9" ht="14.45" customHeight="1">
      <c r="B36" s="123" t="str">
        <f>+Hoja1!E29</f>
        <v>Bibliografía Obligatoria: Arroyo Tovar, R. (2022). Habilidades Gerenciales : desarrollo de destrezas, competencias y actitud (3a edición.). Ecoe Ediciones. Castillo Aponte, J. Gestión humana integral. La previsión de la fuerza laboral. Ecoe Ediciones, 2020. pp.23 - 36 https://elibro-net.bdbiblioteca.universidadean.edu.co/es/ereader/bibliotecaeanecoe/129215?page=5. Chiavenato, I. (2020). Evaluación de la gestión del talento humano .En Gestión del talento humano: el nuevo papel de los recursos humanos en las organizaciones. (5ª ed., pp. 447 -469) . McGraw-Hill. http://www-ebooks7-24-com.bdbiblioteca.universidadean.edu.co/stage.aspx?il=9350&amp;pg=&amp;ed= Huang, L., Chen, Y., &amp; Wang, J. (2025). Prácticas estratégicas de recursos humanos impulsadas por ESG: Transformación de la gestión de empleados para un crecimiento organizacional sostenible. Cornell University. arXiv. https://arxiv.org/abs/2505.08201 Suárez, P. (2025). Organizaciones basadas en habilidades: el nuevo modelo de gestión del talento humano. Revista Recursos Humanos. https://revistarecursoshumanos.com/gestiontalento/organizaciones-basadas-en-habilidades-el-nuevo-modelo-de-gestion-del-talento-humano/</v>
      </c>
      <c r="C36" s="124"/>
      <c r="D36" s="124"/>
      <c r="E36" s="125"/>
      <c r="F36" s="132" t="str">
        <f>+Hoja1!E30</f>
        <v>Bibliografía Complementaria: Adaptación digital y cuidado del talento. (2024). Revista Gestión Humana. Deloitte. (2025). Tendencias Globales de Capital Humano 2025. Recursos humanos, fuerza laboral y tendencias en el lugar de trabajo del futuro. Blog Comercial Deloitte. http/www.deloitte.com/latam/es/services/consulting/research/tendencias-globales-de-capital-humano-2025.html Judge, T. A., Piccolo, R. F., Podsakoff, N. P., Shaw, J. C., &amp; Rich, B. L. (2010). La relación entre el salario y la satisfacción laboral: un metaanálisis de la literatura. Journal of Vocational Behavior, 77(2), 157–167. https://doi.org/10.1016/j.jvb.2010.04.002 ManpowerGroup. (2023). Escasez de talento 2023. ManpowerGroup. https://www.manpowergroup.com/ Parra, J. M., Torres, C., &amp; Herrera Sarmiento, E. (2023). ¿Por qué perdemos talento? : cómo gestionar el journey de los colaboradores en la empresa (1a edición.). Ediciones de la U. Pujol-Cols, L. &amp; Lazzaro-Salazar, M. (2022). Gestión de la diversidad en el trabajo. Universidad del Sur (Ed.) Administración de recursos humanos: perspectiva académica y práctica profesional (Edición N.1, pp.155-157). Ediuns. https://www.researchgate.net/publication/365318675_Gestion_de_la_diversidad_en_el_trabajo</v>
      </c>
      <c r="G36" s="124"/>
      <c r="H36" s="124"/>
      <c r="I36" s="133"/>
    </row>
    <row r="37" spans="2:9">
      <c r="B37" s="126"/>
      <c r="C37" s="127"/>
      <c r="D37" s="127"/>
      <c r="E37" s="128"/>
      <c r="F37" s="134"/>
      <c r="G37" s="127"/>
      <c r="H37" s="127"/>
      <c r="I37" s="135"/>
    </row>
    <row r="38" spans="2:9">
      <c r="B38" s="126"/>
      <c r="C38" s="127"/>
      <c r="D38" s="127"/>
      <c r="E38" s="128"/>
      <c r="F38" s="134"/>
      <c r="G38" s="127"/>
      <c r="H38" s="127"/>
      <c r="I38" s="135"/>
    </row>
    <row r="39" spans="2:9">
      <c r="B39" s="126"/>
      <c r="C39" s="127"/>
      <c r="D39" s="127"/>
      <c r="E39" s="128"/>
      <c r="F39" s="134"/>
      <c r="G39" s="127"/>
      <c r="H39" s="127"/>
      <c r="I39" s="135"/>
    </row>
    <row r="40" spans="2:9">
      <c r="B40" s="126"/>
      <c r="C40" s="127"/>
      <c r="D40" s="127"/>
      <c r="E40" s="128"/>
      <c r="F40" s="134"/>
      <c r="G40" s="127"/>
      <c r="H40" s="127"/>
      <c r="I40" s="135"/>
    </row>
    <row r="41" spans="2:9">
      <c r="B41" s="126"/>
      <c r="C41" s="127"/>
      <c r="D41" s="127"/>
      <c r="E41" s="128"/>
      <c r="F41" s="134"/>
      <c r="G41" s="127"/>
      <c r="H41" s="127"/>
      <c r="I41" s="135"/>
    </row>
    <row r="42" spans="2:9" ht="97.5" customHeight="1" thickBot="1">
      <c r="B42" s="129"/>
      <c r="C42" s="130"/>
      <c r="D42" s="130"/>
      <c r="E42" s="131"/>
      <c r="F42" s="136"/>
      <c r="G42" s="130"/>
      <c r="H42" s="130"/>
      <c r="I42" s="137"/>
    </row>
    <row r="43" spans="2:9">
      <c r="B43" s="96" t="s">
        <v>148</v>
      </c>
      <c r="C43" s="97"/>
      <c r="D43" s="97"/>
      <c r="E43" s="97"/>
      <c r="F43" s="97"/>
      <c r="G43" s="97"/>
      <c r="H43" s="97"/>
      <c r="I43" s="98"/>
    </row>
    <row r="44" spans="2:9">
      <c r="B44" s="21" t="s">
        <v>59</v>
      </c>
      <c r="C44" s="9" t="s">
        <v>60</v>
      </c>
      <c r="D44" s="9" t="s">
        <v>120</v>
      </c>
      <c r="E44" s="9" t="s">
        <v>62</v>
      </c>
      <c r="F44" s="9" t="s">
        <v>63</v>
      </c>
      <c r="G44" s="58" t="s">
        <v>64</v>
      </c>
      <c r="H44" s="58"/>
      <c r="I44" s="99"/>
    </row>
    <row r="45" spans="2:9" ht="24.75">
      <c r="B45" s="50">
        <v>2</v>
      </c>
      <c r="C45" s="51">
        <f>+Hoja1!D32</f>
        <v>45884</v>
      </c>
      <c r="D45" s="52" t="str">
        <f>+Hoja1!D33</f>
        <v>SANDRA XIMENA DIAZ</v>
      </c>
      <c r="E45" s="52" t="str">
        <f>+Hoja1!D34</f>
        <v>JOSE DIVITT VELOSA</v>
      </c>
      <c r="F45" s="52" t="str">
        <f>+Hoja1!D35</f>
        <v>Jose Divitt Velosa</v>
      </c>
      <c r="G45" s="100" t="str">
        <f>+Hoja1!D36</f>
        <v>NUEVA MALLA</v>
      </c>
      <c r="H45" s="100"/>
      <c r="I45" s="101"/>
    </row>
    <row r="46" spans="2:9">
      <c r="B46" s="22"/>
      <c r="C46" s="10"/>
      <c r="D46" s="10"/>
      <c r="E46" s="10"/>
      <c r="F46" s="10"/>
      <c r="G46" s="57"/>
      <c r="H46" s="57"/>
      <c r="I46" s="93"/>
    </row>
    <row r="47" spans="2:9">
      <c r="B47" s="22"/>
      <c r="C47" s="10"/>
      <c r="D47" s="10"/>
      <c r="E47" s="10"/>
      <c r="F47" s="10"/>
      <c r="G47" s="57"/>
      <c r="H47" s="57"/>
      <c r="I47" s="93"/>
    </row>
    <row r="48" spans="2:9">
      <c r="B48" s="22"/>
      <c r="C48" s="10"/>
      <c r="D48" s="10"/>
      <c r="E48" s="10"/>
      <c r="F48" s="10"/>
      <c r="G48" s="57"/>
      <c r="H48" s="57"/>
      <c r="I48" s="93"/>
    </row>
    <row r="49" spans="2:9">
      <c r="B49" s="22"/>
      <c r="C49" s="10"/>
      <c r="D49" s="10"/>
      <c r="E49" s="10"/>
      <c r="F49" s="10"/>
      <c r="G49" s="57"/>
      <c r="H49" s="57"/>
      <c r="I49" s="93"/>
    </row>
    <row r="50" spans="2:9" ht="15.75" thickBot="1">
      <c r="B50" s="23"/>
      <c r="C50" s="24"/>
      <c r="D50" s="24"/>
      <c r="E50" s="24"/>
      <c r="F50" s="24"/>
      <c r="G50" s="94"/>
      <c r="H50" s="94"/>
      <c r="I50" s="95"/>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88</v>
      </c>
      <c r="B1" s="11" t="s">
        <v>149</v>
      </c>
      <c r="C1" s="11">
        <v>2</v>
      </c>
      <c r="D1" s="11">
        <v>36</v>
      </c>
      <c r="E1" s="11">
        <v>60</v>
      </c>
      <c r="F1" s="11" t="s">
        <v>84</v>
      </c>
      <c r="G1" s="13">
        <v>0.1</v>
      </c>
      <c r="H1" s="11" t="s">
        <v>150</v>
      </c>
    </row>
    <row r="2" spans="1:8">
      <c r="A2" s="11" t="s">
        <v>151</v>
      </c>
      <c r="B2" s="11" t="s">
        <v>152</v>
      </c>
      <c r="C2" s="11">
        <v>3</v>
      </c>
      <c r="D2" s="11">
        <v>54</v>
      </c>
      <c r="E2" s="11">
        <v>90</v>
      </c>
      <c r="F2" s="11" t="s">
        <v>153</v>
      </c>
      <c r="G2" s="13">
        <v>0.2</v>
      </c>
      <c r="H2" s="11" t="s">
        <v>131</v>
      </c>
    </row>
    <row r="3" spans="1:8">
      <c r="A3" s="11" t="s">
        <v>154</v>
      </c>
      <c r="B3" s="11" t="s">
        <v>155</v>
      </c>
      <c r="C3" s="11">
        <v>4</v>
      </c>
      <c r="D3" s="11">
        <v>72</v>
      </c>
      <c r="E3" s="11">
        <v>120</v>
      </c>
      <c r="F3" s="11" t="s">
        <v>156</v>
      </c>
      <c r="G3" s="13">
        <v>0.3</v>
      </c>
    </row>
    <row r="4" spans="1:8">
      <c r="A4" s="11" t="s">
        <v>157</v>
      </c>
      <c r="B4" s="11" t="s">
        <v>158</v>
      </c>
      <c r="C4" s="11">
        <v>5</v>
      </c>
      <c r="D4" s="11">
        <v>90</v>
      </c>
      <c r="E4" s="11">
        <v>102</v>
      </c>
      <c r="F4" s="11" t="s">
        <v>159</v>
      </c>
      <c r="G4" s="13">
        <v>0.4</v>
      </c>
    </row>
    <row r="5" spans="1:8">
      <c r="A5" s="11" t="s">
        <v>160</v>
      </c>
      <c r="B5" s="11" t="s">
        <v>161</v>
      </c>
      <c r="C5" s="11">
        <v>6</v>
      </c>
      <c r="D5" s="11">
        <v>90</v>
      </c>
      <c r="E5" s="11">
        <v>150</v>
      </c>
      <c r="F5" s="11" t="s">
        <v>162</v>
      </c>
      <c r="G5" s="13">
        <v>0.5</v>
      </c>
    </row>
    <row r="6" spans="1:8">
      <c r="B6" s="11" t="s">
        <v>163</v>
      </c>
      <c r="C6" s="11">
        <v>8</v>
      </c>
      <c r="D6" s="11">
        <v>108</v>
      </c>
      <c r="E6" s="11">
        <v>180</v>
      </c>
      <c r="G6" s="13">
        <v>0.6</v>
      </c>
    </row>
    <row r="7" spans="1:8">
      <c r="B7" s="11" t="s">
        <v>164</v>
      </c>
      <c r="D7" s="11">
        <v>144</v>
      </c>
      <c r="E7" s="11">
        <v>240</v>
      </c>
      <c r="G7" s="13">
        <v>0.7</v>
      </c>
    </row>
    <row r="8" spans="1:8">
      <c r="B8" s="11" t="s">
        <v>165</v>
      </c>
      <c r="D8" s="11">
        <v>32</v>
      </c>
      <c r="E8" s="11">
        <v>64</v>
      </c>
      <c r="G8" s="13">
        <v>0.8</v>
      </c>
    </row>
    <row r="9" spans="1:8">
      <c r="B9" s="11" t="s">
        <v>166</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EDWARD DIVITT VELOSA GARCIA</cp:lastModifiedBy>
  <cp:revision/>
  <dcterms:created xsi:type="dcterms:W3CDTF">2025-08-27T15:39:23Z</dcterms:created>
  <dcterms:modified xsi:type="dcterms:W3CDTF">2026-02-21T15:58:34Z</dcterms:modified>
  <cp:category/>
  <cp:contentStatus/>
</cp:coreProperties>
</file>