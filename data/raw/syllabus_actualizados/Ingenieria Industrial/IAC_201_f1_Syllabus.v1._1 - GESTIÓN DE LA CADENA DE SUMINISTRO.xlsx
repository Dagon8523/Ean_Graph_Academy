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IRECCIÓN\2000413 INGENIERIA INDUSTRIAL -PFVINIBOG001\Syllabus\2026 S1\Nuevo formato - II\"/>
    </mc:Choice>
  </mc:AlternateContent>
  <xr:revisionPtr revIDLastSave="17" documentId="13_ncr:1_{50F9ECDB-BFEF-4E4D-9947-8ADFD528A954}" xr6:coauthVersionLast="47" xr6:coauthVersionMax="47" xr10:uidLastSave="{D86FD4E1-0B45-438C-B905-1AAEDA3E6C61}"/>
  <bookViews>
    <workbookView xWindow="-120" yWindow="-120" windowWidth="20730" windowHeight="11040" firstSheet="3" activeTab="3" xr2:uid="{79C19C23-9E31-446A-A15A-4EB9549A8DE9}"/>
  </bookViews>
  <sheets>
    <sheet name="Formato Syllabus" sheetId="1" state="hidden" r:id="rId1"/>
    <sheet name="Formato Syllabus_NV" sheetId="3" state="hidden" r:id="rId2"/>
    <sheet name="Hoja1" sheetId="5" state="hidden" r:id="rId3"/>
    <sheet name="Formato Syllabus_NV (2)" sheetId="4" r:id="rId4"/>
    <sheet name="Parámetros" sheetId="2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5" i="5" l="1"/>
  <c r="D34" i="5"/>
  <c r="D33" i="5"/>
  <c r="D32" i="5"/>
  <c r="D13" i="4"/>
  <c r="D20" i="5"/>
  <c r="D30" i="5"/>
  <c r="E30" i="5" s="1"/>
  <c r="F36" i="4" s="1"/>
  <c r="D29" i="5"/>
  <c r="E29" i="5" s="1"/>
  <c r="B36" i="4" s="1"/>
  <c r="D36" i="5"/>
  <c r="G45" i="4" s="1"/>
  <c r="F45" i="4"/>
  <c r="D15" i="5"/>
  <c r="F15" i="5" s="1"/>
  <c r="F8" i="4" s="1"/>
  <c r="G23" i="5"/>
  <c r="G20" i="4" s="1"/>
  <c r="F23" i="5"/>
  <c r="D20" i="4" s="1"/>
  <c r="E23" i="5"/>
  <c r="B20" i="4" s="1"/>
  <c r="E45" i="4"/>
  <c r="D45" i="4"/>
  <c r="C45" i="4"/>
  <c r="D31" i="5"/>
  <c r="D28" i="5"/>
  <c r="I34" i="4" s="1"/>
  <c r="D27" i="5"/>
  <c r="D26" i="5"/>
  <c r="F33" i="4" s="1"/>
  <c r="D25" i="5"/>
  <c r="B28" i="4" s="1"/>
  <c r="G7" i="4"/>
  <c r="E7" i="4"/>
  <c r="D17" i="5"/>
  <c r="D12" i="4" s="1"/>
  <c r="D18" i="5"/>
  <c r="D19" i="5"/>
  <c r="D13" i="5"/>
  <c r="G10" i="4" s="1"/>
  <c r="D14" i="5"/>
  <c r="D16" i="5"/>
  <c r="D12" i="5"/>
  <c r="E10" i="4" s="1"/>
  <c r="D10" i="5"/>
  <c r="H9" i="4" s="1"/>
  <c r="D9" i="5"/>
  <c r="E9" i="4" s="1"/>
  <c r="D8" i="5"/>
  <c r="D7" i="5"/>
  <c r="I7" i="4" s="1"/>
  <c r="C10" i="4"/>
  <c r="C7" i="4"/>
  <c r="I9" i="3"/>
  <c r="I9" i="1"/>
  <c r="E15" i="5" l="1"/>
  <c r="D8" i="4" s="1"/>
  <c r="I10" i="4"/>
</calcChain>
</file>

<file path=xl/sharedStrings.xml><?xml version="1.0" encoding="utf-8"?>
<sst xmlns="http://schemas.openxmlformats.org/spreadsheetml/2006/main" count="262" uniqueCount="163">
  <si>
    <t>FORMATO</t>
  </si>
  <si>
    <t>Versión:  0</t>
  </si>
  <si>
    <t>Código: IAC-201-f1</t>
  </si>
  <si>
    <t xml:space="preserve">SYLLABUS </t>
  </si>
  <si>
    <t>Fecha:16/Sep/2025</t>
  </si>
  <si>
    <t>1.	Información General de la Unidad de Estudio</t>
  </si>
  <si>
    <t>Año</t>
  </si>
  <si>
    <t>Código Plan de estudios</t>
  </si>
  <si>
    <t>Código Unidad de Estudio</t>
  </si>
  <si>
    <t>Tipo Unidad de estudio</t>
  </si>
  <si>
    <t>Facultad o Área</t>
  </si>
  <si>
    <t>Programa</t>
  </si>
  <si>
    <t>Nombre Unidad  de estudios</t>
  </si>
  <si>
    <t>Créditos Académicos</t>
  </si>
  <si>
    <t>HAD</t>
  </si>
  <si>
    <t>HTA</t>
  </si>
  <si>
    <t>HT</t>
  </si>
  <si>
    <t>2. Modalidad y Metodología</t>
  </si>
  <si>
    <t>Seleccione con una X la modalidad en la que se desarrolla la Unidad.</t>
  </si>
  <si>
    <t>Presencial</t>
  </si>
  <si>
    <t>Virtual</t>
  </si>
  <si>
    <t>Metodología (Aplica solo para unidades de estudio de la modalidad presencial)</t>
  </si>
  <si>
    <t>PAT</t>
  </si>
  <si>
    <t>In Situ</t>
  </si>
  <si>
    <t>Híbrida</t>
  </si>
  <si>
    <t>3.	Propósito, Competencias y Resultados de Aprendizaje.</t>
  </si>
  <si>
    <t>Propósito de la Unidad de Estudio</t>
  </si>
  <si>
    <t>Competencia de Programa</t>
  </si>
  <si>
    <t>Resultado de Aprendizaje  de Programa</t>
  </si>
  <si>
    <t>Resultado de Aprendizaje Unidad de Estudio</t>
  </si>
  <si>
    <t>Criterios de evaluación</t>
  </si>
  <si>
    <t xml:space="preserve">1. </t>
  </si>
  <si>
    <t>2.</t>
  </si>
  <si>
    <t>3.</t>
  </si>
  <si>
    <t>4.</t>
  </si>
  <si>
    <t>Competencias del modelo educativo a desarrollar (Seleccione con X aquellas competencias del modelo educativo que se desarrollarán en la Unidad de Estudio).</t>
  </si>
  <si>
    <t>EM</t>
  </si>
  <si>
    <t>SH</t>
  </si>
  <si>
    <t>IN</t>
  </si>
  <si>
    <t>COM</t>
  </si>
  <si>
    <t>SO</t>
  </si>
  <si>
    <t>AA</t>
  </si>
  <si>
    <t>SE</t>
  </si>
  <si>
    <t>COL</t>
  </si>
  <si>
    <t>DI</t>
  </si>
  <si>
    <r>
      <t xml:space="preserve">*Las competencias corresponden a:  </t>
    </r>
    <r>
      <rPr>
        <b/>
        <sz val="10"/>
        <color rgb="FF231F20"/>
        <rFont val="Arial"/>
        <family val="2"/>
      </rPr>
      <t xml:space="preserve">EM: </t>
    </r>
    <r>
      <rPr>
        <sz val="10"/>
        <color rgb="FF231F20"/>
        <rFont val="Arial"/>
        <family val="2"/>
      </rPr>
      <t xml:space="preserve">Emprendedoras, </t>
    </r>
    <r>
      <rPr>
        <b/>
        <sz val="10"/>
        <color rgb="FF231F20"/>
        <rFont val="Arial"/>
        <family val="2"/>
      </rPr>
      <t xml:space="preserve">SH: </t>
    </r>
    <r>
      <rPr>
        <sz val="10"/>
        <color rgb="FF231F20"/>
        <rFont val="Arial"/>
        <family val="2"/>
      </rPr>
      <t xml:space="preserve">Socio-humanísticas, </t>
    </r>
    <r>
      <rPr>
        <b/>
        <sz val="10"/>
        <color rgb="FF231F20"/>
        <rFont val="Arial"/>
        <family val="2"/>
      </rPr>
      <t xml:space="preserve">IN: </t>
    </r>
    <r>
      <rPr>
        <sz val="10"/>
        <color rgb="FF231F20"/>
        <rFont val="Arial"/>
        <family val="2"/>
      </rPr>
      <t xml:space="preserve">Investigativas, </t>
    </r>
    <r>
      <rPr>
        <b/>
        <sz val="10"/>
        <color rgb="FF231F20"/>
        <rFont val="Arial"/>
        <family val="2"/>
      </rPr>
      <t xml:space="preserve">COM: </t>
    </r>
    <r>
      <rPr>
        <sz val="10"/>
        <color rgb="FF231F20"/>
        <rFont val="Arial"/>
        <family val="2"/>
      </rPr>
      <t xml:space="preserve">Comunicativas, SO: Sostenibilidad, AA:  Aprendizaje Autónomo, SE: Socio Emocionales, COL: Colaborativas, </t>
    </r>
    <r>
      <rPr>
        <b/>
        <sz val="10"/>
        <color rgb="FF231F20"/>
        <rFont val="Arial"/>
        <family val="2"/>
      </rPr>
      <t xml:space="preserve">DI: </t>
    </r>
    <r>
      <rPr>
        <sz val="10"/>
        <color rgb="FF231F20"/>
        <rFont val="Arial"/>
        <family val="2"/>
      </rPr>
      <t xml:space="preserve">Digitales. </t>
    </r>
  </si>
  <si>
    <t>4.	Contenidos y Estrategias Pedagógicas</t>
  </si>
  <si>
    <t>En este apartado se solicita diligenciar los temas que harán parte de los contenidos de la UE; En cuanto a las estrategias pedagógicas relacionar los métodos, técnicas o acciones planificadas que se utilizan para facilitar el proceso de enseñanza-aprendizaje.</t>
  </si>
  <si>
    <t>Contenidos Unidad de estudio:</t>
  </si>
  <si>
    <t>Estrategias Pedagógicas:</t>
  </si>
  <si>
    <t>5.	Esquema de Calificación, Recursos y Componente de Lengua Extranjera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</si>
  <si>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</t>
    </r>
  </si>
  <si>
    <t>Recursos Tecnológicos</t>
  </si>
  <si>
    <t>Componente de Lengua extranjera</t>
  </si>
  <si>
    <t>Porcentaje</t>
  </si>
  <si>
    <t>6.	Bibliografía Obligatoria y Complementaria.</t>
  </si>
  <si>
    <t>Bibliografía Obligatoria</t>
  </si>
  <si>
    <t>Bibliografía Complementaria</t>
  </si>
  <si>
    <t>7. Control de Cambios</t>
  </si>
  <si>
    <t># versión</t>
  </si>
  <si>
    <t>Fecha</t>
  </si>
  <si>
    <t>Elaoró</t>
  </si>
  <si>
    <t>Revisó</t>
  </si>
  <si>
    <t>Aprobó</t>
  </si>
  <si>
    <t>Descripción del cambio</t>
  </si>
  <si>
    <t>Programas</t>
  </si>
  <si>
    <t>Agrehar posgrado pregrado</t>
  </si>
  <si>
    <t>Tenr claro quienes van a responder por esas coordinaciones</t>
  </si>
  <si>
    <t>descripción delcurso</t>
  </si>
  <si>
    <t xml:space="preserve">matriz </t>
  </si>
  <si>
    <t xml:space="preserve">Competencias del modelo educativo a desarrollar alinear como casilla y dejar descripción pie de pagina </t>
  </si>
  <si>
    <t>Emprendimiento Sostenible</t>
  </si>
  <si>
    <t>Liderar procesos emprendedores e 
innovadores para crear o 
transformar organizaciones y 
entornos hacia la sostenibilidad, 
generando valor en contextos 
diversos e inciertos.</t>
  </si>
  <si>
    <t>cargar los ysllabus de cinco años anteriores</t>
  </si>
  <si>
    <t>Power Humanise</t>
  </si>
  <si>
    <t xml:space="preserve">Integrar pensamiento crítico, empatía, diseño centrado en las personas y criterios éticos y sostenibles para crear soluciones, relaciones y acciones que promuevan bienestar, propósito y valor colectivo. </t>
  </si>
  <si>
    <t>Oferta actual a 2026 - 1</t>
  </si>
  <si>
    <t>TECH IA MAKER</t>
  </si>
  <si>
    <t xml:space="preserve">Utilizar la IA de manera ética, crítica y estratégica para potenciar capacidades humanas, resolver problemas, crear soluciones, optimizar procesos y generar valor. </t>
  </si>
  <si>
    <t>Solicitar a los profesores comité curricular antes</t>
  </si>
  <si>
    <t>Contenidos Unidad de estudio: dar tipologia 4.5 semanas, 9 semanas y 18 semanas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</si>
  <si>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 Redactar en evaluación de impacto, meter con las competencia emprendimiento sostebible, power humanise o ia tech maker</t>
    </r>
  </si>
  <si>
    <t>Recursos Tecnológicos reorganizar</t>
  </si>
  <si>
    <t>Componente de Lengua extranjera solo inglés</t>
  </si>
  <si>
    <t>Inglés</t>
  </si>
  <si>
    <t>Información Extraída</t>
  </si>
  <si>
    <t>PFVINIBOG002</t>
  </si>
  <si>
    <t>IFVN0021</t>
  </si>
  <si>
    <t>Nuclear</t>
  </si>
  <si>
    <t>Facultad de Ingeniería</t>
  </si>
  <si>
    <t>Ingeniería Industrial</t>
  </si>
  <si>
    <t>Nombre Unidad de estudios</t>
  </si>
  <si>
    <t>Gestión de la cadena de suministro</t>
  </si>
  <si>
    <t>Modalidad (Presencial / Virtual)</t>
  </si>
  <si>
    <t>Metodología (PAT / In Situ / Híbrida)</t>
  </si>
  <si>
    <t>1. Emprendedoras, 2. Investigativas, 3. Sostenibilidad, 4. Comunicativas. Se menciona el uso de simulaciones, casos reales y proyectos prácticos.+1</t>
  </si>
  <si>
    <t>Sumergir a los estudiantes en la gestión de la cadena de suministro global, explorando flujos de información, materiales y finanzas para crear valor y ventajas competitivas, desarrollando habilidades para gestionar cadenas resilientes y sostenibles.</t>
  </si>
  <si>
    <t>No se especifica un texto único, pero se enfoca en el diseño, optimización y gestión de cadenas de suministro en entornos en constante evolución.</t>
  </si>
  <si>
    <t>Resultado de Aprendizaje de Programa</t>
  </si>
  <si>
    <t>No se explicita como ítem separado, pero se orienta a la mejora de la eficiencia operativa y la resiliencia en entornos globales.</t>
  </si>
  <si>
    <t>Resultado de Aprendizaje de la Unidad de Estudio</t>
  </si>
  <si>
    <t>Al finalizar el curso, los estudiantes serán capaces de diseñar y optimizar cadenas de suministro integradas, aplicando principios avanzados de logística, tecnologías emergentes y estrategias de sostenibilidad.</t>
  </si>
  <si>
    <t>Criterios de evaluación (1, 2, 3, 4)</t>
  </si>
  <si>
    <t>1. Diseño y optimización de redes de cadena de suministro.2. Implementación de estrategias de gestión de inventarios y demanda.3. Análisis y mitigación de riesgos en la cadena de suministro.4. Integración de tecnologías digitales en operaciones logísticas.5. Desarrollo de estrategias de sostenibilidad en la cadena de suministro.</t>
  </si>
  <si>
    <t>Competencias del modelo educativo (EM, SH, IN, COM, SO, AA, SE, COL, DI)</t>
  </si>
  <si>
    <t>EM, SH, IN, CO, SO, AU, SE, COL, DI.</t>
  </si>
  <si>
    <t>Contenidos de la Unidad de estudio</t>
  </si>
  <si>
    <t>9 Semanas</t>
  </si>
  <si>
    <t>1. Fundamentos de la gestión de la cadena de suministro.2. Diseño y planificación de redes logísticas.3. Gestión de inventarios y demanda.4. Logística y transporte internacional.5. Tecnologías emergentes en la cadena de suministro.6. Gestión de riesgos y resiliencia.7. Sostenibilidad y cadenas de suministro verdes.</t>
  </si>
  <si>
    <t>Estrategias Pedagógicas</t>
  </si>
  <si>
    <t>Simulaciones con software especializado, análisis de casos globales, proyectos grupales, debates de localización/sourcing, presentaciones a clientes virtuales , juegos de simulación de inventarios, workshops virtuales, foros S&amp;OP, competencias de resolución de problemas , webinars, hackathons virtuales y proyectos de investigación.+3</t>
  </si>
  <si>
    <t>Esquema de Calificación</t>
  </si>
  <si>
    <t>No se detallan porcentajes por corte, solo se menciona la evaluación constante por actividades. +1</t>
  </si>
  <si>
    <t>1. Software de diseño y simulación (AnyLogic, Supply Chain Guru).2. Herramientas de visualización (Tableau, Power BI).+13. Plataformas colaborativas (Trello, MS Project).4. Bases de datos internacionales (Panjiva).</t>
  </si>
  <si>
    <t>Componente de Lengua Extranjera</t>
  </si>
  <si>
    <t>1. Chopra, S., &amp; Meindl, P. (2022). Supply chain management: Strategy, planning, and operation (7th ed.). Pearson..
2. Christopher, M. (2016). Logistics &amp; supply chain management (5th ed.). Pearson..
3. Simchi-Levi, D., Kaminsky, P., &amp; Simchi-Levi, E. (2021). Designing and managing the supply chain: Concepts, strategies, and case studies (4th ed.). McGraw-Hill Education..
4. Jacobs, F. R., &amp; Chase, R. B. (2021). Operations and supply chain management (16th ed.). McGraw-Hill Education.</t>
  </si>
  <si>
    <t>1. Mangan, J., Lalwani, C., &amp; Lalwani, C. L. (2016). Global logistics and supply chain management (3rd ed.). John Wiley &amp; Sons..
2. Stadtler, H., Kilger, C., &amp; Meyr, H. (Eds.). (2015). Supply chain management and advanced planning: Concepts, models, software, and case studies (5th ed.). Springer..
3. Bowersox, D. J., Closs, D. J., &amp; Cooper, M. B. (2012). Supply chain logistics management (4th ed.). McGraw-Hill Education.
4. Handfield, R. B., &amp; Nichols, E. L. (2022). Introduction to supply chain management (3rd ed.). Pearson.</t>
  </si>
  <si>
    <t>Número de versión</t>
  </si>
  <si>
    <t>Elaboró</t>
  </si>
  <si>
    <t>Diana Figueroa</t>
  </si>
  <si>
    <t>Mauricio Bolívar</t>
  </si>
  <si>
    <t>Jose Divitt Velosa</t>
  </si>
  <si>
    <t>Nueva malla</t>
  </si>
  <si>
    <t>Versión:  1</t>
  </si>
  <si>
    <r>
      <t xml:space="preserve">Fecha: </t>
    </r>
    <r>
      <rPr>
        <b/>
        <sz val="10"/>
        <rFont val="Arial Narrow"/>
        <family val="2"/>
      </rPr>
      <t>17/Feb/2026</t>
    </r>
  </si>
  <si>
    <t>Modalidad</t>
  </si>
  <si>
    <t>Presencial y Virtual</t>
  </si>
  <si>
    <t xml:space="preserve">Nivel </t>
  </si>
  <si>
    <t>Pregrado</t>
  </si>
  <si>
    <t>2.	Descripción  Resultados de Aprendizaje.</t>
  </si>
  <si>
    <t>Descripción de la unidad de estudio</t>
  </si>
  <si>
    <t>Resultado de Aprendizaje</t>
  </si>
  <si>
    <t>3.	Contenidos</t>
  </si>
  <si>
    <t>En este apartado se solicita diligenciar los temas que harán parte de los contenidos de la UE teniendo en cuenta si la unidad se desarrolla de Ciclo, Módulo o Semestre</t>
  </si>
  <si>
    <t>Contenidos Unidad de estudio: dar tipología 4.5 semanas, 9 semanas y 18 semanas</t>
  </si>
  <si>
    <t>Módulo</t>
  </si>
  <si>
    <t>4.5 Semanas</t>
  </si>
  <si>
    <t>Ciclo</t>
  </si>
  <si>
    <t>Semestre</t>
  </si>
  <si>
    <t>18 Semanas</t>
  </si>
  <si>
    <t>4.	Esquema de Calificación</t>
  </si>
  <si>
    <t>5. Recursos Tecnológicos (Describir los recursos como software, sala de cómputos, laboratorios)</t>
  </si>
  <si>
    <t>6. Componente de Lengua extranjera</t>
  </si>
  <si>
    <t>7.	Bibliografía Obligatoria y Complementaria.</t>
  </si>
  <si>
    <t>8. Control de Cambios</t>
  </si>
  <si>
    <t>FAFCE</t>
  </si>
  <si>
    <t>Posgrado</t>
  </si>
  <si>
    <t>Transversal</t>
  </si>
  <si>
    <t>FIN</t>
  </si>
  <si>
    <t>Alemán</t>
  </si>
  <si>
    <t>Electiva</t>
  </si>
  <si>
    <t>FCSH</t>
  </si>
  <si>
    <t>Italiano</t>
  </si>
  <si>
    <t>Requisito de Grado</t>
  </si>
  <si>
    <t>EMPRENDIMIENTO</t>
  </si>
  <si>
    <t>Francés</t>
  </si>
  <si>
    <t>Nuclear / Electiva</t>
  </si>
  <si>
    <t>INVESTIGACIÓN</t>
  </si>
  <si>
    <t>Portugués</t>
  </si>
  <si>
    <t>IDIOMAS</t>
  </si>
  <si>
    <t>PRÁCTICA</t>
  </si>
  <si>
    <t>CIENCIAS BÁSICAS</t>
  </si>
  <si>
    <t>SOCIOHUMANISTICA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</si>
</sst>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231F20"/>
      <name val="Arial"/>
      <family val="2"/>
    </font>
    <font>
      <b/>
      <sz val="10"/>
      <color rgb="FF231F2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Arial Narrow"/>
      <family val="2"/>
    </font>
    <font>
      <b/>
      <sz val="11"/>
      <color rgb="FF3D7357"/>
      <name val="Arial Narrow"/>
      <family val="2"/>
    </font>
    <font>
      <b/>
      <sz val="10"/>
      <name val="Arial Narrow"/>
      <family val="2"/>
    </font>
    <font>
      <sz val="11"/>
      <color theme="1"/>
      <name val="Segoe UI"/>
      <family val="2"/>
    </font>
    <font>
      <sz val="10"/>
      <color theme="1"/>
      <name val="Arial"/>
      <family val="2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rgb="FF242424"/>
      <name val="Aptos Narrow"/>
      <charset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6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ouble">
        <color indexed="64"/>
      </right>
      <top style="double">
        <color indexed="64"/>
      </top>
      <bottom style="dashed">
        <color indexed="64"/>
      </bottom>
      <diagonal/>
    </border>
    <border>
      <left style="double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ouble">
        <color indexed="64"/>
      </right>
      <top style="dashed">
        <color indexed="64"/>
      </top>
      <bottom/>
      <diagonal/>
    </border>
    <border>
      <left style="double">
        <color indexed="64"/>
      </left>
      <right/>
      <top style="dashed">
        <color indexed="64"/>
      </top>
      <bottom style="double">
        <color indexed="64"/>
      </bottom>
      <diagonal/>
    </border>
    <border>
      <left/>
      <right/>
      <top style="dashed">
        <color indexed="64"/>
      </top>
      <bottom style="double">
        <color indexed="64"/>
      </bottom>
      <diagonal/>
    </border>
    <border>
      <left style="dotted">
        <color indexed="64"/>
      </left>
      <right style="double">
        <color indexed="64"/>
      </right>
      <top style="dashed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90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5" fillId="0" borderId="7" xfId="0" applyFont="1" applyBorder="1" applyAlignment="1">
      <alignment vertical="center" wrapText="1"/>
    </xf>
    <xf numFmtId="0" fontId="5" fillId="0" borderId="10" xfId="0" applyFont="1" applyBorder="1" applyAlignment="1">
      <alignment vertical="center" wrapText="1"/>
    </xf>
    <xf numFmtId="0" fontId="5" fillId="0" borderId="13" xfId="0" applyFont="1" applyBorder="1" applyAlignment="1">
      <alignment vertical="center" wrapText="1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wrapText="1"/>
    </xf>
    <xf numFmtId="0" fontId="0" fillId="2" borderId="0" xfId="0" applyFill="1"/>
    <xf numFmtId="0" fontId="0" fillId="2" borderId="4" xfId="0" applyFill="1" applyBorder="1"/>
    <xf numFmtId="9" fontId="0" fillId="2" borderId="0" xfId="0" applyNumberFormat="1" applyFill="1"/>
    <xf numFmtId="14" fontId="0" fillId="2" borderId="0" xfId="0" applyNumberFormat="1" applyFill="1"/>
    <xf numFmtId="0" fontId="1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/>
    </xf>
    <xf numFmtId="0" fontId="0" fillId="0" borderId="36" xfId="0" applyBorder="1" applyAlignment="1">
      <alignment wrapText="1"/>
    </xf>
    <xf numFmtId="0" fontId="0" fillId="0" borderId="38" xfId="0" applyBorder="1" applyAlignment="1">
      <alignment wrapText="1"/>
    </xf>
    <xf numFmtId="0" fontId="0" fillId="0" borderId="39" xfId="0" applyBorder="1" applyAlignment="1">
      <alignment wrapText="1"/>
    </xf>
    <xf numFmtId="0" fontId="0" fillId="2" borderId="1" xfId="0" applyFill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1" fillId="2" borderId="36" xfId="0" applyFont="1" applyFill="1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0" fontId="1" fillId="0" borderId="39" xfId="0" applyFont="1" applyBorder="1" applyAlignment="1">
      <alignment horizontal="center" vertical="center" wrapText="1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0" fillId="4" borderId="1" xfId="0" applyFill="1" applyBorder="1"/>
    <xf numFmtId="0" fontId="9" fillId="0" borderId="60" xfId="0" applyFont="1" applyBorder="1" applyAlignment="1">
      <alignment vertical="center"/>
    </xf>
    <xf numFmtId="0" fontId="9" fillId="0" borderId="60" xfId="0" applyFont="1" applyBorder="1" applyAlignment="1">
      <alignment horizontal="right" wrapText="1"/>
    </xf>
    <xf numFmtId="0" fontId="9" fillId="0" borderId="60" xfId="0" applyFont="1" applyBorder="1" applyAlignment="1">
      <alignment wrapText="1"/>
    </xf>
    <xf numFmtId="9" fontId="9" fillId="0" borderId="60" xfId="0" applyNumberFormat="1" applyFont="1" applyBorder="1" applyAlignment="1">
      <alignment horizontal="right" wrapText="1"/>
    </xf>
    <xf numFmtId="14" fontId="9" fillId="0" borderId="60" xfId="0" applyNumberFormat="1" applyFont="1" applyBorder="1" applyAlignment="1">
      <alignment horizontal="right" wrapText="1"/>
    </xf>
    <xf numFmtId="0" fontId="1" fillId="4" borderId="1" xfId="0" applyFont="1" applyFill="1" applyBorder="1"/>
    <xf numFmtId="0" fontId="10" fillId="0" borderId="1" xfId="0" applyFont="1" applyBorder="1" applyAlignment="1">
      <alignment horizontal="center" vertical="center"/>
    </xf>
    <xf numFmtId="9" fontId="0" fillId="0" borderId="1" xfId="0" applyNumberFormat="1" applyBorder="1"/>
    <xf numFmtId="9" fontId="0" fillId="0" borderId="45" xfId="0" applyNumberFormat="1" applyBorder="1"/>
    <xf numFmtId="14" fontId="0" fillId="0" borderId="1" xfId="0" applyNumberFormat="1" applyBorder="1"/>
    <xf numFmtId="0" fontId="0" fillId="4" borderId="1" xfId="0" applyFill="1" applyBorder="1" applyAlignment="1">
      <alignment horizontal="center" vertical="center"/>
    </xf>
    <xf numFmtId="0" fontId="11" fillId="0" borderId="1" xfId="0" applyFont="1" applyBorder="1" applyAlignment="1">
      <alignment wrapText="1"/>
    </xf>
    <xf numFmtId="0" fontId="11" fillId="4" borderId="1" xfId="0" applyFont="1" applyFill="1" applyBorder="1" applyAlignment="1">
      <alignment wrapText="1"/>
    </xf>
    <xf numFmtId="0" fontId="10" fillId="0" borderId="1" xfId="0" applyFont="1" applyBorder="1" applyAlignment="1">
      <alignment horizontal="center" vertical="center" wrapText="1"/>
    </xf>
    <xf numFmtId="0" fontId="0" fillId="5" borderId="1" xfId="0" applyFill="1" applyBorder="1"/>
    <xf numFmtId="0" fontId="10" fillId="0" borderId="36" xfId="0" applyFont="1" applyBorder="1" applyAlignment="1">
      <alignment wrapText="1"/>
    </xf>
    <xf numFmtId="14" fontId="10" fillId="0" borderId="1" xfId="0" applyNumberFormat="1" applyFont="1" applyBorder="1" applyAlignment="1">
      <alignment wrapText="1"/>
    </xf>
    <xf numFmtId="0" fontId="10" fillId="0" borderId="1" xfId="0" applyFont="1" applyBorder="1" applyAlignment="1">
      <alignment wrapText="1"/>
    </xf>
    <xf numFmtId="0" fontId="9" fillId="0" borderId="60" xfId="0" applyFont="1" applyBorder="1" applyAlignment="1">
      <alignment vertical="center" wrapText="1"/>
    </xf>
    <xf numFmtId="0" fontId="0" fillId="5" borderId="0" xfId="0" applyFill="1" applyAlignment="1">
      <alignment vertical="top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0" fillId="4" borderId="1" xfId="0" applyFill="1" applyBorder="1" applyAlignment="1">
      <alignment vertical="center"/>
    </xf>
    <xf numFmtId="0" fontId="9" fillId="5" borderId="60" xfId="0" applyFont="1" applyFill="1" applyBorder="1" applyAlignment="1">
      <alignment vertical="center"/>
    </xf>
    <xf numFmtId="0" fontId="12" fillId="0" borderId="0" xfId="0" applyFont="1"/>
    <xf numFmtId="0" fontId="0" fillId="0" borderId="1" xfId="0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4" fillId="0" borderId="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top"/>
    </xf>
    <xf numFmtId="0" fontId="1" fillId="0" borderId="14" xfId="0" applyFont="1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  <xf numFmtId="0" fontId="0" fillId="3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top"/>
    </xf>
    <xf numFmtId="0" fontId="1" fillId="0" borderId="1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37" xfId="0" applyBorder="1" applyAlignment="1">
      <alignment horizontal="center" wrapText="1"/>
    </xf>
    <xf numFmtId="0" fontId="0" fillId="0" borderId="39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1" fillId="0" borderId="21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10" fillId="0" borderId="1" xfId="0" applyFont="1" applyBorder="1" applyAlignment="1">
      <alignment horizontal="center" wrapText="1"/>
    </xf>
    <xf numFmtId="0" fontId="10" fillId="0" borderId="37" xfId="0" applyFont="1" applyBorder="1" applyAlignment="1">
      <alignment horizontal="center" wrapText="1"/>
    </xf>
    <xf numFmtId="0" fontId="1" fillId="0" borderId="48" xfId="0" applyFont="1" applyBorder="1" applyAlignment="1">
      <alignment horizontal="center"/>
    </xf>
    <xf numFmtId="0" fontId="1" fillId="0" borderId="49" xfId="0" applyFont="1" applyBorder="1" applyAlignment="1">
      <alignment horizontal="center"/>
    </xf>
    <xf numFmtId="0" fontId="1" fillId="0" borderId="50" xfId="0" applyFont="1" applyBorder="1" applyAlignment="1">
      <alignment horizontal="center"/>
    </xf>
    <xf numFmtId="0" fontId="1" fillId="0" borderId="43" xfId="0" applyFont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0" fillId="0" borderId="44" xfId="0" applyBorder="1" applyAlignment="1">
      <alignment horizontal="center"/>
    </xf>
    <xf numFmtId="0" fontId="1" fillId="0" borderId="32" xfId="0" applyFont="1" applyBorder="1" applyAlignment="1">
      <alignment horizontal="center" vertical="top" wrapText="1"/>
    </xf>
    <xf numFmtId="0" fontId="1" fillId="0" borderId="33" xfId="0" applyFont="1" applyBorder="1" applyAlignment="1">
      <alignment horizontal="center" vertical="top" wrapText="1"/>
    </xf>
    <xf numFmtId="0" fontId="1" fillId="0" borderId="41" xfId="0" applyFont="1" applyBorder="1" applyAlignment="1">
      <alignment horizontal="center" vertical="top" wrapText="1"/>
    </xf>
    <xf numFmtId="0" fontId="0" fillId="0" borderId="42" xfId="0" applyBorder="1" applyAlignment="1">
      <alignment horizontal="center" vertical="top" wrapText="1"/>
    </xf>
    <xf numFmtId="0" fontId="0" fillId="0" borderId="33" xfId="0" applyBorder="1" applyAlignment="1">
      <alignment horizontal="center" vertical="top" wrapText="1"/>
    </xf>
    <xf numFmtId="0" fontId="0" fillId="0" borderId="34" xfId="0" applyBorder="1" applyAlignment="1">
      <alignment horizontal="center" vertical="top" wrapText="1"/>
    </xf>
    <xf numFmtId="0" fontId="0" fillId="0" borderId="51" xfId="0" applyBorder="1" applyAlignment="1">
      <alignment horizontal="center" vertical="top" wrapText="1"/>
    </xf>
    <xf numFmtId="0" fontId="0" fillId="0" borderId="52" xfId="0" applyBorder="1" applyAlignment="1">
      <alignment horizontal="center" vertical="top" wrapText="1"/>
    </xf>
    <xf numFmtId="0" fontId="0" fillId="0" borderId="53" xfId="0" applyBorder="1" applyAlignment="1">
      <alignment horizontal="center" vertical="top" wrapText="1"/>
    </xf>
    <xf numFmtId="0" fontId="0" fillId="0" borderId="25" xfId="0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26" xfId="0" applyBorder="1" applyAlignment="1">
      <alignment horizontal="center" vertical="top" wrapText="1"/>
    </xf>
    <xf numFmtId="0" fontId="0" fillId="0" borderId="27" xfId="0" applyBorder="1" applyAlignment="1">
      <alignment horizontal="center" vertical="top" wrapText="1"/>
    </xf>
    <xf numFmtId="0" fontId="0" fillId="0" borderId="31" xfId="0" applyBorder="1" applyAlignment="1">
      <alignment horizontal="center" vertical="top" wrapText="1"/>
    </xf>
    <xf numFmtId="0" fontId="0" fillId="0" borderId="28" xfId="0" applyBorder="1" applyAlignment="1">
      <alignment horizontal="center" vertical="top" wrapText="1"/>
    </xf>
    <xf numFmtId="0" fontId="11" fillId="0" borderId="23" xfId="0" applyFont="1" applyBorder="1" applyAlignment="1">
      <alignment horizontal="center" vertical="top" wrapText="1"/>
    </xf>
    <xf numFmtId="0" fontId="11" fillId="0" borderId="17" xfId="0" applyFont="1" applyBorder="1" applyAlignment="1">
      <alignment horizontal="center" vertical="top" wrapText="1"/>
    </xf>
    <xf numFmtId="0" fontId="11" fillId="0" borderId="18" xfId="0" applyFont="1" applyBorder="1" applyAlignment="1">
      <alignment horizontal="center" vertical="top" wrapText="1"/>
    </xf>
    <xf numFmtId="0" fontId="11" fillId="0" borderId="25" xfId="0" applyFont="1" applyBorder="1" applyAlignment="1">
      <alignment horizontal="center" vertical="top" wrapText="1"/>
    </xf>
    <xf numFmtId="0" fontId="11" fillId="0" borderId="0" xfId="0" applyFont="1" applyAlignment="1">
      <alignment horizontal="center" vertical="top" wrapText="1"/>
    </xf>
    <xf numFmtId="0" fontId="11" fillId="0" borderId="20" xfId="0" applyFont="1" applyBorder="1" applyAlignment="1">
      <alignment horizontal="center" vertical="top" wrapText="1"/>
    </xf>
    <xf numFmtId="0" fontId="11" fillId="0" borderId="27" xfId="0" applyFont="1" applyBorder="1" applyAlignment="1">
      <alignment horizontal="center" vertical="top" wrapText="1"/>
    </xf>
    <xf numFmtId="0" fontId="11" fillId="0" borderId="31" xfId="0" applyFont="1" applyBorder="1" applyAlignment="1">
      <alignment horizontal="center" vertical="top" wrapText="1"/>
    </xf>
    <xf numFmtId="0" fontId="11" fillId="0" borderId="54" xfId="0" applyFont="1" applyBorder="1" applyAlignment="1">
      <alignment horizontal="center" vertical="top" wrapText="1"/>
    </xf>
    <xf numFmtId="0" fontId="11" fillId="0" borderId="16" xfId="0" applyFont="1" applyBorder="1" applyAlignment="1">
      <alignment horizontal="center" vertical="top" wrapText="1"/>
    </xf>
    <xf numFmtId="0" fontId="11" fillId="0" borderId="24" xfId="0" applyFont="1" applyBorder="1" applyAlignment="1">
      <alignment horizontal="center" vertical="top" wrapText="1"/>
    </xf>
    <xf numFmtId="0" fontId="11" fillId="0" borderId="19" xfId="0" applyFont="1" applyBorder="1" applyAlignment="1">
      <alignment horizontal="center" vertical="top" wrapText="1"/>
    </xf>
    <xf numFmtId="0" fontId="11" fillId="0" borderId="26" xfId="0" applyFont="1" applyBorder="1" applyAlignment="1">
      <alignment horizontal="center" vertical="top" wrapText="1"/>
    </xf>
    <xf numFmtId="0" fontId="11" fillId="0" borderId="55" xfId="0" applyFont="1" applyBorder="1" applyAlignment="1">
      <alignment horizontal="center" vertical="top" wrapText="1"/>
    </xf>
    <xf numFmtId="0" fontId="11" fillId="0" borderId="28" xfId="0" applyFont="1" applyBorder="1" applyAlignment="1">
      <alignment horizontal="center" vertical="top" wrapText="1"/>
    </xf>
    <xf numFmtId="0" fontId="0" fillId="0" borderId="36" xfId="0" applyBorder="1" applyAlignment="1">
      <alignment horizontal="center" wrapText="1"/>
    </xf>
    <xf numFmtId="0" fontId="0" fillId="0" borderId="46" xfId="0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0" fontId="0" fillId="0" borderId="47" xfId="0" applyBorder="1" applyAlignment="1">
      <alignment horizontal="center" wrapText="1"/>
    </xf>
    <xf numFmtId="0" fontId="10" fillId="0" borderId="23" xfId="0" applyFont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 wrapText="1"/>
    </xf>
    <xf numFmtId="0" fontId="10" fillId="0" borderId="24" xfId="0" applyFont="1" applyBorder="1" applyAlignment="1">
      <alignment horizontal="center" vertical="center" wrapText="1"/>
    </xf>
    <xf numFmtId="0" fontId="10" fillId="0" borderId="25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26" xfId="0" applyFont="1" applyBorder="1" applyAlignment="1">
      <alignment horizontal="center" vertical="center" wrapText="1"/>
    </xf>
    <xf numFmtId="0" fontId="10" fillId="0" borderId="27" xfId="0" applyFont="1" applyBorder="1" applyAlignment="1">
      <alignment horizontal="center" vertical="center" wrapText="1"/>
    </xf>
    <xf numFmtId="0" fontId="10" fillId="0" borderId="31" xfId="0" applyFont="1" applyBorder="1" applyAlignment="1">
      <alignment horizontal="center" vertical="center" wrapText="1"/>
    </xf>
    <xf numFmtId="0" fontId="10" fillId="0" borderId="28" xfId="0" applyFont="1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1" fillId="0" borderId="32" xfId="0" applyFont="1" applyBorder="1" applyAlignment="1">
      <alignment horizontal="center" vertical="top"/>
    </xf>
    <xf numFmtId="0" fontId="1" fillId="0" borderId="33" xfId="0" applyFont="1" applyBorder="1" applyAlignment="1">
      <alignment horizontal="center" vertical="top"/>
    </xf>
    <xf numFmtId="0" fontId="1" fillId="0" borderId="34" xfId="0" applyFont="1" applyBorder="1" applyAlignment="1">
      <alignment horizontal="center" vertical="top"/>
    </xf>
    <xf numFmtId="0" fontId="1" fillId="2" borderId="29" xfId="0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0" fillId="2" borderId="23" xfId="0" applyFill="1" applyBorder="1" applyAlignment="1">
      <alignment horizontal="center" vertical="center" wrapText="1"/>
    </xf>
    <xf numFmtId="0" fontId="0" fillId="2" borderId="17" xfId="0" applyFill="1" applyBorder="1" applyAlignment="1">
      <alignment horizontal="center" vertical="center" wrapText="1"/>
    </xf>
    <xf numFmtId="0" fontId="0" fillId="2" borderId="24" xfId="0" applyFill="1" applyBorder="1" applyAlignment="1">
      <alignment horizontal="center" vertical="center" wrapText="1"/>
    </xf>
    <xf numFmtId="0" fontId="0" fillId="2" borderId="25" xfId="0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2" borderId="26" xfId="0" applyFill="1" applyBorder="1" applyAlignment="1">
      <alignment horizontal="center" vertical="center" wrapText="1"/>
    </xf>
    <xf numFmtId="0" fontId="0" fillId="2" borderId="27" xfId="0" applyFill="1" applyBorder="1" applyAlignment="1">
      <alignment horizontal="center" vertical="center" wrapText="1"/>
    </xf>
    <xf numFmtId="0" fontId="0" fillId="2" borderId="31" xfId="0" applyFill="1" applyBorder="1" applyAlignment="1">
      <alignment horizontal="center" vertical="center" wrapText="1"/>
    </xf>
    <xf numFmtId="0" fontId="0" fillId="2" borderId="28" xfId="0" applyFill="1" applyBorder="1" applyAlignment="1">
      <alignment horizontal="center" vertical="center" wrapText="1"/>
    </xf>
    <xf numFmtId="0" fontId="1" fillId="0" borderId="57" xfId="0" applyFont="1" applyBorder="1" applyAlignment="1">
      <alignment horizontal="center" wrapText="1"/>
    </xf>
    <xf numFmtId="0" fontId="1" fillId="0" borderId="58" xfId="0" applyFont="1" applyBorder="1" applyAlignment="1">
      <alignment horizontal="center" wrapText="1"/>
    </xf>
    <xf numFmtId="0" fontId="11" fillId="0" borderId="2" xfId="0" applyFont="1" applyBorder="1" applyAlignment="1">
      <alignment horizontal="center" wrapText="1"/>
    </xf>
    <xf numFmtId="0" fontId="11" fillId="0" borderId="15" xfId="0" applyFont="1" applyBorder="1" applyAlignment="1">
      <alignment horizontal="center" wrapText="1"/>
    </xf>
    <xf numFmtId="0" fontId="11" fillId="0" borderId="56" xfId="0" applyFont="1" applyBorder="1" applyAlignment="1">
      <alignment horizontal="center" wrapText="1"/>
    </xf>
    <xf numFmtId="0" fontId="1" fillId="0" borderId="59" xfId="0" applyFont="1" applyBorder="1" applyAlignment="1">
      <alignment horizontal="center" wrapText="1"/>
    </xf>
    <xf numFmtId="0" fontId="0" fillId="0" borderId="1" xfId="0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56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F3591FE-CB5A-4701-9357-42A32E870A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229" y="312668"/>
          <a:ext cx="871821" cy="3478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ABAB710-D036-46F6-9926-90ACBF655A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7238DB3-5D67-4634-9AAD-18F6CDEC4E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8EC95-E645-44D0-88D0-3665A4125A93}">
  <dimension ref="B1:I88"/>
  <sheetViews>
    <sheetView topLeftCell="A68" zoomScaleNormal="100" workbookViewId="0">
      <selection activeCell="H90" sqref="H90"/>
    </sheetView>
  </sheetViews>
  <sheetFormatPr defaultColWidth="10.85546875" defaultRowHeight="15"/>
  <cols>
    <col min="1" max="1" width="3.140625" style="11" customWidth="1"/>
    <col min="2" max="2" width="14.28515625" style="11" customWidth="1"/>
    <col min="3" max="3" width="9.7109375" style="11" customWidth="1"/>
    <col min="4" max="4" width="12.28515625" style="11" customWidth="1"/>
    <col min="5" max="5" width="10.140625" style="11" customWidth="1"/>
    <col min="6" max="6" width="10.85546875" style="11"/>
    <col min="7" max="7" width="10.85546875" style="11" customWidth="1"/>
    <col min="8" max="8" width="9.85546875" style="11" customWidth="1"/>
    <col min="9" max="9" width="16.7109375" style="11" customWidth="1"/>
    <col min="10" max="16384" width="10.85546875" style="11"/>
  </cols>
  <sheetData>
    <row r="1" spans="2:9" ht="15.75" thickBot="1">
      <c r="C1" s="12"/>
      <c r="D1" s="12"/>
      <c r="E1" s="12"/>
      <c r="F1" s="12"/>
      <c r="G1" s="12"/>
      <c r="H1" s="12"/>
    </row>
    <row r="2" spans="2:9" ht="22.5" customHeight="1" thickTop="1">
      <c r="B2" s="62"/>
      <c r="C2" s="64" t="s">
        <v>0</v>
      </c>
      <c r="D2" s="64"/>
      <c r="E2" s="64"/>
      <c r="F2" s="64"/>
      <c r="G2" s="64"/>
      <c r="H2" s="64"/>
      <c r="I2" s="6" t="s">
        <v>1</v>
      </c>
    </row>
    <row r="3" spans="2:9" ht="20.25" customHeight="1">
      <c r="B3" s="63"/>
      <c r="C3" s="65"/>
      <c r="D3" s="65"/>
      <c r="E3" s="65"/>
      <c r="F3" s="65"/>
      <c r="G3" s="65"/>
      <c r="H3" s="65"/>
      <c r="I3" s="7" t="s">
        <v>2</v>
      </c>
    </row>
    <row r="4" spans="2:9" ht="21" customHeight="1" thickBot="1">
      <c r="B4" s="66" t="s">
        <v>3</v>
      </c>
      <c r="C4" s="67"/>
      <c r="D4" s="67"/>
      <c r="E4" s="67"/>
      <c r="F4" s="67"/>
      <c r="G4" s="67"/>
      <c r="H4" s="67"/>
      <c r="I4" s="8" t="s">
        <v>4</v>
      </c>
    </row>
    <row r="5" spans="2:9" ht="15.75" thickTop="1">
      <c r="B5" s="71"/>
      <c r="C5" s="71"/>
      <c r="D5" s="71"/>
      <c r="E5" s="71"/>
      <c r="F5" s="71"/>
      <c r="G5" s="71"/>
      <c r="H5" s="71"/>
      <c r="I5" s="71"/>
    </row>
    <row r="6" spans="2:9">
      <c r="B6" s="71" t="s">
        <v>5</v>
      </c>
      <c r="C6" s="71"/>
      <c r="D6" s="71"/>
      <c r="E6" s="71"/>
      <c r="F6" s="71"/>
      <c r="G6" s="71"/>
      <c r="H6" s="71"/>
      <c r="I6" s="71"/>
    </row>
    <row r="7" spans="2:9" ht="60">
      <c r="B7" s="3" t="s">
        <v>6</v>
      </c>
      <c r="C7" s="1"/>
      <c r="D7" s="2" t="s">
        <v>7</v>
      </c>
      <c r="E7" s="1"/>
      <c r="F7" s="2" t="s">
        <v>8</v>
      </c>
      <c r="G7" s="1"/>
      <c r="H7" s="2" t="s">
        <v>9</v>
      </c>
      <c r="I7" s="1"/>
    </row>
    <row r="8" spans="2:9" ht="45">
      <c r="B8" s="2" t="s">
        <v>10</v>
      </c>
      <c r="C8" s="1"/>
      <c r="D8" s="3" t="s">
        <v>11</v>
      </c>
      <c r="E8" s="78"/>
      <c r="F8" s="78"/>
      <c r="G8" s="2" t="s">
        <v>12</v>
      </c>
      <c r="H8" s="78"/>
      <c r="I8" s="78"/>
    </row>
    <row r="9" spans="2:9" ht="30">
      <c r="B9" s="2" t="s">
        <v>13</v>
      </c>
      <c r="C9" s="5"/>
      <c r="D9" s="2" t="s">
        <v>14</v>
      </c>
      <c r="E9" s="5"/>
      <c r="F9" s="2" t="s">
        <v>15</v>
      </c>
      <c r="G9" s="5"/>
      <c r="H9" s="2" t="s">
        <v>16</v>
      </c>
      <c r="I9" s="5">
        <f>E9+G9</f>
        <v>0</v>
      </c>
    </row>
    <row r="10" spans="2:9">
      <c r="B10" s="77" t="s">
        <v>17</v>
      </c>
      <c r="C10" s="61"/>
      <c r="D10" s="61"/>
      <c r="E10" s="61"/>
      <c r="F10" s="61"/>
      <c r="G10" s="61"/>
      <c r="H10" s="61"/>
      <c r="I10" s="61"/>
    </row>
    <row r="11" spans="2:9">
      <c r="B11" s="77" t="s">
        <v>18</v>
      </c>
      <c r="C11" s="77"/>
      <c r="D11" s="71" t="s">
        <v>19</v>
      </c>
      <c r="E11" s="72"/>
      <c r="F11" s="72"/>
      <c r="G11" s="71" t="s">
        <v>20</v>
      </c>
      <c r="H11" s="72"/>
      <c r="I11" s="72"/>
    </row>
    <row r="12" spans="2:9">
      <c r="B12" s="77"/>
      <c r="C12" s="77"/>
      <c r="D12" s="71"/>
      <c r="E12" s="72"/>
      <c r="F12" s="72"/>
      <c r="G12" s="71"/>
      <c r="H12" s="72"/>
      <c r="I12" s="72"/>
    </row>
    <row r="13" spans="2:9">
      <c r="B13" s="61" t="s">
        <v>21</v>
      </c>
      <c r="C13" s="61"/>
      <c r="D13" s="61"/>
      <c r="E13" s="61"/>
      <c r="F13" s="61"/>
      <c r="G13" s="61"/>
      <c r="H13" s="61"/>
      <c r="I13" s="61"/>
    </row>
    <row r="14" spans="2:9">
      <c r="B14" s="3" t="s">
        <v>22</v>
      </c>
      <c r="C14" s="78"/>
      <c r="D14" s="78"/>
      <c r="E14" s="3" t="s">
        <v>23</v>
      </c>
      <c r="F14" s="1"/>
      <c r="G14" s="3" t="s">
        <v>24</v>
      </c>
      <c r="H14" s="78"/>
      <c r="I14" s="78"/>
    </row>
    <row r="15" spans="2:9">
      <c r="B15" s="61" t="s">
        <v>25</v>
      </c>
      <c r="C15" s="61"/>
      <c r="D15" s="61"/>
      <c r="E15" s="61"/>
      <c r="F15" s="61"/>
      <c r="G15" s="61"/>
      <c r="H15" s="61"/>
      <c r="I15" s="61"/>
    </row>
    <row r="16" spans="2:9">
      <c r="B16" s="77" t="s">
        <v>26</v>
      </c>
      <c r="C16" s="77"/>
      <c r="D16" s="72"/>
      <c r="E16" s="72"/>
      <c r="F16" s="72"/>
      <c r="G16" s="72"/>
      <c r="H16" s="72"/>
      <c r="I16" s="72"/>
    </row>
    <row r="17" spans="2:9">
      <c r="B17" s="77"/>
      <c r="C17" s="77"/>
      <c r="D17" s="72"/>
      <c r="E17" s="72"/>
      <c r="F17" s="72"/>
      <c r="G17" s="72"/>
      <c r="H17" s="72"/>
      <c r="I17" s="72"/>
    </row>
    <row r="18" spans="2:9">
      <c r="B18" s="75" t="s">
        <v>27</v>
      </c>
      <c r="C18" s="76"/>
      <c r="D18" s="72"/>
      <c r="E18" s="72"/>
      <c r="F18" s="72"/>
      <c r="G18" s="72"/>
      <c r="H18" s="72"/>
      <c r="I18" s="72"/>
    </row>
    <row r="19" spans="2:9">
      <c r="B19" s="77" t="s">
        <v>28</v>
      </c>
      <c r="C19" s="77"/>
      <c r="D19" s="72"/>
      <c r="E19" s="72"/>
      <c r="F19" s="72"/>
      <c r="G19" s="72"/>
      <c r="H19" s="72"/>
      <c r="I19" s="72"/>
    </row>
    <row r="20" spans="2:9">
      <c r="B20" s="77"/>
      <c r="C20" s="77"/>
      <c r="D20" s="72"/>
      <c r="E20" s="72"/>
      <c r="F20" s="72"/>
      <c r="G20" s="72"/>
      <c r="H20" s="72"/>
      <c r="I20" s="72"/>
    </row>
    <row r="21" spans="2:9">
      <c r="B21" s="77" t="s">
        <v>29</v>
      </c>
      <c r="C21" s="77"/>
      <c r="D21" s="72"/>
      <c r="E21" s="72"/>
      <c r="F21" s="72"/>
      <c r="G21" s="72"/>
      <c r="H21" s="72"/>
      <c r="I21" s="72"/>
    </row>
    <row r="22" spans="2:9">
      <c r="B22" s="77"/>
      <c r="C22" s="77"/>
      <c r="D22" s="72"/>
      <c r="E22" s="72"/>
      <c r="F22" s="72"/>
      <c r="G22" s="72"/>
      <c r="H22" s="72"/>
      <c r="I22" s="72"/>
    </row>
    <row r="23" spans="2:9">
      <c r="B23" s="71" t="s">
        <v>30</v>
      </c>
      <c r="C23" s="71"/>
      <c r="D23" s="72" t="s">
        <v>31</v>
      </c>
      <c r="E23" s="72"/>
      <c r="F23" s="72"/>
      <c r="G23" s="72"/>
      <c r="H23" s="72"/>
      <c r="I23" s="72"/>
    </row>
    <row r="24" spans="2:9">
      <c r="B24" s="71"/>
      <c r="C24" s="71"/>
      <c r="D24" s="72" t="s">
        <v>32</v>
      </c>
      <c r="E24" s="72"/>
      <c r="F24" s="72"/>
      <c r="G24" s="72"/>
      <c r="H24" s="72"/>
      <c r="I24" s="72"/>
    </row>
    <row r="25" spans="2:9">
      <c r="B25" s="71"/>
      <c r="C25" s="71"/>
      <c r="D25" s="72" t="s">
        <v>33</v>
      </c>
      <c r="E25" s="72"/>
      <c r="F25" s="72"/>
      <c r="G25" s="72"/>
      <c r="H25" s="72"/>
      <c r="I25" s="72"/>
    </row>
    <row r="26" spans="2:9">
      <c r="B26" s="71"/>
      <c r="C26" s="71"/>
      <c r="D26" s="72" t="s">
        <v>34</v>
      </c>
      <c r="E26" s="72"/>
      <c r="F26" s="72"/>
      <c r="G26" s="72"/>
      <c r="H26" s="72"/>
      <c r="I26" s="72"/>
    </row>
    <row r="27" spans="2:9">
      <c r="B27" s="73" t="s">
        <v>35</v>
      </c>
      <c r="C27" s="73"/>
      <c r="D27" s="3" t="s">
        <v>36</v>
      </c>
      <c r="E27" s="1"/>
      <c r="F27" s="3" t="s">
        <v>37</v>
      </c>
      <c r="G27" s="1"/>
      <c r="H27" s="3" t="s">
        <v>38</v>
      </c>
      <c r="I27" s="1"/>
    </row>
    <row r="28" spans="2:9">
      <c r="B28" s="73"/>
      <c r="C28" s="73"/>
      <c r="D28" s="4" t="s">
        <v>39</v>
      </c>
      <c r="E28" s="1"/>
      <c r="F28" s="3" t="s">
        <v>40</v>
      </c>
      <c r="G28" s="1"/>
      <c r="H28" s="3" t="s">
        <v>41</v>
      </c>
      <c r="I28" s="1"/>
    </row>
    <row r="29" spans="2:9">
      <c r="B29" s="73"/>
      <c r="C29" s="73"/>
      <c r="D29" s="3" t="s">
        <v>42</v>
      </c>
      <c r="E29" s="1"/>
      <c r="F29" s="3" t="s">
        <v>43</v>
      </c>
      <c r="G29" s="1"/>
      <c r="H29" s="3" t="s">
        <v>44</v>
      </c>
      <c r="I29" s="1"/>
    </row>
    <row r="30" spans="2:9">
      <c r="B30" s="74" t="s">
        <v>45</v>
      </c>
      <c r="C30" s="74"/>
      <c r="D30" s="74"/>
      <c r="E30" s="74"/>
      <c r="F30" s="74"/>
      <c r="G30" s="74"/>
      <c r="H30" s="74"/>
      <c r="I30" s="74"/>
    </row>
    <row r="31" spans="2:9">
      <c r="B31" s="74"/>
      <c r="C31" s="74"/>
      <c r="D31" s="74"/>
      <c r="E31" s="74"/>
      <c r="F31" s="74"/>
      <c r="G31" s="74"/>
      <c r="H31" s="74"/>
      <c r="I31" s="74"/>
    </row>
    <row r="32" spans="2:9">
      <c r="B32" s="74"/>
      <c r="C32" s="74"/>
      <c r="D32" s="74"/>
      <c r="E32" s="74"/>
      <c r="F32" s="74"/>
      <c r="G32" s="74"/>
      <c r="H32" s="74"/>
      <c r="I32" s="74"/>
    </row>
    <row r="33" spans="2:9">
      <c r="B33" s="74"/>
      <c r="C33" s="74"/>
      <c r="D33" s="74"/>
      <c r="E33" s="74"/>
      <c r="F33" s="74"/>
      <c r="G33" s="74"/>
      <c r="H33" s="74"/>
      <c r="I33" s="74"/>
    </row>
    <row r="34" spans="2:9">
      <c r="B34" s="74"/>
      <c r="C34" s="74"/>
      <c r="D34" s="74"/>
      <c r="E34" s="74"/>
      <c r="F34" s="74"/>
      <c r="G34" s="74"/>
      <c r="H34" s="74"/>
      <c r="I34" s="74"/>
    </row>
    <row r="35" spans="2:9">
      <c r="B35" s="61" t="s">
        <v>46</v>
      </c>
      <c r="C35" s="61"/>
      <c r="D35" s="61"/>
      <c r="E35" s="61"/>
      <c r="F35" s="61"/>
      <c r="G35" s="61"/>
      <c r="H35" s="61"/>
      <c r="I35" s="61"/>
    </row>
    <row r="36" spans="2:9">
      <c r="B36" s="60" t="s">
        <v>47</v>
      </c>
      <c r="C36" s="60"/>
      <c r="D36" s="60"/>
      <c r="E36" s="60"/>
      <c r="F36" s="60"/>
      <c r="G36" s="60"/>
      <c r="H36" s="60"/>
      <c r="I36" s="60"/>
    </row>
    <row r="37" spans="2:9">
      <c r="B37" s="60"/>
      <c r="C37" s="60"/>
      <c r="D37" s="60"/>
      <c r="E37" s="60"/>
      <c r="F37" s="60"/>
      <c r="G37" s="60"/>
      <c r="H37" s="60"/>
      <c r="I37" s="60"/>
    </row>
    <row r="38" spans="2:9">
      <c r="B38" s="60"/>
      <c r="C38" s="60"/>
      <c r="D38" s="60"/>
      <c r="E38" s="60"/>
      <c r="F38" s="60"/>
      <c r="G38" s="60"/>
      <c r="H38" s="60"/>
      <c r="I38" s="60"/>
    </row>
    <row r="39" spans="2:9">
      <c r="B39" s="68" t="s">
        <v>48</v>
      </c>
      <c r="C39" s="68"/>
      <c r="D39" s="68"/>
      <c r="E39" s="68"/>
      <c r="F39" s="68" t="s">
        <v>49</v>
      </c>
      <c r="G39" s="68"/>
      <c r="H39" s="68"/>
      <c r="I39" s="68"/>
    </row>
    <row r="40" spans="2:9">
      <c r="B40" s="68"/>
      <c r="C40" s="68"/>
      <c r="D40" s="68"/>
      <c r="E40" s="68"/>
      <c r="F40" s="68"/>
      <c r="G40" s="68"/>
      <c r="H40" s="68"/>
      <c r="I40" s="68"/>
    </row>
    <row r="41" spans="2:9">
      <c r="B41" s="68"/>
      <c r="C41" s="68"/>
      <c r="D41" s="68"/>
      <c r="E41" s="68"/>
      <c r="F41" s="68"/>
      <c r="G41" s="68"/>
      <c r="H41" s="68"/>
      <c r="I41" s="68"/>
    </row>
    <row r="42" spans="2:9">
      <c r="B42" s="68"/>
      <c r="C42" s="68"/>
      <c r="D42" s="68"/>
      <c r="E42" s="68"/>
      <c r="F42" s="68"/>
      <c r="G42" s="68"/>
      <c r="H42" s="68"/>
      <c r="I42" s="68"/>
    </row>
    <row r="43" spans="2:9">
      <c r="B43" s="68"/>
      <c r="C43" s="68"/>
      <c r="D43" s="68"/>
      <c r="E43" s="68"/>
      <c r="F43" s="68"/>
      <c r="G43" s="68"/>
      <c r="H43" s="68"/>
      <c r="I43" s="68"/>
    </row>
    <row r="44" spans="2:9">
      <c r="B44" s="68"/>
      <c r="C44" s="68"/>
      <c r="D44" s="68"/>
      <c r="E44" s="68"/>
      <c r="F44" s="68"/>
      <c r="G44" s="68"/>
      <c r="H44" s="68"/>
      <c r="I44" s="68"/>
    </row>
    <row r="45" spans="2:9">
      <c r="B45" s="68"/>
      <c r="C45" s="68"/>
      <c r="D45" s="68"/>
      <c r="E45" s="68"/>
      <c r="F45" s="68"/>
      <c r="G45" s="68"/>
      <c r="H45" s="68"/>
      <c r="I45" s="68"/>
    </row>
    <row r="46" spans="2:9">
      <c r="B46" s="68"/>
      <c r="C46" s="68"/>
      <c r="D46" s="68"/>
      <c r="E46" s="68"/>
      <c r="F46" s="68"/>
      <c r="G46" s="68"/>
      <c r="H46" s="68"/>
      <c r="I46" s="68"/>
    </row>
    <row r="47" spans="2:9">
      <c r="B47" s="68"/>
      <c r="C47" s="68"/>
      <c r="D47" s="68"/>
      <c r="E47" s="68"/>
      <c r="F47" s="68"/>
      <c r="G47" s="68"/>
      <c r="H47" s="68"/>
      <c r="I47" s="68"/>
    </row>
    <row r="48" spans="2:9">
      <c r="B48" s="61" t="s">
        <v>50</v>
      </c>
      <c r="C48" s="61"/>
      <c r="D48" s="61"/>
      <c r="E48" s="61"/>
      <c r="F48" s="61"/>
      <c r="G48" s="61"/>
      <c r="H48" s="61"/>
      <c r="I48" s="61"/>
    </row>
    <row r="49" spans="2:9">
      <c r="B49" s="70" t="s">
        <v>51</v>
      </c>
      <c r="C49" s="70"/>
      <c r="D49" s="70"/>
      <c r="E49" s="70"/>
      <c r="F49" s="68" t="s">
        <v>52</v>
      </c>
      <c r="G49" s="68"/>
      <c r="H49" s="68"/>
      <c r="I49" s="68"/>
    </row>
    <row r="50" spans="2:9">
      <c r="B50" s="70"/>
      <c r="C50" s="70"/>
      <c r="D50" s="70"/>
      <c r="E50" s="70"/>
      <c r="F50" s="68"/>
      <c r="G50" s="68"/>
      <c r="H50" s="68"/>
      <c r="I50" s="68"/>
    </row>
    <row r="51" spans="2:9">
      <c r="B51" s="70"/>
      <c r="C51" s="70"/>
      <c r="D51" s="70"/>
      <c r="E51" s="70"/>
      <c r="F51" s="68"/>
      <c r="G51" s="68"/>
      <c r="H51" s="68"/>
      <c r="I51" s="68"/>
    </row>
    <row r="52" spans="2:9">
      <c r="B52" s="70"/>
      <c r="C52" s="70"/>
      <c r="D52" s="70"/>
      <c r="E52" s="70"/>
      <c r="F52" s="68"/>
      <c r="G52" s="68"/>
      <c r="H52" s="68"/>
      <c r="I52" s="68"/>
    </row>
    <row r="53" spans="2:9">
      <c r="B53" s="70"/>
      <c r="C53" s="70"/>
      <c r="D53" s="70"/>
      <c r="E53" s="70"/>
      <c r="F53" s="68"/>
      <c r="G53" s="68"/>
      <c r="H53" s="68"/>
      <c r="I53" s="68"/>
    </row>
    <row r="54" spans="2:9">
      <c r="B54" s="70"/>
      <c r="C54" s="70"/>
      <c r="D54" s="70"/>
      <c r="E54" s="70"/>
      <c r="F54" s="68"/>
      <c r="G54" s="68"/>
      <c r="H54" s="68"/>
      <c r="I54" s="68"/>
    </row>
    <row r="55" spans="2:9">
      <c r="B55" s="70"/>
      <c r="C55" s="70"/>
      <c r="D55" s="70"/>
      <c r="E55" s="70"/>
      <c r="F55" s="68"/>
      <c r="G55" s="68"/>
      <c r="H55" s="68"/>
      <c r="I55" s="68"/>
    </row>
    <row r="56" spans="2:9">
      <c r="B56" s="70"/>
      <c r="C56" s="70"/>
      <c r="D56" s="70"/>
      <c r="E56" s="70"/>
      <c r="F56" s="68"/>
      <c r="G56" s="68"/>
      <c r="H56" s="68"/>
      <c r="I56" s="68"/>
    </row>
    <row r="57" spans="2:9">
      <c r="B57" s="70"/>
      <c r="C57" s="70"/>
      <c r="D57" s="70"/>
      <c r="E57" s="70"/>
      <c r="F57" s="68"/>
      <c r="G57" s="68"/>
      <c r="H57" s="68"/>
      <c r="I57" s="68"/>
    </row>
    <row r="58" spans="2:9">
      <c r="B58" s="70"/>
      <c r="C58" s="70"/>
      <c r="D58" s="70"/>
      <c r="E58" s="70"/>
      <c r="F58" s="68"/>
      <c r="G58" s="68"/>
      <c r="H58" s="68"/>
      <c r="I58" s="68"/>
    </row>
    <row r="59" spans="2:9">
      <c r="B59" s="70"/>
      <c r="C59" s="70"/>
      <c r="D59" s="70"/>
      <c r="E59" s="70"/>
      <c r="F59" s="68"/>
      <c r="G59" s="68"/>
      <c r="H59" s="68"/>
      <c r="I59" s="68"/>
    </row>
    <row r="60" spans="2:9">
      <c r="B60" s="71" t="s">
        <v>53</v>
      </c>
      <c r="C60" s="71"/>
      <c r="D60" s="71"/>
      <c r="E60" s="71"/>
      <c r="F60" s="72"/>
      <c r="G60" s="72"/>
      <c r="H60" s="71" t="s">
        <v>54</v>
      </c>
      <c r="I60" s="5"/>
    </row>
    <row r="61" spans="2:9">
      <c r="B61" s="71"/>
      <c r="C61" s="71"/>
      <c r="D61" s="71"/>
      <c r="E61" s="71"/>
      <c r="F61" s="72"/>
      <c r="G61" s="72"/>
      <c r="H61" s="71"/>
      <c r="I61" s="5"/>
    </row>
    <row r="62" spans="2:9">
      <c r="B62" s="71"/>
      <c r="C62" s="71"/>
      <c r="D62" s="71"/>
      <c r="E62" s="71"/>
      <c r="F62" s="72"/>
      <c r="G62" s="72"/>
      <c r="H62" s="71"/>
      <c r="I62" s="5"/>
    </row>
    <row r="63" spans="2:9">
      <c r="B63" s="71"/>
      <c r="C63" s="71"/>
      <c r="D63" s="71"/>
      <c r="E63" s="71"/>
      <c r="F63" s="72"/>
      <c r="G63" s="72"/>
      <c r="H63" s="71"/>
      <c r="I63" s="5"/>
    </row>
    <row r="64" spans="2:9">
      <c r="B64" s="71"/>
      <c r="C64" s="71"/>
      <c r="D64" s="71"/>
      <c r="E64" s="71"/>
      <c r="F64" s="72"/>
      <c r="G64" s="72"/>
      <c r="H64" s="71"/>
      <c r="I64" s="5"/>
    </row>
    <row r="65" spans="2:9">
      <c r="B65" s="61" t="s">
        <v>55</v>
      </c>
      <c r="C65" s="61"/>
      <c r="D65" s="61"/>
      <c r="E65" s="61"/>
      <c r="F65" s="61"/>
      <c r="G65" s="61"/>
      <c r="H65" s="61"/>
      <c r="I65" s="61"/>
    </row>
    <row r="66" spans="2:9">
      <c r="B66" s="68" t="s">
        <v>56</v>
      </c>
      <c r="C66" s="68"/>
      <c r="D66" s="68"/>
      <c r="E66" s="68"/>
      <c r="F66" s="68" t="s">
        <v>57</v>
      </c>
      <c r="G66" s="68"/>
      <c r="H66" s="68"/>
      <c r="I66" s="68"/>
    </row>
    <row r="67" spans="2:9">
      <c r="B67" s="68"/>
      <c r="C67" s="68"/>
      <c r="D67" s="68"/>
      <c r="E67" s="68"/>
      <c r="F67" s="68"/>
      <c r="G67" s="68"/>
      <c r="H67" s="68"/>
      <c r="I67" s="68"/>
    </row>
    <row r="68" spans="2:9">
      <c r="B68" s="68"/>
      <c r="C68" s="68"/>
      <c r="D68" s="68"/>
      <c r="E68" s="68"/>
      <c r="F68" s="68"/>
      <c r="G68" s="68"/>
      <c r="H68" s="68"/>
      <c r="I68" s="68"/>
    </row>
    <row r="69" spans="2:9">
      <c r="B69" s="68"/>
      <c r="C69" s="68"/>
      <c r="D69" s="68"/>
      <c r="E69" s="68"/>
      <c r="F69" s="68"/>
      <c r="G69" s="68"/>
      <c r="H69" s="68"/>
      <c r="I69" s="68"/>
    </row>
    <row r="70" spans="2:9">
      <c r="B70" s="68"/>
      <c r="C70" s="68"/>
      <c r="D70" s="68"/>
      <c r="E70" s="68"/>
      <c r="F70" s="68"/>
      <c r="G70" s="68"/>
      <c r="H70" s="68"/>
      <c r="I70" s="68"/>
    </row>
    <row r="71" spans="2:9">
      <c r="B71" s="68"/>
      <c r="C71" s="68"/>
      <c r="D71" s="68"/>
      <c r="E71" s="68"/>
      <c r="F71" s="68"/>
      <c r="G71" s="68"/>
      <c r="H71" s="68"/>
      <c r="I71" s="68"/>
    </row>
    <row r="72" spans="2:9">
      <c r="B72" s="68"/>
      <c r="C72" s="68"/>
      <c r="D72" s="68"/>
      <c r="E72" s="68"/>
      <c r="F72" s="68"/>
      <c r="G72" s="68"/>
      <c r="H72" s="68"/>
      <c r="I72" s="68"/>
    </row>
    <row r="73" spans="2:9">
      <c r="B73" s="68"/>
      <c r="C73" s="68"/>
      <c r="D73" s="68"/>
      <c r="E73" s="68"/>
      <c r="F73" s="68"/>
      <c r="G73" s="68"/>
      <c r="H73" s="68"/>
      <c r="I73" s="68"/>
    </row>
    <row r="74" spans="2:9">
      <c r="B74" s="68"/>
      <c r="C74" s="68"/>
      <c r="D74" s="68"/>
      <c r="E74" s="68"/>
      <c r="F74" s="68"/>
      <c r="G74" s="68"/>
      <c r="H74" s="68"/>
      <c r="I74" s="68"/>
    </row>
    <row r="75" spans="2:9">
      <c r="B75" s="68"/>
      <c r="C75" s="68"/>
      <c r="D75" s="68"/>
      <c r="E75" s="68"/>
      <c r="F75" s="68"/>
      <c r="G75" s="68"/>
      <c r="H75" s="68"/>
      <c r="I75" s="68"/>
    </row>
    <row r="76" spans="2:9">
      <c r="B76" s="68"/>
      <c r="C76" s="68"/>
      <c r="D76" s="68"/>
      <c r="E76" s="68"/>
      <c r="F76" s="68"/>
      <c r="G76" s="68"/>
      <c r="H76" s="68"/>
      <c r="I76" s="68"/>
    </row>
    <row r="77" spans="2:9">
      <c r="B77" s="68"/>
      <c r="C77" s="68"/>
      <c r="D77" s="68"/>
      <c r="E77" s="68"/>
      <c r="F77" s="68"/>
      <c r="G77" s="68"/>
      <c r="H77" s="68"/>
      <c r="I77" s="68"/>
    </row>
    <row r="78" spans="2:9">
      <c r="B78" s="68"/>
      <c r="C78" s="68"/>
      <c r="D78" s="68"/>
      <c r="E78" s="68"/>
      <c r="F78" s="68"/>
      <c r="G78" s="68"/>
      <c r="H78" s="68"/>
      <c r="I78" s="68"/>
    </row>
    <row r="79" spans="2:9">
      <c r="B79" s="68"/>
      <c r="C79" s="68"/>
      <c r="D79" s="68"/>
      <c r="E79" s="68"/>
      <c r="F79" s="68"/>
      <c r="G79" s="68"/>
      <c r="H79" s="68"/>
      <c r="I79" s="68"/>
    </row>
    <row r="80" spans="2:9">
      <c r="B80" s="69"/>
      <c r="C80" s="69"/>
      <c r="D80" s="69"/>
      <c r="E80" s="69"/>
      <c r="F80" s="69"/>
      <c r="G80" s="69"/>
      <c r="H80" s="69"/>
      <c r="I80" s="69"/>
    </row>
    <row r="81" spans="2:9">
      <c r="B81" s="61" t="s">
        <v>58</v>
      </c>
      <c r="C81" s="61"/>
      <c r="D81" s="61"/>
      <c r="E81" s="61"/>
      <c r="F81" s="61"/>
      <c r="G81" s="61"/>
      <c r="H81" s="61"/>
      <c r="I81" s="61"/>
    </row>
    <row r="82" spans="2:9">
      <c r="B82" s="9" t="s">
        <v>59</v>
      </c>
      <c r="C82" s="9" t="s">
        <v>60</v>
      </c>
      <c r="D82" s="9" t="s">
        <v>61</v>
      </c>
      <c r="E82" s="9" t="s">
        <v>62</v>
      </c>
      <c r="F82" s="9" t="s">
        <v>63</v>
      </c>
      <c r="G82" s="61" t="s">
        <v>64</v>
      </c>
      <c r="H82" s="61"/>
      <c r="I82" s="61"/>
    </row>
    <row r="83" spans="2:9">
      <c r="B83" s="10"/>
      <c r="C83" s="10"/>
      <c r="D83" s="10"/>
      <c r="E83" s="10"/>
      <c r="F83" s="10"/>
      <c r="G83" s="60"/>
      <c r="H83" s="60"/>
      <c r="I83" s="60"/>
    </row>
    <row r="84" spans="2:9">
      <c r="B84" s="10"/>
      <c r="C84" s="10"/>
      <c r="D84" s="10"/>
      <c r="E84" s="10"/>
      <c r="F84" s="10"/>
      <c r="G84" s="60"/>
      <c r="H84" s="60"/>
      <c r="I84" s="60"/>
    </row>
    <row r="85" spans="2:9">
      <c r="B85" s="10"/>
      <c r="C85" s="10"/>
      <c r="D85" s="10"/>
      <c r="E85" s="10"/>
      <c r="F85" s="10"/>
      <c r="G85" s="60"/>
      <c r="H85" s="60"/>
      <c r="I85" s="60"/>
    </row>
    <row r="86" spans="2:9">
      <c r="B86" s="10"/>
      <c r="C86" s="10"/>
      <c r="D86" s="10"/>
      <c r="E86" s="10"/>
      <c r="F86" s="10"/>
      <c r="G86" s="60"/>
      <c r="H86" s="60"/>
      <c r="I86" s="60"/>
    </row>
    <row r="87" spans="2:9">
      <c r="B87" s="10"/>
      <c r="C87" s="10"/>
      <c r="D87" s="10"/>
      <c r="E87" s="10"/>
      <c r="F87" s="10"/>
      <c r="G87" s="60"/>
      <c r="H87" s="60"/>
      <c r="I87" s="60"/>
    </row>
    <row r="88" spans="2:9">
      <c r="B88" s="10"/>
      <c r="C88" s="10"/>
      <c r="D88" s="10"/>
      <c r="E88" s="10"/>
      <c r="F88" s="10"/>
      <c r="G88" s="60"/>
      <c r="H88" s="60"/>
      <c r="I88" s="60"/>
    </row>
  </sheetData>
  <mergeCells count="57">
    <mergeCell ref="B11:C12"/>
    <mergeCell ref="D11:D12"/>
    <mergeCell ref="E11:F12"/>
    <mergeCell ref="G11:G12"/>
    <mergeCell ref="H11:I12"/>
    <mergeCell ref="B5:I5"/>
    <mergeCell ref="B6:I6"/>
    <mergeCell ref="E8:F8"/>
    <mergeCell ref="H8:I8"/>
    <mergeCell ref="B10:I10"/>
    <mergeCell ref="B13:I13"/>
    <mergeCell ref="C14:D14"/>
    <mergeCell ref="H14:I14"/>
    <mergeCell ref="B15:I15"/>
    <mergeCell ref="B16:C17"/>
    <mergeCell ref="D16:I17"/>
    <mergeCell ref="B18:C18"/>
    <mergeCell ref="D18:I18"/>
    <mergeCell ref="B19:C20"/>
    <mergeCell ref="D19:I20"/>
    <mergeCell ref="B21:C22"/>
    <mergeCell ref="D21:I22"/>
    <mergeCell ref="B27:C29"/>
    <mergeCell ref="B30:I34"/>
    <mergeCell ref="B35:I35"/>
    <mergeCell ref="B36:I38"/>
    <mergeCell ref="B39:E47"/>
    <mergeCell ref="F39:I47"/>
    <mergeCell ref="B23:C26"/>
    <mergeCell ref="D23:I23"/>
    <mergeCell ref="D24:I24"/>
    <mergeCell ref="D25:I25"/>
    <mergeCell ref="D26:I26"/>
    <mergeCell ref="B2:B3"/>
    <mergeCell ref="C2:H3"/>
    <mergeCell ref="B4:H4"/>
    <mergeCell ref="B65:I65"/>
    <mergeCell ref="B66:E80"/>
    <mergeCell ref="F66:I80"/>
    <mergeCell ref="B49:E59"/>
    <mergeCell ref="F49:I59"/>
    <mergeCell ref="B60:E64"/>
    <mergeCell ref="F60:G60"/>
    <mergeCell ref="H60:H64"/>
    <mergeCell ref="F61:G61"/>
    <mergeCell ref="F62:G62"/>
    <mergeCell ref="F63:G63"/>
    <mergeCell ref="F64:G64"/>
    <mergeCell ref="B48:I48"/>
    <mergeCell ref="G86:I86"/>
    <mergeCell ref="G87:I87"/>
    <mergeCell ref="G88:I88"/>
    <mergeCell ref="G82:I82"/>
    <mergeCell ref="B81:I81"/>
    <mergeCell ref="G83:I83"/>
    <mergeCell ref="G84:I84"/>
    <mergeCell ref="G85:I85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6D3C9C4B-AB8E-4166-8B25-01019284925A}">
          <x14:formula1>
            <xm:f>Parámetros!$A$1:$A$5</xm:f>
          </x14:formula1>
          <xm:sqref>I7</xm:sqref>
        </x14:dataValidation>
        <x14:dataValidation type="list" allowBlank="1" showInputMessage="1" showErrorMessage="1" xr:uid="{81C10145-BB65-49CC-BB6D-15945A9A037A}">
          <x14:formula1>
            <xm:f>Parámetros!$B$1:$B$9</xm:f>
          </x14:formula1>
          <xm:sqref>C8</xm:sqref>
        </x14:dataValidation>
        <x14:dataValidation type="list" allowBlank="1" showInputMessage="1" showErrorMessage="1" xr:uid="{A3389415-052F-4E11-84A1-FBF36F095A9E}">
          <x14:formula1>
            <xm:f>Parámetros!$C$1:$C$6</xm:f>
          </x14:formula1>
          <xm:sqref>C9</xm:sqref>
        </x14:dataValidation>
        <x14:dataValidation type="list" allowBlank="1" showInputMessage="1" showErrorMessage="1" xr:uid="{169BF5CE-293C-4E87-A75F-A0B4E804DA0E}">
          <x14:formula1>
            <xm:f>Parámetros!$D$1:$D$15</xm:f>
          </x14:formula1>
          <xm:sqref>E9</xm:sqref>
        </x14:dataValidation>
        <x14:dataValidation type="list" allowBlank="1" showInputMessage="1" showErrorMessage="1" xr:uid="{18F87DE8-C1F7-4F08-B44D-A9F9D60B8ACE}">
          <x14:formula1>
            <xm:f>Parámetros!$E$1:$E$15</xm:f>
          </x14:formula1>
          <xm:sqref>G9</xm:sqref>
        </x14:dataValidation>
        <x14:dataValidation type="list" allowBlank="1" showInputMessage="1" showErrorMessage="1" xr:uid="{8DFDB564-0433-4B59-94C1-6885D8D792FF}">
          <x14:formula1>
            <xm:f>Parámetros!$F$1:$F$5</xm:f>
          </x14:formula1>
          <xm:sqref>F60:G64</xm:sqref>
        </x14:dataValidation>
        <x14:dataValidation type="list" allowBlank="1" showInputMessage="1" showErrorMessage="1" xr:uid="{8EE9BFFF-09BB-47E9-A751-3342E892EC39}">
          <x14:formula1>
            <xm:f>Parámetros!$G$1:$G$10</xm:f>
          </x14:formula1>
          <xm:sqref>I60:I64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D7201-86E0-4F08-A30D-F35E9127D5E5}">
  <dimension ref="B1:L83"/>
  <sheetViews>
    <sheetView zoomScaleNormal="100" workbookViewId="0">
      <selection activeCell="K10" sqref="K10"/>
    </sheetView>
  </sheetViews>
  <sheetFormatPr defaultColWidth="10.85546875" defaultRowHeight="15"/>
  <cols>
    <col min="1" max="1" width="3.140625" style="11" customWidth="1"/>
    <col min="2" max="2" width="14.28515625" style="11" customWidth="1"/>
    <col min="3" max="3" width="9.7109375" style="11" customWidth="1"/>
    <col min="4" max="4" width="12.28515625" style="11" customWidth="1"/>
    <col min="5" max="5" width="10.140625" style="11" customWidth="1"/>
    <col min="6" max="6" width="10.85546875" style="11"/>
    <col min="7" max="7" width="10.85546875" style="11" customWidth="1"/>
    <col min="8" max="8" width="9.85546875" style="11" customWidth="1"/>
    <col min="9" max="9" width="16.7109375" style="11" customWidth="1"/>
    <col min="10" max="16384" width="10.85546875" style="11"/>
  </cols>
  <sheetData>
    <row r="1" spans="2:11" ht="15.75" thickBot="1">
      <c r="C1" s="12"/>
      <c r="D1" s="12"/>
      <c r="E1" s="12"/>
      <c r="F1" s="12"/>
      <c r="G1" s="12"/>
      <c r="H1" s="12"/>
    </row>
    <row r="2" spans="2:11" ht="22.5" customHeight="1" thickTop="1">
      <c r="B2" s="62"/>
      <c r="C2" s="64" t="s">
        <v>0</v>
      </c>
      <c r="D2" s="64"/>
      <c r="E2" s="64"/>
      <c r="F2" s="64"/>
      <c r="G2" s="64"/>
      <c r="H2" s="64"/>
      <c r="I2" s="6" t="s">
        <v>1</v>
      </c>
    </row>
    <row r="3" spans="2:11" ht="20.25" customHeight="1">
      <c r="B3" s="63"/>
      <c r="C3" s="65"/>
      <c r="D3" s="65"/>
      <c r="E3" s="65"/>
      <c r="F3" s="65"/>
      <c r="G3" s="65"/>
      <c r="H3" s="65"/>
      <c r="I3" s="7" t="s">
        <v>2</v>
      </c>
    </row>
    <row r="4" spans="2:11" ht="21" customHeight="1" thickBot="1">
      <c r="B4" s="66" t="s">
        <v>3</v>
      </c>
      <c r="C4" s="67"/>
      <c r="D4" s="67"/>
      <c r="E4" s="67"/>
      <c r="F4" s="67"/>
      <c r="G4" s="67"/>
      <c r="H4" s="67"/>
      <c r="I4" s="8" t="s">
        <v>4</v>
      </c>
    </row>
    <row r="5" spans="2:11" ht="15.75" thickTop="1">
      <c r="B5" s="71"/>
      <c r="C5" s="71"/>
      <c r="D5" s="71"/>
      <c r="E5" s="71"/>
      <c r="F5" s="71"/>
      <c r="G5" s="71"/>
      <c r="H5" s="71"/>
      <c r="I5" s="71"/>
    </row>
    <row r="6" spans="2:11">
      <c r="B6" s="71" t="s">
        <v>5</v>
      </c>
      <c r="C6" s="71"/>
      <c r="D6" s="71"/>
      <c r="E6" s="71"/>
      <c r="F6" s="71"/>
      <c r="G6" s="71"/>
      <c r="H6" s="71"/>
      <c r="I6" s="71"/>
    </row>
    <row r="7" spans="2:11" ht="60">
      <c r="B7" s="3" t="s">
        <v>6</v>
      </c>
      <c r="C7" s="1"/>
      <c r="D7" s="2" t="s">
        <v>7</v>
      </c>
      <c r="E7" s="1"/>
      <c r="F7" s="2" t="s">
        <v>8</v>
      </c>
      <c r="G7" s="1"/>
      <c r="H7" s="2" t="s">
        <v>9</v>
      </c>
      <c r="I7" s="1"/>
    </row>
    <row r="8" spans="2:11" ht="45">
      <c r="B8" s="15" t="s">
        <v>10</v>
      </c>
      <c r="C8" s="16"/>
      <c r="D8" s="3" t="s">
        <v>65</v>
      </c>
      <c r="E8" s="78"/>
      <c r="F8" s="78"/>
      <c r="G8" s="2" t="s">
        <v>12</v>
      </c>
      <c r="H8" s="78"/>
      <c r="I8" s="78"/>
      <c r="K8" s="11" t="s">
        <v>66</v>
      </c>
    </row>
    <row r="9" spans="2:11" ht="30">
      <c r="B9" s="2" t="s">
        <v>13</v>
      </c>
      <c r="C9" s="5">
        <v>3</v>
      </c>
      <c r="D9" s="2" t="s">
        <v>14</v>
      </c>
      <c r="E9" s="5">
        <v>54</v>
      </c>
      <c r="F9" s="2" t="s">
        <v>15</v>
      </c>
      <c r="G9" s="5">
        <v>90</v>
      </c>
      <c r="H9" s="2" t="s">
        <v>16</v>
      </c>
      <c r="I9" s="5">
        <f>E9+G9</f>
        <v>144</v>
      </c>
      <c r="K9" s="11" t="s">
        <v>67</v>
      </c>
    </row>
    <row r="10" spans="2:11">
      <c r="B10" s="77" t="s">
        <v>17</v>
      </c>
      <c r="C10" s="61"/>
      <c r="D10" s="61"/>
      <c r="E10" s="61"/>
      <c r="F10" s="61"/>
      <c r="G10" s="61"/>
      <c r="H10" s="61"/>
      <c r="I10" s="61"/>
    </row>
    <row r="11" spans="2:11">
      <c r="B11" s="77" t="s">
        <v>18</v>
      </c>
      <c r="C11" s="77"/>
      <c r="D11" s="71" t="s">
        <v>19</v>
      </c>
      <c r="E11" s="72"/>
      <c r="F11" s="72"/>
      <c r="G11" s="71" t="s">
        <v>20</v>
      </c>
      <c r="H11" s="72"/>
      <c r="I11" s="72"/>
    </row>
    <row r="12" spans="2:11">
      <c r="B12" s="77"/>
      <c r="C12" s="77"/>
      <c r="D12" s="71"/>
      <c r="E12" s="72"/>
      <c r="F12" s="72"/>
      <c r="G12" s="71"/>
      <c r="H12" s="72"/>
      <c r="I12" s="72"/>
    </row>
    <row r="13" spans="2:11">
      <c r="B13" s="61" t="s">
        <v>21</v>
      </c>
      <c r="C13" s="61"/>
      <c r="D13" s="61"/>
      <c r="E13" s="61"/>
      <c r="F13" s="61"/>
      <c r="G13" s="61"/>
      <c r="H13" s="61"/>
      <c r="I13" s="61"/>
    </row>
    <row r="14" spans="2:11">
      <c r="B14" s="3" t="s">
        <v>22</v>
      </c>
      <c r="C14" s="78"/>
      <c r="D14" s="78"/>
      <c r="E14" s="3" t="s">
        <v>23</v>
      </c>
      <c r="F14" s="1"/>
      <c r="G14" s="3" t="s">
        <v>24</v>
      </c>
      <c r="H14" s="78"/>
      <c r="I14" s="78"/>
    </row>
    <row r="15" spans="2:11">
      <c r="B15" s="61" t="s">
        <v>25</v>
      </c>
      <c r="C15" s="61"/>
      <c r="D15" s="61"/>
      <c r="E15" s="61"/>
      <c r="F15" s="61"/>
      <c r="G15" s="61"/>
      <c r="H15" s="61"/>
      <c r="I15" s="61"/>
    </row>
    <row r="16" spans="2:11">
      <c r="B16" s="77" t="s">
        <v>26</v>
      </c>
      <c r="C16" s="77"/>
      <c r="D16" s="72" t="s">
        <v>68</v>
      </c>
      <c r="E16" s="72"/>
      <c r="F16" s="72"/>
      <c r="G16" s="72"/>
      <c r="H16" s="72"/>
      <c r="I16" s="72"/>
    </row>
    <row r="17" spans="2:12">
      <c r="B17" s="77"/>
      <c r="C17" s="77"/>
      <c r="D17" s="72"/>
      <c r="E17" s="72"/>
      <c r="F17" s="72"/>
      <c r="G17" s="72"/>
      <c r="H17" s="72"/>
      <c r="I17" s="72"/>
    </row>
    <row r="18" spans="2:12">
      <c r="B18" s="82" t="s">
        <v>27</v>
      </c>
      <c r="C18" s="83"/>
      <c r="D18" s="84"/>
      <c r="E18" s="84"/>
      <c r="F18" s="84"/>
      <c r="G18" s="84"/>
      <c r="H18" s="84"/>
      <c r="I18" s="84"/>
    </row>
    <row r="19" spans="2:12">
      <c r="B19" s="85" t="s">
        <v>28</v>
      </c>
      <c r="C19" s="85"/>
      <c r="D19" s="84"/>
      <c r="E19" s="84"/>
      <c r="F19" s="84"/>
      <c r="G19" s="84"/>
      <c r="H19" s="84"/>
      <c r="I19" s="84"/>
    </row>
    <row r="20" spans="2:12">
      <c r="B20" s="85"/>
      <c r="C20" s="85"/>
      <c r="D20" s="84"/>
      <c r="E20" s="84"/>
      <c r="F20" s="84"/>
      <c r="G20" s="84"/>
      <c r="H20" s="84"/>
      <c r="I20" s="84"/>
    </row>
    <row r="21" spans="2:12">
      <c r="B21" s="85" t="s">
        <v>29</v>
      </c>
      <c r="C21" s="85"/>
      <c r="D21" s="84" t="s">
        <v>69</v>
      </c>
      <c r="E21" s="84"/>
      <c r="F21" s="84"/>
      <c r="G21" s="84"/>
      <c r="H21" s="84"/>
      <c r="I21" s="84"/>
    </row>
    <row r="22" spans="2:12">
      <c r="B22" s="85"/>
      <c r="C22" s="85"/>
      <c r="D22" s="84"/>
      <c r="E22" s="84"/>
      <c r="F22" s="84"/>
      <c r="G22" s="84"/>
      <c r="H22" s="84"/>
      <c r="I22" s="84"/>
    </row>
    <row r="23" spans="2:12">
      <c r="B23" s="86" t="s">
        <v>30</v>
      </c>
      <c r="C23" s="86"/>
      <c r="D23" s="84" t="s">
        <v>31</v>
      </c>
      <c r="E23" s="84"/>
      <c r="F23" s="84"/>
      <c r="G23" s="84"/>
      <c r="H23" s="84"/>
      <c r="I23" s="84"/>
    </row>
    <row r="24" spans="2:12">
      <c r="B24" s="86"/>
      <c r="C24" s="86"/>
      <c r="D24" s="84" t="s">
        <v>32</v>
      </c>
      <c r="E24" s="84"/>
      <c r="F24" s="84"/>
      <c r="G24" s="84"/>
      <c r="H24" s="84"/>
      <c r="I24" s="84"/>
    </row>
    <row r="25" spans="2:12">
      <c r="B25" s="86"/>
      <c r="C25" s="86"/>
      <c r="D25" s="84" t="s">
        <v>33</v>
      </c>
      <c r="E25" s="84"/>
      <c r="F25" s="84"/>
      <c r="G25" s="84"/>
      <c r="H25" s="84"/>
      <c r="I25" s="84"/>
    </row>
    <row r="26" spans="2:12">
      <c r="B26" s="86"/>
      <c r="C26" s="86"/>
      <c r="D26" s="84" t="s">
        <v>34</v>
      </c>
      <c r="E26" s="84"/>
      <c r="F26" s="84"/>
      <c r="G26" s="84"/>
      <c r="H26" s="84"/>
      <c r="I26" s="84"/>
    </row>
    <row r="27" spans="2:12" ht="99.6" customHeight="1">
      <c r="B27" s="73" t="s">
        <v>70</v>
      </c>
      <c r="C27" s="73"/>
      <c r="D27" s="87" t="s">
        <v>71</v>
      </c>
      <c r="E27" s="88"/>
      <c r="F27" s="89"/>
      <c r="G27" s="79" t="s">
        <v>72</v>
      </c>
      <c r="H27" s="88"/>
      <c r="I27" s="89"/>
      <c r="L27" s="11" t="s">
        <v>73</v>
      </c>
    </row>
    <row r="28" spans="2:12" ht="90.6" customHeight="1">
      <c r="B28" s="73"/>
      <c r="C28" s="73"/>
      <c r="D28" s="90" t="s">
        <v>74</v>
      </c>
      <c r="E28" s="91"/>
      <c r="F28" s="92"/>
      <c r="G28" s="79" t="s">
        <v>75</v>
      </c>
      <c r="H28" s="94"/>
      <c r="I28" s="95"/>
      <c r="L28" s="11" t="s">
        <v>76</v>
      </c>
    </row>
    <row r="29" spans="2:12" ht="75.599999999999994" customHeight="1">
      <c r="B29" s="73"/>
      <c r="C29" s="73"/>
      <c r="D29" s="87" t="s">
        <v>77</v>
      </c>
      <c r="E29" s="88"/>
      <c r="F29" s="89"/>
      <c r="G29" s="79" t="s">
        <v>78</v>
      </c>
      <c r="H29" s="80"/>
      <c r="I29" s="81"/>
      <c r="L29" s="11" t="s">
        <v>79</v>
      </c>
    </row>
    <row r="30" spans="2:12">
      <c r="B30" s="61" t="s">
        <v>46</v>
      </c>
      <c r="C30" s="61"/>
      <c r="D30" s="61"/>
      <c r="E30" s="61"/>
      <c r="F30" s="61"/>
      <c r="G30" s="61"/>
      <c r="H30" s="61"/>
      <c r="I30" s="61"/>
    </row>
    <row r="31" spans="2:12">
      <c r="B31" s="60" t="s">
        <v>47</v>
      </c>
      <c r="C31" s="60"/>
      <c r="D31" s="60"/>
      <c r="E31" s="60"/>
      <c r="F31" s="60"/>
      <c r="G31" s="60"/>
      <c r="H31" s="60"/>
      <c r="I31" s="60"/>
    </row>
    <row r="32" spans="2:12">
      <c r="B32" s="60"/>
      <c r="C32" s="60"/>
      <c r="D32" s="60"/>
      <c r="E32" s="60"/>
      <c r="F32" s="60"/>
      <c r="G32" s="60"/>
      <c r="H32" s="60"/>
      <c r="I32" s="60"/>
    </row>
    <row r="33" spans="2:9">
      <c r="B33" s="60"/>
      <c r="C33" s="60"/>
      <c r="D33" s="60"/>
      <c r="E33" s="60"/>
      <c r="F33" s="60"/>
      <c r="G33" s="60"/>
      <c r="H33" s="60"/>
      <c r="I33" s="60"/>
    </row>
    <row r="34" spans="2:9">
      <c r="B34" s="68" t="s">
        <v>80</v>
      </c>
      <c r="C34" s="68"/>
      <c r="D34" s="68"/>
      <c r="E34" s="68"/>
      <c r="F34" s="93" t="s">
        <v>49</v>
      </c>
      <c r="G34" s="93"/>
      <c r="H34" s="93"/>
      <c r="I34" s="93"/>
    </row>
    <row r="35" spans="2:9">
      <c r="B35" s="68"/>
      <c r="C35" s="68"/>
      <c r="D35" s="68"/>
      <c r="E35" s="68"/>
      <c r="F35" s="93"/>
      <c r="G35" s="93"/>
      <c r="H35" s="93"/>
      <c r="I35" s="93"/>
    </row>
    <row r="36" spans="2:9">
      <c r="B36" s="68"/>
      <c r="C36" s="68"/>
      <c r="D36" s="68"/>
      <c r="E36" s="68"/>
      <c r="F36" s="93"/>
      <c r="G36" s="93"/>
      <c r="H36" s="93"/>
      <c r="I36" s="93"/>
    </row>
    <row r="37" spans="2:9">
      <c r="B37" s="68"/>
      <c r="C37" s="68"/>
      <c r="D37" s="68"/>
      <c r="E37" s="68"/>
      <c r="F37" s="93"/>
      <c r="G37" s="93"/>
      <c r="H37" s="93"/>
      <c r="I37" s="93"/>
    </row>
    <row r="38" spans="2:9">
      <c r="B38" s="68"/>
      <c r="C38" s="68"/>
      <c r="D38" s="68"/>
      <c r="E38" s="68"/>
      <c r="F38" s="93"/>
      <c r="G38" s="93"/>
      <c r="H38" s="93"/>
      <c r="I38" s="93"/>
    </row>
    <row r="39" spans="2:9">
      <c r="B39" s="68"/>
      <c r="C39" s="68"/>
      <c r="D39" s="68"/>
      <c r="E39" s="68"/>
      <c r="F39" s="93"/>
      <c r="G39" s="93"/>
      <c r="H39" s="93"/>
      <c r="I39" s="93"/>
    </row>
    <row r="40" spans="2:9">
      <c r="B40" s="68"/>
      <c r="C40" s="68"/>
      <c r="D40" s="68"/>
      <c r="E40" s="68"/>
      <c r="F40" s="93"/>
      <c r="G40" s="93"/>
      <c r="H40" s="93"/>
      <c r="I40" s="93"/>
    </row>
    <row r="41" spans="2:9">
      <c r="B41" s="68"/>
      <c r="C41" s="68"/>
      <c r="D41" s="68"/>
      <c r="E41" s="68"/>
      <c r="F41" s="93"/>
      <c r="G41" s="93"/>
      <c r="H41" s="93"/>
      <c r="I41" s="93"/>
    </row>
    <row r="42" spans="2:9">
      <c r="B42" s="68"/>
      <c r="C42" s="68"/>
      <c r="D42" s="68"/>
      <c r="E42" s="68"/>
      <c r="F42" s="93"/>
      <c r="G42" s="93"/>
      <c r="H42" s="93"/>
      <c r="I42" s="93"/>
    </row>
    <row r="43" spans="2:9">
      <c r="B43" s="61" t="s">
        <v>50</v>
      </c>
      <c r="C43" s="61"/>
      <c r="D43" s="61"/>
      <c r="E43" s="61"/>
      <c r="F43" s="61"/>
      <c r="G43" s="61"/>
      <c r="H43" s="61"/>
      <c r="I43" s="61"/>
    </row>
    <row r="44" spans="2:9">
      <c r="B44" s="70" t="s">
        <v>81</v>
      </c>
      <c r="C44" s="70"/>
      <c r="D44" s="70"/>
      <c r="E44" s="70"/>
      <c r="F44" s="68" t="s">
        <v>82</v>
      </c>
      <c r="G44" s="68"/>
      <c r="H44" s="68"/>
      <c r="I44" s="68"/>
    </row>
    <row r="45" spans="2:9">
      <c r="B45" s="70"/>
      <c r="C45" s="70"/>
      <c r="D45" s="70"/>
      <c r="E45" s="70"/>
      <c r="F45" s="68"/>
      <c r="G45" s="68"/>
      <c r="H45" s="68"/>
      <c r="I45" s="68"/>
    </row>
    <row r="46" spans="2:9">
      <c r="B46" s="70"/>
      <c r="C46" s="70"/>
      <c r="D46" s="70"/>
      <c r="E46" s="70"/>
      <c r="F46" s="68"/>
      <c r="G46" s="68"/>
      <c r="H46" s="68"/>
      <c r="I46" s="68"/>
    </row>
    <row r="47" spans="2:9">
      <c r="B47" s="70"/>
      <c r="C47" s="70"/>
      <c r="D47" s="70"/>
      <c r="E47" s="70"/>
      <c r="F47" s="68"/>
      <c r="G47" s="68"/>
      <c r="H47" s="68"/>
      <c r="I47" s="68"/>
    </row>
    <row r="48" spans="2:9">
      <c r="B48" s="70"/>
      <c r="C48" s="70"/>
      <c r="D48" s="70"/>
      <c r="E48" s="70"/>
      <c r="F48" s="68"/>
      <c r="G48" s="68"/>
      <c r="H48" s="68"/>
      <c r="I48" s="68"/>
    </row>
    <row r="49" spans="2:9">
      <c r="B49" s="70"/>
      <c r="C49" s="70"/>
      <c r="D49" s="70"/>
      <c r="E49" s="70"/>
      <c r="F49" s="68"/>
      <c r="G49" s="68"/>
      <c r="H49" s="68"/>
      <c r="I49" s="68"/>
    </row>
    <row r="50" spans="2:9">
      <c r="B50" s="70"/>
      <c r="C50" s="70"/>
      <c r="D50" s="70"/>
      <c r="E50" s="70"/>
      <c r="F50" s="68"/>
      <c r="G50" s="68"/>
      <c r="H50" s="68"/>
      <c r="I50" s="68"/>
    </row>
    <row r="51" spans="2:9">
      <c r="B51" s="70"/>
      <c r="C51" s="70"/>
      <c r="D51" s="70"/>
      <c r="E51" s="70"/>
      <c r="F51" s="68"/>
      <c r="G51" s="68"/>
      <c r="H51" s="68"/>
      <c r="I51" s="68"/>
    </row>
    <row r="52" spans="2:9">
      <c r="B52" s="70"/>
      <c r="C52" s="70"/>
      <c r="D52" s="70"/>
      <c r="E52" s="70"/>
      <c r="F52" s="68"/>
      <c r="G52" s="68"/>
      <c r="H52" s="68"/>
      <c r="I52" s="68"/>
    </row>
    <row r="53" spans="2:9">
      <c r="B53" s="70"/>
      <c r="C53" s="70"/>
      <c r="D53" s="70"/>
      <c r="E53" s="70"/>
      <c r="F53" s="68"/>
      <c r="G53" s="68"/>
      <c r="H53" s="68"/>
      <c r="I53" s="68"/>
    </row>
    <row r="54" spans="2:9">
      <c r="B54" s="70"/>
      <c r="C54" s="70"/>
      <c r="D54" s="70"/>
      <c r="E54" s="70"/>
      <c r="F54" s="68"/>
      <c r="G54" s="68"/>
      <c r="H54" s="68"/>
      <c r="I54" s="68"/>
    </row>
    <row r="55" spans="2:9">
      <c r="B55" s="71" t="s">
        <v>83</v>
      </c>
      <c r="C55" s="71"/>
      <c r="D55" s="71"/>
      <c r="E55" s="71"/>
      <c r="F55" s="72" t="s">
        <v>84</v>
      </c>
      <c r="G55" s="72"/>
      <c r="H55" s="71" t="s">
        <v>54</v>
      </c>
      <c r="I55" s="5"/>
    </row>
    <row r="56" spans="2:9">
      <c r="B56" s="71"/>
      <c r="C56" s="71"/>
      <c r="D56" s="71"/>
      <c r="E56" s="71"/>
      <c r="F56" s="72"/>
      <c r="G56" s="72"/>
      <c r="H56" s="71"/>
      <c r="I56" s="5"/>
    </row>
    <row r="57" spans="2:9">
      <c r="B57" s="71"/>
      <c r="C57" s="71"/>
      <c r="D57" s="71"/>
      <c r="E57" s="71"/>
      <c r="F57" s="72"/>
      <c r="G57" s="72"/>
      <c r="H57" s="71"/>
      <c r="I57" s="5"/>
    </row>
    <row r="58" spans="2:9">
      <c r="B58" s="71"/>
      <c r="C58" s="71"/>
      <c r="D58" s="71"/>
      <c r="E58" s="71"/>
      <c r="F58" s="72"/>
      <c r="G58" s="72"/>
      <c r="H58" s="71"/>
      <c r="I58" s="5"/>
    </row>
    <row r="59" spans="2:9">
      <c r="B59" s="71"/>
      <c r="C59" s="71"/>
      <c r="D59" s="71"/>
      <c r="E59" s="71"/>
      <c r="F59" s="72"/>
      <c r="G59" s="72"/>
      <c r="H59" s="71"/>
      <c r="I59" s="5"/>
    </row>
    <row r="60" spans="2:9">
      <c r="B60" s="61" t="s">
        <v>55</v>
      </c>
      <c r="C60" s="61"/>
      <c r="D60" s="61"/>
      <c r="E60" s="61"/>
      <c r="F60" s="61"/>
      <c r="G60" s="61"/>
      <c r="H60" s="61"/>
      <c r="I60" s="61"/>
    </row>
    <row r="61" spans="2:9">
      <c r="B61" s="68" t="s">
        <v>56</v>
      </c>
      <c r="C61" s="68"/>
      <c r="D61" s="68"/>
      <c r="E61" s="68"/>
      <c r="F61" s="68" t="s">
        <v>57</v>
      </c>
      <c r="G61" s="68"/>
      <c r="H61" s="68"/>
      <c r="I61" s="68"/>
    </row>
    <row r="62" spans="2:9">
      <c r="B62" s="68"/>
      <c r="C62" s="68"/>
      <c r="D62" s="68"/>
      <c r="E62" s="68"/>
      <c r="F62" s="68"/>
      <c r="G62" s="68"/>
      <c r="H62" s="68"/>
      <c r="I62" s="68"/>
    </row>
    <row r="63" spans="2:9">
      <c r="B63" s="68"/>
      <c r="C63" s="68"/>
      <c r="D63" s="68"/>
      <c r="E63" s="68"/>
      <c r="F63" s="68"/>
      <c r="G63" s="68"/>
      <c r="H63" s="68"/>
      <c r="I63" s="68"/>
    </row>
    <row r="64" spans="2:9">
      <c r="B64" s="68"/>
      <c r="C64" s="68"/>
      <c r="D64" s="68"/>
      <c r="E64" s="68"/>
      <c r="F64" s="68"/>
      <c r="G64" s="68"/>
      <c r="H64" s="68"/>
      <c r="I64" s="68"/>
    </row>
    <row r="65" spans="2:9">
      <c r="B65" s="68"/>
      <c r="C65" s="68"/>
      <c r="D65" s="68"/>
      <c r="E65" s="68"/>
      <c r="F65" s="68"/>
      <c r="G65" s="68"/>
      <c r="H65" s="68"/>
      <c r="I65" s="68"/>
    </row>
    <row r="66" spans="2:9">
      <c r="B66" s="68"/>
      <c r="C66" s="68"/>
      <c r="D66" s="68"/>
      <c r="E66" s="68"/>
      <c r="F66" s="68"/>
      <c r="G66" s="68"/>
      <c r="H66" s="68"/>
      <c r="I66" s="68"/>
    </row>
    <row r="67" spans="2:9">
      <c r="B67" s="68"/>
      <c r="C67" s="68"/>
      <c r="D67" s="68"/>
      <c r="E67" s="68"/>
      <c r="F67" s="68"/>
      <c r="G67" s="68"/>
      <c r="H67" s="68"/>
      <c r="I67" s="68"/>
    </row>
    <row r="68" spans="2:9">
      <c r="B68" s="68"/>
      <c r="C68" s="68"/>
      <c r="D68" s="68"/>
      <c r="E68" s="68"/>
      <c r="F68" s="68"/>
      <c r="G68" s="68"/>
      <c r="H68" s="68"/>
      <c r="I68" s="68"/>
    </row>
    <row r="69" spans="2:9">
      <c r="B69" s="68"/>
      <c r="C69" s="68"/>
      <c r="D69" s="68"/>
      <c r="E69" s="68"/>
      <c r="F69" s="68"/>
      <c r="G69" s="68"/>
      <c r="H69" s="68"/>
      <c r="I69" s="68"/>
    </row>
    <row r="70" spans="2:9">
      <c r="B70" s="68"/>
      <c r="C70" s="68"/>
      <c r="D70" s="68"/>
      <c r="E70" s="68"/>
      <c r="F70" s="68"/>
      <c r="G70" s="68"/>
      <c r="H70" s="68"/>
      <c r="I70" s="68"/>
    </row>
    <row r="71" spans="2:9">
      <c r="B71" s="68"/>
      <c r="C71" s="68"/>
      <c r="D71" s="68"/>
      <c r="E71" s="68"/>
      <c r="F71" s="68"/>
      <c r="G71" s="68"/>
      <c r="H71" s="68"/>
      <c r="I71" s="68"/>
    </row>
    <row r="72" spans="2:9">
      <c r="B72" s="68"/>
      <c r="C72" s="68"/>
      <c r="D72" s="68"/>
      <c r="E72" s="68"/>
      <c r="F72" s="68"/>
      <c r="G72" s="68"/>
      <c r="H72" s="68"/>
      <c r="I72" s="68"/>
    </row>
    <row r="73" spans="2:9">
      <c r="B73" s="68"/>
      <c r="C73" s="68"/>
      <c r="D73" s="68"/>
      <c r="E73" s="68"/>
      <c r="F73" s="68"/>
      <c r="G73" s="68"/>
      <c r="H73" s="68"/>
      <c r="I73" s="68"/>
    </row>
    <row r="74" spans="2:9">
      <c r="B74" s="68"/>
      <c r="C74" s="68"/>
      <c r="D74" s="68"/>
      <c r="E74" s="68"/>
      <c r="F74" s="68"/>
      <c r="G74" s="68"/>
      <c r="H74" s="68"/>
      <c r="I74" s="68"/>
    </row>
    <row r="75" spans="2:9">
      <c r="B75" s="69"/>
      <c r="C75" s="69"/>
      <c r="D75" s="69"/>
      <c r="E75" s="69"/>
      <c r="F75" s="69"/>
      <c r="G75" s="69"/>
      <c r="H75" s="69"/>
      <c r="I75" s="69"/>
    </row>
    <row r="76" spans="2:9">
      <c r="B76" s="61" t="s">
        <v>58</v>
      </c>
      <c r="C76" s="61"/>
      <c r="D76" s="61"/>
      <c r="E76" s="61"/>
      <c r="F76" s="61"/>
      <c r="G76" s="61"/>
      <c r="H76" s="61"/>
      <c r="I76" s="61"/>
    </row>
    <row r="77" spans="2:9">
      <c r="B77" s="9" t="s">
        <v>59</v>
      </c>
      <c r="C77" s="9" t="s">
        <v>60</v>
      </c>
      <c r="D77" s="9" t="s">
        <v>61</v>
      </c>
      <c r="E77" s="9" t="s">
        <v>62</v>
      </c>
      <c r="F77" s="9" t="s">
        <v>63</v>
      </c>
      <c r="G77" s="61" t="s">
        <v>64</v>
      </c>
      <c r="H77" s="61"/>
      <c r="I77" s="61"/>
    </row>
    <row r="78" spans="2:9">
      <c r="B78" s="10"/>
      <c r="C78" s="10"/>
      <c r="D78" s="10"/>
      <c r="E78" s="10"/>
      <c r="F78" s="10"/>
      <c r="G78" s="60"/>
      <c r="H78" s="60"/>
      <c r="I78" s="60"/>
    </row>
    <row r="79" spans="2:9">
      <c r="B79" s="10"/>
      <c r="C79" s="10"/>
      <c r="D79" s="10"/>
      <c r="E79" s="10"/>
      <c r="F79" s="10"/>
      <c r="G79" s="60"/>
      <c r="H79" s="60"/>
      <c r="I79" s="60"/>
    </row>
    <row r="80" spans="2:9">
      <c r="B80" s="10"/>
      <c r="C80" s="10"/>
      <c r="D80" s="10"/>
      <c r="E80" s="10"/>
      <c r="F80" s="10"/>
      <c r="G80" s="60"/>
      <c r="H80" s="60"/>
      <c r="I80" s="60"/>
    </row>
    <row r="81" spans="2:9">
      <c r="B81" s="10"/>
      <c r="C81" s="10"/>
      <c r="D81" s="10"/>
      <c r="E81" s="10"/>
      <c r="F81" s="10"/>
      <c r="G81" s="60"/>
      <c r="H81" s="60"/>
      <c r="I81" s="60"/>
    </row>
    <row r="82" spans="2:9">
      <c r="B82" s="10"/>
      <c r="C82" s="10"/>
      <c r="D82" s="10"/>
      <c r="E82" s="10"/>
      <c r="F82" s="10"/>
      <c r="G82" s="60"/>
      <c r="H82" s="60"/>
      <c r="I82" s="60"/>
    </row>
    <row r="83" spans="2:9">
      <c r="B83" s="10"/>
      <c r="C83" s="10"/>
      <c r="D83" s="10"/>
      <c r="E83" s="10"/>
      <c r="F83" s="10"/>
      <c r="G83" s="60"/>
      <c r="H83" s="60"/>
      <c r="I83" s="60"/>
    </row>
  </sheetData>
  <mergeCells count="62">
    <mergeCell ref="G82:I82"/>
    <mergeCell ref="G83:I83"/>
    <mergeCell ref="G28:I28"/>
    <mergeCell ref="D29:F29"/>
    <mergeCell ref="G79:I79"/>
    <mergeCell ref="G80:I80"/>
    <mergeCell ref="G81:I81"/>
    <mergeCell ref="G78:I78"/>
    <mergeCell ref="B44:E54"/>
    <mergeCell ref="F44:I54"/>
    <mergeCell ref="B55:E59"/>
    <mergeCell ref="F55:G55"/>
    <mergeCell ref="H55:H59"/>
    <mergeCell ref="F56:G56"/>
    <mergeCell ref="F57:G57"/>
    <mergeCell ref="F58:G58"/>
    <mergeCell ref="G77:I77"/>
    <mergeCell ref="B30:I30"/>
    <mergeCell ref="B31:I33"/>
    <mergeCell ref="B34:E42"/>
    <mergeCell ref="F34:I42"/>
    <mergeCell ref="B43:I43"/>
    <mergeCell ref="F59:G59"/>
    <mergeCell ref="B60:I60"/>
    <mergeCell ref="B61:E75"/>
    <mergeCell ref="F61:I75"/>
    <mergeCell ref="B76:I76"/>
    <mergeCell ref="B27:C29"/>
    <mergeCell ref="G29:I29"/>
    <mergeCell ref="B18:C18"/>
    <mergeCell ref="D18:I18"/>
    <mergeCell ref="B19:C20"/>
    <mergeCell ref="D19:I20"/>
    <mergeCell ref="B21:C22"/>
    <mergeCell ref="D21:I22"/>
    <mergeCell ref="B23:C26"/>
    <mergeCell ref="D23:I23"/>
    <mergeCell ref="D24:I24"/>
    <mergeCell ref="D25:I25"/>
    <mergeCell ref="D26:I26"/>
    <mergeCell ref="D27:F27"/>
    <mergeCell ref="G27:I27"/>
    <mergeCell ref="D28:F28"/>
    <mergeCell ref="B13:I13"/>
    <mergeCell ref="C14:D14"/>
    <mergeCell ref="H14:I14"/>
    <mergeCell ref="B15:I15"/>
    <mergeCell ref="B16:C17"/>
    <mergeCell ref="D16:I17"/>
    <mergeCell ref="B10:I10"/>
    <mergeCell ref="B11:C12"/>
    <mergeCell ref="D11:D12"/>
    <mergeCell ref="E11:F12"/>
    <mergeCell ref="G11:G12"/>
    <mergeCell ref="H11:I12"/>
    <mergeCell ref="E8:F8"/>
    <mergeCell ref="H8:I8"/>
    <mergeCell ref="B2:B3"/>
    <mergeCell ref="C2:H3"/>
    <mergeCell ref="B4:H4"/>
    <mergeCell ref="B5:I5"/>
    <mergeCell ref="B6:I6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473DFC81-B299-48D7-A221-0A77F5AC2BA1}">
          <x14:formula1>
            <xm:f>Parámetros!$G$1:$G$10</xm:f>
          </x14:formula1>
          <xm:sqref>I55:I59</xm:sqref>
        </x14:dataValidation>
        <x14:dataValidation type="list" allowBlank="1" showInputMessage="1" showErrorMessage="1" xr:uid="{78E27DF5-6CF1-467C-80A0-48A6B289A21E}">
          <x14:formula1>
            <xm:f>Parámetros!$F$1:$F$5</xm:f>
          </x14:formula1>
          <xm:sqref>F55:G59</xm:sqref>
        </x14:dataValidation>
        <x14:dataValidation type="list" allowBlank="1" showInputMessage="1" showErrorMessage="1" xr:uid="{B3F42736-9113-4165-AE85-43D50D3625BB}">
          <x14:formula1>
            <xm:f>Parámetros!$E$1:$E$15</xm:f>
          </x14:formula1>
          <xm:sqref>G9</xm:sqref>
        </x14:dataValidation>
        <x14:dataValidation type="list" allowBlank="1" showInputMessage="1" showErrorMessage="1" xr:uid="{F986A43E-BD48-4AE3-9C8C-53257AB48D75}">
          <x14:formula1>
            <xm:f>Parámetros!$D$1:$D$15</xm:f>
          </x14:formula1>
          <xm:sqref>E9</xm:sqref>
        </x14:dataValidation>
        <x14:dataValidation type="list" allowBlank="1" showInputMessage="1" showErrorMessage="1" xr:uid="{4C3376A9-0A3E-4C3E-9715-9C0C4E1A8675}">
          <x14:formula1>
            <xm:f>Parámetros!$C$1:$C$6</xm:f>
          </x14:formula1>
          <xm:sqref>C9</xm:sqref>
        </x14:dataValidation>
        <x14:dataValidation type="list" allowBlank="1" showInputMessage="1" showErrorMessage="1" xr:uid="{02D9E6BA-7470-424C-88B0-019B04A7D485}">
          <x14:formula1>
            <xm:f>Parámetros!$B$1:$B$9</xm:f>
          </x14:formula1>
          <xm:sqref>C8</xm:sqref>
        </x14:dataValidation>
        <x14:dataValidation type="list" allowBlank="1" showInputMessage="1" showErrorMessage="1" xr:uid="{21C7CA91-7EA1-4981-8D25-34997A2A08A1}">
          <x14:formula1>
            <xm:f>Parámetros!$A$1:$A$5</xm:f>
          </x14:formula1>
          <xm:sqref>I7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02FAA-7448-415A-9188-F1A5055635C9}">
  <dimension ref="B2:H36"/>
  <sheetViews>
    <sheetView topLeftCell="C14" zoomScale="70" zoomScaleNormal="70" workbookViewId="0">
      <selection activeCell="H25" sqref="H25"/>
    </sheetView>
  </sheetViews>
  <sheetFormatPr defaultColWidth="11.42578125" defaultRowHeight="15"/>
  <cols>
    <col min="3" max="3" width="74" bestFit="1" customWidth="1"/>
    <col min="4" max="4" width="32.85546875" customWidth="1"/>
    <col min="5" max="7" width="18.28515625" customWidth="1"/>
    <col min="8" max="8" width="44.140625" customWidth="1"/>
    <col min="9" max="9" width="11.42578125" customWidth="1"/>
  </cols>
  <sheetData>
    <row r="2" spans="2:8" ht="15.75" thickBot="1"/>
    <row r="3" spans="2:8" ht="15.75" thickBot="1">
      <c r="H3" s="35" t="s">
        <v>85</v>
      </c>
    </row>
    <row r="4" spans="2:8" ht="17.25" thickBot="1">
      <c r="B4">
        <v>1</v>
      </c>
      <c r="C4" s="33" t="s">
        <v>6</v>
      </c>
      <c r="D4" s="40">
        <v>2026</v>
      </c>
      <c r="H4" s="36">
        <v>2024</v>
      </c>
    </row>
    <row r="5" spans="2:8" ht="17.25" thickBot="1">
      <c r="B5">
        <v>2</v>
      </c>
      <c r="C5" s="33" t="s">
        <v>7</v>
      </c>
      <c r="D5" s="40" t="s">
        <v>86</v>
      </c>
      <c r="H5" s="36">
        <v>0</v>
      </c>
    </row>
    <row r="6" spans="2:8" ht="17.25" thickBot="1">
      <c r="B6">
        <v>3</v>
      </c>
      <c r="C6" s="33" t="s">
        <v>8</v>
      </c>
      <c r="D6" s="54" t="s">
        <v>87</v>
      </c>
      <c r="H6" s="36">
        <v>0</v>
      </c>
    </row>
    <row r="7" spans="2:8" ht="17.25" thickBot="1">
      <c r="B7">
        <v>4</v>
      </c>
      <c r="C7" s="33" t="s">
        <v>9</v>
      </c>
      <c r="D7" s="5" t="str">
        <f>+H7</f>
        <v>Nuclear</v>
      </c>
      <c r="H7" s="37" t="s">
        <v>88</v>
      </c>
    </row>
    <row r="8" spans="2:8" ht="17.25" thickBot="1">
      <c r="B8">
        <v>5</v>
      </c>
      <c r="C8" s="33" t="s">
        <v>10</v>
      </c>
      <c r="D8" s="5" t="str">
        <f>+H8</f>
        <v>Facultad de Ingeniería</v>
      </c>
      <c r="H8" s="35" t="s">
        <v>89</v>
      </c>
    </row>
    <row r="9" spans="2:8" ht="17.25" thickBot="1">
      <c r="B9">
        <v>6</v>
      </c>
      <c r="C9" s="33" t="s">
        <v>11</v>
      </c>
      <c r="D9" s="5" t="str">
        <f>+H9</f>
        <v>Ingeniería Industrial</v>
      </c>
      <c r="H9" s="35" t="s">
        <v>90</v>
      </c>
    </row>
    <row r="10" spans="2:8" ht="14.25" customHeight="1" thickBot="1">
      <c r="B10">
        <v>7</v>
      </c>
      <c r="C10" s="33" t="s">
        <v>91</v>
      </c>
      <c r="D10" s="49" t="str">
        <f>+H10</f>
        <v>Gestión de la cadena de suministro</v>
      </c>
      <c r="H10" s="35" t="s">
        <v>92</v>
      </c>
    </row>
    <row r="11" spans="2:8" ht="17.25" thickBot="1">
      <c r="B11">
        <v>8</v>
      </c>
      <c r="C11" s="33" t="s">
        <v>13</v>
      </c>
      <c r="D11" s="5">
        <v>3</v>
      </c>
      <c r="H11" s="36">
        <v>3</v>
      </c>
    </row>
    <row r="12" spans="2:8" ht="17.25" thickBot="1">
      <c r="B12">
        <v>9</v>
      </c>
      <c r="C12" s="33" t="s">
        <v>14</v>
      </c>
      <c r="D12" s="5">
        <f t="shared" ref="D12:D19" si="0">+H12</f>
        <v>54</v>
      </c>
      <c r="H12" s="36">
        <v>54</v>
      </c>
    </row>
    <row r="13" spans="2:8" ht="17.25" thickBot="1">
      <c r="B13">
        <v>10</v>
      </c>
      <c r="C13" s="33" t="s">
        <v>15</v>
      </c>
      <c r="D13" s="5">
        <f t="shared" si="0"/>
        <v>90</v>
      </c>
      <c r="H13" s="36">
        <v>90</v>
      </c>
    </row>
    <row r="14" spans="2:8" ht="17.25" thickBot="1">
      <c r="B14">
        <v>11</v>
      </c>
      <c r="C14" s="33" t="s">
        <v>16</v>
      </c>
      <c r="D14" s="5">
        <f t="shared" si="0"/>
        <v>144</v>
      </c>
      <c r="H14" s="36">
        <v>144</v>
      </c>
    </row>
    <row r="15" spans="2:8" ht="17.25" thickBot="1">
      <c r="B15">
        <v>12</v>
      </c>
      <c r="C15" s="33" t="s">
        <v>93</v>
      </c>
      <c r="D15" s="5" t="str">
        <f t="shared" si="0"/>
        <v>Presencial</v>
      </c>
      <c r="E15" s="45" t="str">
        <f>IF(D15="Presencial","SI","")</f>
        <v>SI</v>
      </c>
      <c r="F15" s="45" t="str">
        <f>IF(D15="Virtual","SI","")</f>
        <v/>
      </c>
      <c r="H15" s="37" t="s">
        <v>19</v>
      </c>
    </row>
    <row r="16" spans="2:8" ht="17.25" thickBot="1">
      <c r="B16">
        <v>13</v>
      </c>
      <c r="C16" s="33" t="s">
        <v>94</v>
      </c>
      <c r="D16" s="5" t="str">
        <f t="shared" si="0"/>
        <v>1. Emprendedoras, 2. Investigativas, 3. Sostenibilidad, 4. Comunicativas. Se menciona el uso de simulaciones, casos reales y proyectos prácticos.+1</v>
      </c>
      <c r="H16" s="35" t="s">
        <v>95</v>
      </c>
    </row>
    <row r="17" spans="2:8" ht="17.25" thickBot="1">
      <c r="B17">
        <v>14</v>
      </c>
      <c r="C17" s="33" t="s">
        <v>26</v>
      </c>
      <c r="D17" s="5" t="str">
        <f t="shared" si="0"/>
        <v>Sumergir a los estudiantes en la gestión de la cadena de suministro global, explorando flujos de información, materiales y finanzas para crear valor y ventajas competitivas, desarrollando habilidades para gestionar cadenas resilientes y sostenibles.</v>
      </c>
      <c r="H17" s="35" t="s">
        <v>96</v>
      </c>
    </row>
    <row r="18" spans="2:8" ht="17.25" thickBot="1">
      <c r="B18">
        <v>15</v>
      </c>
      <c r="C18" s="33" t="s">
        <v>27</v>
      </c>
      <c r="D18" s="5" t="str">
        <f t="shared" si="0"/>
        <v>No se especifica un texto único, pero se enfoca en el diseño, optimización y gestión de cadenas de suministro en entornos en constante evolución.</v>
      </c>
      <c r="H18" s="35" t="s">
        <v>97</v>
      </c>
    </row>
    <row r="19" spans="2:8" ht="17.25" thickBot="1">
      <c r="B19">
        <v>16</v>
      </c>
      <c r="C19" s="33" t="s">
        <v>98</v>
      </c>
      <c r="D19" s="5" t="str">
        <f t="shared" si="0"/>
        <v>No se explicita como ítem separado, pero se orienta a la mejora de la eficiencia operativa y la resiliencia en entornos globales.</v>
      </c>
      <c r="H19" s="35" t="s">
        <v>99</v>
      </c>
    </row>
    <row r="20" spans="2:8" ht="17.25" thickBot="1">
      <c r="B20">
        <v>17</v>
      </c>
      <c r="C20" s="33" t="s">
        <v>100</v>
      </c>
      <c r="D20" s="5" t="str">
        <f>+H20</f>
        <v>Al finalizar el curso, los estudiantes serán capaces de diseñar y optimizar cadenas de suministro integradas, aplicando principios avanzados de logística, tecnologías emergentes y estrategias de sostenibilidad.</v>
      </c>
      <c r="H20" s="35" t="s">
        <v>101</v>
      </c>
    </row>
    <row r="21" spans="2:8" ht="17.25" thickBot="1">
      <c r="B21">
        <v>18</v>
      </c>
      <c r="C21" s="33" t="s">
        <v>102</v>
      </c>
      <c r="D21" s="5"/>
      <c r="H21" s="35" t="s">
        <v>103</v>
      </c>
    </row>
    <row r="22" spans="2:8" ht="17.25" thickBot="1">
      <c r="B22">
        <v>19</v>
      </c>
      <c r="C22" s="33" t="s">
        <v>104</v>
      </c>
      <c r="D22" s="5"/>
      <c r="H22" s="35" t="s">
        <v>105</v>
      </c>
    </row>
    <row r="23" spans="2:8" s="55" customFormat="1" ht="17.25" thickBot="1">
      <c r="B23" s="55">
        <v>20</v>
      </c>
      <c r="C23" s="33" t="s">
        <v>106</v>
      </c>
      <c r="D23" s="56" t="s">
        <v>107</v>
      </c>
      <c r="E23" s="57" t="str">
        <f>IF(D23="4.5 Semanas",H23,"")</f>
        <v/>
      </c>
      <c r="F23" s="57" t="str">
        <f>IF(D23="9 Semanas",H23,"")</f>
        <v>1. Fundamentos de la gestión de la cadena de suministro.2. Diseño y planificación de redes logísticas.3. Gestión de inventarios y demanda.4. Logística y transporte internacional.5. Tecnologías emergentes en la cadena de suministro.6. Gestión de riesgos y resiliencia.7. Sostenibilidad y cadenas de suministro verdes.</v>
      </c>
      <c r="G23" s="57" t="str">
        <f>IF(D23="18 Semanas",H23,"")</f>
        <v/>
      </c>
      <c r="H23" s="58" t="s">
        <v>108</v>
      </c>
    </row>
    <row r="24" spans="2:8" ht="16.5">
      <c r="B24">
        <v>21</v>
      </c>
      <c r="C24" s="33" t="s">
        <v>109</v>
      </c>
      <c r="D24" s="5"/>
      <c r="H24" s="35" t="s">
        <v>110</v>
      </c>
    </row>
    <row r="25" spans="2:8" ht="16.5">
      <c r="B25">
        <v>22</v>
      </c>
      <c r="C25" s="33" t="s">
        <v>111</v>
      </c>
      <c r="D25" s="5" t="str">
        <f t="shared" ref="D25:D34" si="1">+H25</f>
        <v>No se detallan porcentajes por corte, solo se menciona la evaluación constante por actividades. +1</v>
      </c>
      <c r="H25" s="59" t="s">
        <v>112</v>
      </c>
    </row>
    <row r="26" spans="2:8" ht="16.5">
      <c r="B26">
        <v>23</v>
      </c>
      <c r="C26" s="33" t="s">
        <v>52</v>
      </c>
      <c r="D26" s="5" t="str">
        <f t="shared" si="1"/>
        <v>1. Software de diseño y simulación (AnyLogic, Supply Chain Guru).2. Herramientas de visualización (Tableau, Power BI).+13. Plataformas colaborativas (Trello, MS Project).4. Bases de datos internacionales (Panjiva).</v>
      </c>
      <c r="H26" s="35" t="s">
        <v>113</v>
      </c>
    </row>
    <row r="27" spans="2:8" ht="16.5">
      <c r="B27">
        <v>24</v>
      </c>
      <c r="C27" s="33" t="s">
        <v>114</v>
      </c>
      <c r="D27" s="5" t="str">
        <f t="shared" si="1"/>
        <v>Inglés</v>
      </c>
      <c r="H27" s="37" t="s">
        <v>84</v>
      </c>
    </row>
    <row r="28" spans="2:8" ht="17.25" thickBot="1">
      <c r="B28">
        <v>25</v>
      </c>
      <c r="C28" s="33" t="s">
        <v>54</v>
      </c>
      <c r="D28" s="42">
        <f t="shared" si="1"/>
        <v>0.2</v>
      </c>
      <c r="H28" s="38">
        <v>0.2</v>
      </c>
    </row>
    <row r="29" spans="2:8" ht="57" customHeight="1" thickBot="1">
      <c r="B29">
        <v>26</v>
      </c>
      <c r="C29" s="33" t="s">
        <v>56</v>
      </c>
      <c r="D29" s="46" t="str">
        <f t="shared" si="1"/>
        <v>1. Chopra, S., &amp; Meindl, P. (2022). Supply chain management: Strategy, planning, and operation (7th ed.). Pearson..
2. Christopher, M. (2016). Logistics &amp; supply chain management (5th ed.). Pearson..
3. Simchi-Levi, D., Kaminsky, P., &amp; Simchi-Levi, E. (2021). Designing and managing the supply chain: Concepts, strategies, and case studies (4th ed.). McGraw-Hill Education..
4. Jacobs, F. R., &amp; Chase, R. B. (2021). Operations and supply chain management (16th ed.). McGraw-Hill Education.</v>
      </c>
      <c r="E29" s="47" t="str">
        <f>CONCATENATE("Bibliografía Obligatoria",": ",D29)</f>
        <v>Bibliografía Obligatoria: 1. Chopra, S., &amp; Meindl, P. (2022). Supply chain management: Strategy, planning, and operation (7th ed.). Pearson..
2. Christopher, M. (2016). Logistics &amp; supply chain management (5th ed.). Pearson..
3. Simchi-Levi, D., Kaminsky, P., &amp; Simchi-Levi, E. (2021). Designing and managing the supply chain: Concepts, strategies, and case studies (4th ed.). McGraw-Hill Education..
4. Jacobs, F. R., &amp; Chase, R. B. (2021). Operations and supply chain management (16th ed.). McGraw-Hill Education.</v>
      </c>
      <c r="H29" s="53" t="s">
        <v>115</v>
      </c>
    </row>
    <row r="30" spans="2:8" ht="56.25" customHeight="1" thickBot="1">
      <c r="B30">
        <v>27</v>
      </c>
      <c r="C30" s="33" t="s">
        <v>57</v>
      </c>
      <c r="D30" s="46" t="str">
        <f t="shared" si="1"/>
        <v>1. Mangan, J., Lalwani, C., &amp; Lalwani, C. L. (2016). Global logistics and supply chain management (3rd ed.). John Wiley &amp; Sons..
2. Stadtler, H., Kilger, C., &amp; Meyr, H. (Eds.). (2015). Supply chain management and advanced planning: Concepts, models, software, and case studies (5th ed.). Springer..
3. Bowersox, D. J., Closs, D. J., &amp; Cooper, M. B. (2012). Supply chain logistics management (4th ed.). McGraw-Hill Education.
4. Handfield, R. B., &amp; Nichols, E. L. (2022). Introduction to supply chain management (3rd ed.). Pearson.</v>
      </c>
      <c r="E30" s="47" t="str">
        <f>CONCATENATE("Bibliografía Complementaria",": ",D30)</f>
        <v>Bibliografía Complementaria: 1. Mangan, J., Lalwani, C., &amp; Lalwani, C. L. (2016). Global logistics and supply chain management (3rd ed.). John Wiley &amp; Sons..
2. Stadtler, H., Kilger, C., &amp; Meyr, H. (Eds.). (2015). Supply chain management and advanced planning: Concepts, models, software, and case studies (5th ed.). Springer..
3. Bowersox, D. J., Closs, D. J., &amp; Cooper, M. B. (2012). Supply chain logistics management (4th ed.). McGraw-Hill Education.
4. Handfield, R. B., &amp; Nichols, E. L. (2022). Introduction to supply chain management (3rd ed.). Pearson.</v>
      </c>
      <c r="H30" s="53" t="s">
        <v>116</v>
      </c>
    </row>
    <row r="31" spans="2:8" ht="17.25" thickBot="1">
      <c r="B31">
        <v>28</v>
      </c>
      <c r="C31" s="33" t="s">
        <v>117</v>
      </c>
      <c r="D31" s="5">
        <f t="shared" si="1"/>
        <v>0</v>
      </c>
      <c r="H31" s="36">
        <v>0</v>
      </c>
    </row>
    <row r="32" spans="2:8" ht="16.5">
      <c r="B32">
        <v>29</v>
      </c>
      <c r="C32" s="33" t="s">
        <v>60</v>
      </c>
      <c r="D32" s="44">
        <f>+H32</f>
        <v>46072</v>
      </c>
      <c r="H32" s="39">
        <v>46072</v>
      </c>
    </row>
    <row r="33" spans="2:8" ht="16.5">
      <c r="B33">
        <v>30</v>
      </c>
      <c r="C33" s="33" t="s">
        <v>118</v>
      </c>
      <c r="D33" s="5" t="str">
        <f>+H33</f>
        <v>Diana Figueroa</v>
      </c>
      <c r="H33" s="5" t="s">
        <v>119</v>
      </c>
    </row>
    <row r="34" spans="2:8" ht="16.5">
      <c r="B34">
        <v>31</v>
      </c>
      <c r="C34" s="33" t="s">
        <v>62</v>
      </c>
      <c r="D34" s="5" t="str">
        <f>+H34</f>
        <v>Mauricio Bolívar</v>
      </c>
      <c r="H34" s="5" t="s">
        <v>120</v>
      </c>
    </row>
    <row r="35" spans="2:8" ht="16.5">
      <c r="B35">
        <v>32</v>
      </c>
      <c r="C35" s="33" t="s">
        <v>63</v>
      </c>
      <c r="D35" s="34" t="str">
        <f>+H35</f>
        <v>Jose Divitt Velosa</v>
      </c>
      <c r="H35" s="34" t="s">
        <v>121</v>
      </c>
    </row>
    <row r="36" spans="2:8" ht="16.5">
      <c r="B36">
        <v>33</v>
      </c>
      <c r="C36" s="33" t="s">
        <v>64</v>
      </c>
      <c r="D36" s="5" t="str">
        <f>+H36</f>
        <v>Nueva malla</v>
      </c>
      <c r="H36" s="37" t="s">
        <v>122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2F58610-8BE9-400B-B5E3-930E48F074A0}">
          <x14:formula1>
            <xm:f>'Formato Syllabus_NV (2)'!$B$19:$I$19</xm:f>
          </x14:formula1>
          <xm:sqref>D23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1957B-297E-4F19-9D84-F00DA66C04FE}">
  <dimension ref="B1:I50"/>
  <sheetViews>
    <sheetView tabSelected="1" topLeftCell="A7" zoomScaleNormal="100" workbookViewId="0">
      <selection activeCell="D13" sqref="D13:I13"/>
    </sheetView>
  </sheetViews>
  <sheetFormatPr defaultColWidth="10.85546875" defaultRowHeight="15"/>
  <cols>
    <col min="1" max="1" width="3.140625" style="11" customWidth="1"/>
    <col min="2" max="2" width="14.28515625" style="11" customWidth="1"/>
    <col min="3" max="3" width="14" style="11" customWidth="1"/>
    <col min="4" max="4" width="12.28515625" style="11" customWidth="1"/>
    <col min="5" max="5" width="10.140625" style="11" customWidth="1"/>
    <col min="6" max="6" width="10.85546875" style="11"/>
    <col min="7" max="7" width="12.28515625" style="11" customWidth="1"/>
    <col min="8" max="8" width="9.85546875" style="11" customWidth="1"/>
    <col min="9" max="9" width="16.7109375" style="11" customWidth="1"/>
    <col min="10" max="16384" width="10.85546875" style="11"/>
  </cols>
  <sheetData>
    <row r="1" spans="2:9" ht="15.75" thickBot="1">
      <c r="C1" s="12"/>
      <c r="D1" s="12"/>
      <c r="E1" s="12"/>
      <c r="F1" s="12"/>
      <c r="G1" s="12"/>
      <c r="H1" s="12"/>
    </row>
    <row r="2" spans="2:9" ht="22.5" customHeight="1" thickTop="1">
      <c r="B2" s="62"/>
      <c r="C2" s="64" t="s">
        <v>0</v>
      </c>
      <c r="D2" s="64"/>
      <c r="E2" s="64"/>
      <c r="F2" s="64"/>
      <c r="G2" s="64"/>
      <c r="H2" s="64"/>
      <c r="I2" s="6" t="s">
        <v>123</v>
      </c>
    </row>
    <row r="3" spans="2:9" ht="20.25" customHeight="1">
      <c r="B3" s="63"/>
      <c r="C3" s="65"/>
      <c r="D3" s="65"/>
      <c r="E3" s="65"/>
      <c r="F3" s="65"/>
      <c r="G3" s="65"/>
      <c r="H3" s="65"/>
      <c r="I3" s="7" t="s">
        <v>2</v>
      </c>
    </row>
    <row r="4" spans="2:9" ht="21" customHeight="1" thickBot="1">
      <c r="B4" s="66" t="s">
        <v>3</v>
      </c>
      <c r="C4" s="67"/>
      <c r="D4" s="67"/>
      <c r="E4" s="67"/>
      <c r="F4" s="67"/>
      <c r="G4" s="67"/>
      <c r="H4" s="67"/>
      <c r="I4" s="8" t="s">
        <v>124</v>
      </c>
    </row>
    <row r="5" spans="2:9" ht="16.5" thickTop="1" thickBot="1">
      <c r="B5" s="186"/>
      <c r="C5" s="186"/>
      <c r="D5" s="186"/>
      <c r="E5" s="186"/>
      <c r="F5" s="186"/>
      <c r="G5" s="186"/>
      <c r="H5" s="186"/>
      <c r="I5" s="186"/>
    </row>
    <row r="6" spans="2:9">
      <c r="B6" s="187" t="s">
        <v>5</v>
      </c>
      <c r="C6" s="188"/>
      <c r="D6" s="188"/>
      <c r="E6" s="188"/>
      <c r="F6" s="188"/>
      <c r="G6" s="188"/>
      <c r="H6" s="188"/>
      <c r="I6" s="189"/>
    </row>
    <row r="7" spans="2:9" ht="60">
      <c r="B7" s="26" t="s">
        <v>6</v>
      </c>
      <c r="C7" s="1">
        <f>+Hoja1!D4</f>
        <v>2026</v>
      </c>
      <c r="D7" s="2" t="s">
        <v>7</v>
      </c>
      <c r="E7" s="48" t="str">
        <f>+Hoja1!D5</f>
        <v>PFVINIBOG002</v>
      </c>
      <c r="F7" s="2" t="s">
        <v>8</v>
      </c>
      <c r="G7" s="41" t="str">
        <f>+Hoja1!D6</f>
        <v>IFVN0021</v>
      </c>
      <c r="H7" s="2" t="s">
        <v>9</v>
      </c>
      <c r="I7" s="27" t="str">
        <f>+Hoja1!D7</f>
        <v>Nuclear</v>
      </c>
    </row>
    <row r="8" spans="2:9" ht="30">
      <c r="B8" s="26" t="s">
        <v>125</v>
      </c>
      <c r="C8" s="3" t="s">
        <v>19</v>
      </c>
      <c r="D8" s="2" t="str">
        <f>+Hoja1!E15</f>
        <v>SI</v>
      </c>
      <c r="E8" s="3" t="s">
        <v>20</v>
      </c>
      <c r="F8" s="2" t="str">
        <f>+Hoja1!F15</f>
        <v/>
      </c>
      <c r="G8" s="2" t="s">
        <v>126</v>
      </c>
      <c r="H8" s="184"/>
      <c r="I8" s="185"/>
    </row>
    <row r="9" spans="2:9" ht="45">
      <c r="B9" s="28" t="s">
        <v>127</v>
      </c>
      <c r="C9" s="25" t="s">
        <v>128</v>
      </c>
      <c r="D9" s="3" t="s">
        <v>65</v>
      </c>
      <c r="E9" s="182" t="str">
        <f>+Hoja1!D9</f>
        <v>Ingeniería Industrial</v>
      </c>
      <c r="F9" s="182"/>
      <c r="G9" s="2" t="s">
        <v>12</v>
      </c>
      <c r="H9" s="182" t="str">
        <f>+Hoja1!D10</f>
        <v>Gestión de la cadena de suministro</v>
      </c>
      <c r="I9" s="183"/>
    </row>
    <row r="10" spans="2:9" ht="30.75" thickBot="1">
      <c r="B10" s="29" t="s">
        <v>13</v>
      </c>
      <c r="C10" s="31">
        <f>+Hoja1!D11</f>
        <v>3</v>
      </c>
      <c r="D10" s="30" t="s">
        <v>14</v>
      </c>
      <c r="E10" s="31">
        <f>+Hoja1!D12</f>
        <v>54</v>
      </c>
      <c r="F10" s="30" t="s">
        <v>15</v>
      </c>
      <c r="G10" s="31">
        <f>+Hoja1!D13</f>
        <v>90</v>
      </c>
      <c r="H10" s="30" t="s">
        <v>16</v>
      </c>
      <c r="I10" s="32">
        <f>E10+G10</f>
        <v>144</v>
      </c>
    </row>
    <row r="11" spans="2:9">
      <c r="B11" s="99" t="s">
        <v>129</v>
      </c>
      <c r="C11" s="100"/>
      <c r="D11" s="100"/>
      <c r="E11" s="100"/>
      <c r="F11" s="100"/>
      <c r="G11" s="100"/>
      <c r="H11" s="100"/>
      <c r="I11" s="101"/>
    </row>
    <row r="12" spans="2:9" ht="37.5" customHeight="1">
      <c r="B12" s="181" t="s">
        <v>130</v>
      </c>
      <c r="C12" s="76"/>
      <c r="D12" s="178" t="str">
        <f>+Hoja1!D17</f>
        <v>Sumergir a los estudiantes en la gestión de la cadena de suministro global, explorando flujos de información, materiales y finanzas para crear valor y ventajas competitivas, desarrollando habilidades para gestionar cadenas resilientes y sostenibles.</v>
      </c>
      <c r="E12" s="179"/>
      <c r="F12" s="179"/>
      <c r="G12" s="179"/>
      <c r="H12" s="179"/>
      <c r="I12" s="180"/>
    </row>
    <row r="13" spans="2:9" ht="35.25" customHeight="1">
      <c r="B13" s="176" t="s">
        <v>131</v>
      </c>
      <c r="C13" s="177"/>
      <c r="D13" s="178" t="str">
        <f>+Hoja1!D20</f>
        <v>Al finalizar el curso, los estudiantes serán capaces de diseñar y optimizar cadenas de suministro integradas, aplicando principios avanzados de logística, tecnologías emergentes y estrategias de sostenibilidad.</v>
      </c>
      <c r="E13" s="179"/>
      <c r="F13" s="179"/>
      <c r="G13" s="179"/>
      <c r="H13" s="179"/>
      <c r="I13" s="180"/>
    </row>
    <row r="14" spans="2:9">
      <c r="B14" s="99" t="s">
        <v>132</v>
      </c>
      <c r="C14" s="100"/>
      <c r="D14" s="100"/>
      <c r="E14" s="100"/>
      <c r="F14" s="100"/>
      <c r="G14" s="100"/>
      <c r="H14" s="100"/>
      <c r="I14" s="101"/>
    </row>
    <row r="15" spans="2:9">
      <c r="B15" s="141" t="s">
        <v>133</v>
      </c>
      <c r="C15" s="60"/>
      <c r="D15" s="60"/>
      <c r="E15" s="60"/>
      <c r="F15" s="60"/>
      <c r="G15" s="60"/>
      <c r="H15" s="60"/>
      <c r="I15" s="96"/>
    </row>
    <row r="16" spans="2:9">
      <c r="B16" s="141"/>
      <c r="C16" s="60"/>
      <c r="D16" s="60"/>
      <c r="E16" s="60"/>
      <c r="F16" s="60"/>
      <c r="G16" s="60"/>
      <c r="H16" s="60"/>
      <c r="I16" s="96"/>
    </row>
    <row r="17" spans="2:9" ht="15.75" thickBot="1">
      <c r="B17" s="142"/>
      <c r="C17" s="143"/>
      <c r="D17" s="143"/>
      <c r="E17" s="143"/>
      <c r="F17" s="143"/>
      <c r="G17" s="143"/>
      <c r="H17" s="143"/>
      <c r="I17" s="144"/>
    </row>
    <row r="18" spans="2:9" ht="15.75" thickBot="1">
      <c r="B18" s="160" t="s">
        <v>134</v>
      </c>
      <c r="C18" s="161"/>
      <c r="D18" s="161"/>
      <c r="E18" s="161"/>
      <c r="F18" s="161"/>
      <c r="G18" s="161"/>
      <c r="H18" s="161"/>
      <c r="I18" s="162"/>
    </row>
    <row r="19" spans="2:9">
      <c r="B19" s="17" t="s">
        <v>135</v>
      </c>
      <c r="C19" s="18" t="s">
        <v>136</v>
      </c>
      <c r="D19" s="17" t="s">
        <v>137</v>
      </c>
      <c r="E19" s="165" t="s">
        <v>107</v>
      </c>
      <c r="F19" s="166"/>
      <c r="G19" s="19" t="s">
        <v>138</v>
      </c>
      <c r="H19" s="163" t="s">
        <v>139</v>
      </c>
      <c r="I19" s="164"/>
    </row>
    <row r="20" spans="2:9">
      <c r="B20" s="154" t="str">
        <f>+Hoja1!E23</f>
        <v/>
      </c>
      <c r="C20" s="155"/>
      <c r="D20" s="145" t="str">
        <f>+Hoja1!F23</f>
        <v>1. Fundamentos de la gestión de la cadena de suministro.2. Diseño y planificación de redes logísticas.3. Gestión de inventarios y demanda.4. Logística y transporte internacional.5. Tecnologías emergentes en la cadena de suministro.6. Gestión de riesgos y resiliencia.7. Sostenibilidad y cadenas de suministro verdes.</v>
      </c>
      <c r="E20" s="146"/>
      <c r="F20" s="147"/>
      <c r="G20" s="167" t="str">
        <f>+Hoja1!G23</f>
        <v/>
      </c>
      <c r="H20" s="168"/>
      <c r="I20" s="169"/>
    </row>
    <row r="21" spans="2:9">
      <c r="B21" s="156"/>
      <c r="C21" s="157"/>
      <c r="D21" s="148"/>
      <c r="E21" s="149"/>
      <c r="F21" s="150"/>
      <c r="G21" s="170"/>
      <c r="H21" s="171"/>
      <c r="I21" s="172"/>
    </row>
    <row r="22" spans="2:9">
      <c r="B22" s="156"/>
      <c r="C22" s="157"/>
      <c r="D22" s="148"/>
      <c r="E22" s="149"/>
      <c r="F22" s="150"/>
      <c r="G22" s="170"/>
      <c r="H22" s="171"/>
      <c r="I22" s="172"/>
    </row>
    <row r="23" spans="2:9">
      <c r="B23" s="156"/>
      <c r="C23" s="157"/>
      <c r="D23" s="148"/>
      <c r="E23" s="149"/>
      <c r="F23" s="150"/>
      <c r="G23" s="170"/>
      <c r="H23" s="171"/>
      <c r="I23" s="172"/>
    </row>
    <row r="24" spans="2:9">
      <c r="B24" s="156"/>
      <c r="C24" s="157"/>
      <c r="D24" s="148"/>
      <c r="E24" s="149"/>
      <c r="F24" s="150"/>
      <c r="G24" s="170"/>
      <c r="H24" s="171"/>
      <c r="I24" s="172"/>
    </row>
    <row r="25" spans="2:9">
      <c r="B25" s="156"/>
      <c r="C25" s="157"/>
      <c r="D25" s="148"/>
      <c r="E25" s="149"/>
      <c r="F25" s="150"/>
      <c r="G25" s="170"/>
      <c r="H25" s="171"/>
      <c r="I25" s="172"/>
    </row>
    <row r="26" spans="2:9">
      <c r="B26" s="158"/>
      <c r="C26" s="159"/>
      <c r="D26" s="151"/>
      <c r="E26" s="152"/>
      <c r="F26" s="153"/>
      <c r="G26" s="173"/>
      <c r="H26" s="174"/>
      <c r="I26" s="175"/>
    </row>
    <row r="27" spans="2:9" ht="15.75" thickBot="1">
      <c r="B27" s="105" t="s">
        <v>140</v>
      </c>
      <c r="C27" s="106"/>
      <c r="D27" s="106"/>
      <c r="E27" s="106"/>
      <c r="F27" s="106"/>
      <c r="G27" s="106"/>
      <c r="H27" s="106"/>
      <c r="I27" s="107"/>
    </row>
    <row r="28" spans="2:9" ht="14.45" customHeight="1">
      <c r="B28" s="117" t="str">
        <f>+Hoja1!D25</f>
        <v>No se detallan porcentajes por corte, solo se menciona la evaluación constante por actividades. +1</v>
      </c>
      <c r="C28" s="118"/>
      <c r="D28" s="118"/>
      <c r="E28" s="118"/>
      <c r="F28" s="118"/>
      <c r="G28" s="118"/>
      <c r="H28" s="118"/>
      <c r="I28" s="119"/>
    </row>
    <row r="29" spans="2:9">
      <c r="B29" s="120"/>
      <c r="C29" s="121"/>
      <c r="D29" s="121"/>
      <c r="E29" s="121"/>
      <c r="F29" s="121"/>
      <c r="G29" s="121"/>
      <c r="H29" s="121"/>
      <c r="I29" s="122"/>
    </row>
    <row r="30" spans="2:9">
      <c r="B30" s="120"/>
      <c r="C30" s="121"/>
      <c r="D30" s="121"/>
      <c r="E30" s="121"/>
      <c r="F30" s="121"/>
      <c r="G30" s="121"/>
      <c r="H30" s="121"/>
      <c r="I30" s="122"/>
    </row>
    <row r="31" spans="2:9">
      <c r="B31" s="120"/>
      <c r="C31" s="121"/>
      <c r="D31" s="121"/>
      <c r="E31" s="121"/>
      <c r="F31" s="121"/>
      <c r="G31" s="121"/>
      <c r="H31" s="121"/>
      <c r="I31" s="122"/>
    </row>
    <row r="32" spans="2:9" ht="15.75" thickBot="1">
      <c r="B32" s="123"/>
      <c r="C32" s="124"/>
      <c r="D32" s="124"/>
      <c r="E32" s="124"/>
      <c r="F32" s="124"/>
      <c r="G32" s="124"/>
      <c r="H32" s="124"/>
      <c r="I32" s="125"/>
    </row>
    <row r="33" spans="2:9" ht="34.5" customHeight="1" thickBot="1">
      <c r="B33" s="111" t="s">
        <v>141</v>
      </c>
      <c r="C33" s="112"/>
      <c r="D33" s="112"/>
      <c r="E33" s="113"/>
      <c r="F33" s="114" t="str">
        <f>+Hoja1!D26</f>
        <v>1. Software de diseño y simulación (AnyLogic, Supply Chain Guru).2. Herramientas de visualización (Tableau, Power BI).+13. Plataformas colaborativas (Trello, MS Project).4. Bases de datos internacionales (Panjiva).</v>
      </c>
      <c r="G33" s="115"/>
      <c r="H33" s="115"/>
      <c r="I33" s="116"/>
    </row>
    <row r="34" spans="2:9" ht="15.75" thickBot="1">
      <c r="B34" s="108" t="s">
        <v>142</v>
      </c>
      <c r="C34" s="109"/>
      <c r="D34" s="109"/>
      <c r="E34" s="109"/>
      <c r="F34" s="110" t="s">
        <v>84</v>
      </c>
      <c r="G34" s="110"/>
      <c r="H34" s="20" t="s">
        <v>54</v>
      </c>
      <c r="I34" s="43">
        <f>+Hoja1!D28</f>
        <v>0.2</v>
      </c>
    </row>
    <row r="35" spans="2:9">
      <c r="B35" s="99" t="s">
        <v>143</v>
      </c>
      <c r="C35" s="100"/>
      <c r="D35" s="100"/>
      <c r="E35" s="100"/>
      <c r="F35" s="100"/>
      <c r="G35" s="100"/>
      <c r="H35" s="100"/>
      <c r="I35" s="101"/>
    </row>
    <row r="36" spans="2:9" ht="14.45" customHeight="1">
      <c r="B36" s="126" t="str">
        <f>+Hoja1!E29</f>
        <v>Bibliografía Obligatoria: 1. Chopra, S., &amp; Meindl, P. (2022). Supply chain management: Strategy, planning, and operation (7th ed.). Pearson..
2. Christopher, M. (2016). Logistics &amp; supply chain management (5th ed.). Pearson..
3. Simchi-Levi, D., Kaminsky, P., &amp; Simchi-Levi, E. (2021). Designing and managing the supply chain: Concepts, strategies, and case studies (4th ed.). McGraw-Hill Education..
4. Jacobs, F. R., &amp; Chase, R. B. (2021). Operations and supply chain management (16th ed.). McGraw-Hill Education.</v>
      </c>
      <c r="C36" s="127"/>
      <c r="D36" s="127"/>
      <c r="E36" s="128"/>
      <c r="F36" s="135" t="str">
        <f>+Hoja1!E30</f>
        <v>Bibliografía Complementaria: 1. Mangan, J., Lalwani, C., &amp; Lalwani, C. L. (2016). Global logistics and supply chain management (3rd ed.). John Wiley &amp; Sons..
2. Stadtler, H., Kilger, C., &amp; Meyr, H. (Eds.). (2015). Supply chain management and advanced planning: Concepts, models, software, and case studies (5th ed.). Springer..
3. Bowersox, D. J., Closs, D. J., &amp; Cooper, M. B. (2012). Supply chain logistics management (4th ed.). McGraw-Hill Education.
4. Handfield, R. B., &amp; Nichols, E. L. (2022). Introduction to supply chain management (3rd ed.). Pearson.</v>
      </c>
      <c r="G36" s="127"/>
      <c r="H36" s="127"/>
      <c r="I36" s="136"/>
    </row>
    <row r="37" spans="2:9">
      <c r="B37" s="129"/>
      <c r="C37" s="130"/>
      <c r="D37" s="130"/>
      <c r="E37" s="131"/>
      <c r="F37" s="137"/>
      <c r="G37" s="130"/>
      <c r="H37" s="130"/>
      <c r="I37" s="138"/>
    </row>
    <row r="38" spans="2:9">
      <c r="B38" s="129"/>
      <c r="C38" s="130"/>
      <c r="D38" s="130"/>
      <c r="E38" s="131"/>
      <c r="F38" s="137"/>
      <c r="G38" s="130"/>
      <c r="H38" s="130"/>
      <c r="I38" s="138"/>
    </row>
    <row r="39" spans="2:9">
      <c r="B39" s="129"/>
      <c r="C39" s="130"/>
      <c r="D39" s="130"/>
      <c r="E39" s="131"/>
      <c r="F39" s="137"/>
      <c r="G39" s="130"/>
      <c r="H39" s="130"/>
      <c r="I39" s="138"/>
    </row>
    <row r="40" spans="2:9">
      <c r="B40" s="129"/>
      <c r="C40" s="130"/>
      <c r="D40" s="130"/>
      <c r="E40" s="131"/>
      <c r="F40" s="137"/>
      <c r="G40" s="130"/>
      <c r="H40" s="130"/>
      <c r="I40" s="138"/>
    </row>
    <row r="41" spans="2:9">
      <c r="B41" s="129"/>
      <c r="C41" s="130"/>
      <c r="D41" s="130"/>
      <c r="E41" s="131"/>
      <c r="F41" s="137"/>
      <c r="G41" s="130"/>
      <c r="H41" s="130"/>
      <c r="I41" s="138"/>
    </row>
    <row r="42" spans="2:9" ht="97.5" customHeight="1" thickBot="1">
      <c r="B42" s="132"/>
      <c r="C42" s="133"/>
      <c r="D42" s="133"/>
      <c r="E42" s="134"/>
      <c r="F42" s="139"/>
      <c r="G42" s="133"/>
      <c r="H42" s="133"/>
      <c r="I42" s="140"/>
    </row>
    <row r="43" spans="2:9">
      <c r="B43" s="99" t="s">
        <v>144</v>
      </c>
      <c r="C43" s="100"/>
      <c r="D43" s="100"/>
      <c r="E43" s="100"/>
      <c r="F43" s="100"/>
      <c r="G43" s="100"/>
      <c r="H43" s="100"/>
      <c r="I43" s="101"/>
    </row>
    <row r="44" spans="2:9">
      <c r="B44" s="21" t="s">
        <v>59</v>
      </c>
      <c r="C44" s="9" t="s">
        <v>60</v>
      </c>
      <c r="D44" s="9" t="s">
        <v>118</v>
      </c>
      <c r="E44" s="9" t="s">
        <v>62</v>
      </c>
      <c r="F44" s="9" t="s">
        <v>63</v>
      </c>
      <c r="G44" s="61" t="s">
        <v>64</v>
      </c>
      <c r="H44" s="61"/>
      <c r="I44" s="102"/>
    </row>
    <row r="45" spans="2:9" ht="24.75">
      <c r="B45" s="50">
        <v>2</v>
      </c>
      <c r="C45" s="51">
        <f>+Hoja1!D32</f>
        <v>46072</v>
      </c>
      <c r="D45" s="52" t="str">
        <f>+Hoja1!D33</f>
        <v>Diana Figueroa</v>
      </c>
      <c r="E45" s="52" t="str">
        <f>+Hoja1!D34</f>
        <v>Mauricio Bolívar</v>
      </c>
      <c r="F45" s="52" t="str">
        <f>+Hoja1!D35</f>
        <v>Jose Divitt Velosa</v>
      </c>
      <c r="G45" s="103" t="str">
        <f>+Hoja1!D36</f>
        <v>Nueva malla</v>
      </c>
      <c r="H45" s="103"/>
      <c r="I45" s="104"/>
    </row>
    <row r="46" spans="2:9">
      <c r="B46" s="22"/>
      <c r="C46" s="10"/>
      <c r="D46" s="10"/>
      <c r="E46" s="10"/>
      <c r="F46" s="10"/>
      <c r="G46" s="60"/>
      <c r="H46" s="60"/>
      <c r="I46" s="96"/>
    </row>
    <row r="47" spans="2:9">
      <c r="B47" s="22"/>
      <c r="C47" s="10"/>
      <c r="D47" s="10"/>
      <c r="E47" s="10"/>
      <c r="F47" s="10"/>
      <c r="G47" s="60"/>
      <c r="H47" s="60"/>
      <c r="I47" s="96"/>
    </row>
    <row r="48" spans="2:9">
      <c r="B48" s="22"/>
      <c r="C48" s="10"/>
      <c r="D48" s="10"/>
      <c r="E48" s="10"/>
      <c r="F48" s="10"/>
      <c r="G48" s="60"/>
      <c r="H48" s="60"/>
      <c r="I48" s="96"/>
    </row>
    <row r="49" spans="2:9">
      <c r="B49" s="22"/>
      <c r="C49" s="10"/>
      <c r="D49" s="10"/>
      <c r="E49" s="10"/>
      <c r="F49" s="10"/>
      <c r="G49" s="60"/>
      <c r="H49" s="60"/>
      <c r="I49" s="96"/>
    </row>
    <row r="50" spans="2:9" ht="15.75" thickBot="1">
      <c r="B50" s="23"/>
      <c r="C50" s="24"/>
      <c r="D50" s="24"/>
      <c r="E50" s="24"/>
      <c r="F50" s="24"/>
      <c r="G50" s="97"/>
      <c r="H50" s="97"/>
      <c r="I50" s="98"/>
    </row>
  </sheetData>
  <mergeCells count="38">
    <mergeCell ref="E9:F9"/>
    <mergeCell ref="H9:I9"/>
    <mergeCell ref="H8:I8"/>
    <mergeCell ref="B2:B3"/>
    <mergeCell ref="C2:H3"/>
    <mergeCell ref="B4:H4"/>
    <mergeCell ref="B5:I5"/>
    <mergeCell ref="B6:I6"/>
    <mergeCell ref="B14:I14"/>
    <mergeCell ref="B15:I17"/>
    <mergeCell ref="D20:F26"/>
    <mergeCell ref="B20:C26"/>
    <mergeCell ref="B11:I11"/>
    <mergeCell ref="B18:I18"/>
    <mergeCell ref="H19:I19"/>
    <mergeCell ref="E19:F19"/>
    <mergeCell ref="G20:I26"/>
    <mergeCell ref="B13:C13"/>
    <mergeCell ref="D13:I13"/>
    <mergeCell ref="B12:C12"/>
    <mergeCell ref="D12:I12"/>
    <mergeCell ref="B43:I43"/>
    <mergeCell ref="G44:I44"/>
    <mergeCell ref="G45:I45"/>
    <mergeCell ref="B27:I27"/>
    <mergeCell ref="B34:E34"/>
    <mergeCell ref="F34:G34"/>
    <mergeCell ref="B35:I35"/>
    <mergeCell ref="B33:E33"/>
    <mergeCell ref="F33:I33"/>
    <mergeCell ref="B28:I32"/>
    <mergeCell ref="B36:E42"/>
    <mergeCell ref="F36:I42"/>
    <mergeCell ref="G46:I46"/>
    <mergeCell ref="G47:I47"/>
    <mergeCell ref="G48:I48"/>
    <mergeCell ref="G49:I49"/>
    <mergeCell ref="G50:I50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BB02B7FE-A6F3-4828-B106-42DB915DD00A}">
          <x14:formula1>
            <xm:f>Parámetros!$A$1:$A$5</xm:f>
          </x14:formula1>
          <xm:sqref>I7</xm:sqref>
        </x14:dataValidation>
        <x14:dataValidation type="list" allowBlank="1" showInputMessage="1" showErrorMessage="1" xr:uid="{09F1CE74-79EA-428D-B8DD-A75959396C8D}">
          <x14:formula1>
            <xm:f>Parámetros!$H$1:$H$2</xm:f>
          </x14:formula1>
          <xm:sqref>C9</xm:sqref>
        </x14:dataValidation>
        <x14:dataValidation type="list" allowBlank="1" showInputMessage="1" showErrorMessage="1" xr:uid="{A1452186-1DE0-47B4-93DE-38D9A4305F08}">
          <x14:formula1>
            <xm:f>Parámetros!$C$1:$C$6</xm:f>
          </x14:formula1>
          <xm:sqref>C10</xm:sqref>
        </x14:dataValidation>
        <x14:dataValidation type="list" allowBlank="1" showInputMessage="1" showErrorMessage="1" xr:uid="{B4926E9E-E4E5-4DBE-8B41-438D74B9E471}">
          <x14:formula1>
            <xm:f>Parámetros!$D$1:$D$15</xm:f>
          </x14:formula1>
          <xm:sqref>E10</xm:sqref>
        </x14:dataValidation>
        <x14:dataValidation type="list" allowBlank="1" showInputMessage="1" showErrorMessage="1" xr:uid="{1616B918-DC41-4C04-8057-249260ACBD05}">
          <x14:formula1>
            <xm:f>Parámetros!$E$1:$E$15</xm:f>
          </x14:formula1>
          <xm:sqref>G10</xm:sqref>
        </x14:dataValidation>
        <x14:dataValidation type="list" allowBlank="1" showInputMessage="1" showErrorMessage="1" xr:uid="{79807E7B-16F4-4CB9-B261-CF1BFF1861D0}">
          <x14:formula1>
            <xm:f>Parámetros!$F$1:$F$5</xm:f>
          </x14:formula1>
          <xm:sqref>F34:G34</xm:sqref>
        </x14:dataValidation>
        <x14:dataValidation type="list" allowBlank="1" showInputMessage="1" showErrorMessage="1" xr:uid="{3DB6559C-2411-49F6-B036-576940BCEE3F}">
          <x14:formula1>
            <xm:f>Parámetros!$G$1:$G$10</xm:f>
          </x14:formula1>
          <xm:sqref>I34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079CB-E76F-47AD-AC84-85CF607557E3}">
  <dimension ref="A1:H25"/>
  <sheetViews>
    <sheetView workbookViewId="0">
      <selection activeCell="D2" sqref="D2"/>
    </sheetView>
  </sheetViews>
  <sheetFormatPr defaultColWidth="10.85546875" defaultRowHeight="15"/>
  <cols>
    <col min="1" max="1" width="16.85546875" style="11" bestFit="1" customWidth="1"/>
    <col min="2" max="2" width="18.140625" style="11" bestFit="1" customWidth="1"/>
    <col min="3" max="3" width="1.85546875" style="11" bestFit="1" customWidth="1"/>
    <col min="4" max="5" width="3.85546875" style="11" bestFit="1" customWidth="1"/>
    <col min="6" max="6" width="9.140625" style="11" bestFit="1" customWidth="1"/>
    <col min="7" max="7" width="5.28515625" style="11" bestFit="1" customWidth="1"/>
    <col min="8" max="16384" width="10.85546875" style="11"/>
  </cols>
  <sheetData>
    <row r="1" spans="1:8">
      <c r="A1" s="11" t="s">
        <v>88</v>
      </c>
      <c r="B1" s="11" t="s">
        <v>145</v>
      </c>
      <c r="C1" s="11">
        <v>2</v>
      </c>
      <c r="D1" s="11">
        <v>36</v>
      </c>
      <c r="E1" s="11">
        <v>60</v>
      </c>
      <c r="F1" s="11" t="s">
        <v>84</v>
      </c>
      <c r="G1" s="13">
        <v>0.1</v>
      </c>
      <c r="H1" s="11" t="s">
        <v>146</v>
      </c>
    </row>
    <row r="2" spans="1:8">
      <c r="A2" s="11" t="s">
        <v>147</v>
      </c>
      <c r="B2" s="11" t="s">
        <v>148</v>
      </c>
      <c r="C2" s="11">
        <v>3</v>
      </c>
      <c r="D2" s="11">
        <v>54</v>
      </c>
      <c r="E2" s="11">
        <v>90</v>
      </c>
      <c r="F2" s="11" t="s">
        <v>149</v>
      </c>
      <c r="G2" s="13">
        <v>0.2</v>
      </c>
      <c r="H2" s="11" t="s">
        <v>128</v>
      </c>
    </row>
    <row r="3" spans="1:8">
      <c r="A3" s="11" t="s">
        <v>150</v>
      </c>
      <c r="B3" s="11" t="s">
        <v>151</v>
      </c>
      <c r="C3" s="11">
        <v>4</v>
      </c>
      <c r="D3" s="11">
        <v>72</v>
      </c>
      <c r="E3" s="11">
        <v>120</v>
      </c>
      <c r="F3" s="11" t="s">
        <v>152</v>
      </c>
      <c r="G3" s="13">
        <v>0.3</v>
      </c>
    </row>
    <row r="4" spans="1:8">
      <c r="A4" s="11" t="s">
        <v>153</v>
      </c>
      <c r="B4" s="11" t="s">
        <v>154</v>
      </c>
      <c r="C4" s="11">
        <v>5</v>
      </c>
      <c r="D4" s="11">
        <v>90</v>
      </c>
      <c r="E4" s="11">
        <v>102</v>
      </c>
      <c r="F4" s="11" t="s">
        <v>155</v>
      </c>
      <c r="G4" s="13">
        <v>0.4</v>
      </c>
    </row>
    <row r="5" spans="1:8">
      <c r="A5" s="11" t="s">
        <v>156</v>
      </c>
      <c r="B5" s="11" t="s">
        <v>157</v>
      </c>
      <c r="C5" s="11">
        <v>6</v>
      </c>
      <c r="D5" s="11">
        <v>90</v>
      </c>
      <c r="E5" s="11">
        <v>150</v>
      </c>
      <c r="F5" s="11" t="s">
        <v>158</v>
      </c>
      <c r="G5" s="13">
        <v>0.5</v>
      </c>
    </row>
    <row r="6" spans="1:8">
      <c r="B6" s="11" t="s">
        <v>159</v>
      </c>
      <c r="C6" s="11">
        <v>8</v>
      </c>
      <c r="D6" s="11">
        <v>108</v>
      </c>
      <c r="E6" s="11">
        <v>180</v>
      </c>
      <c r="G6" s="13">
        <v>0.6</v>
      </c>
    </row>
    <row r="7" spans="1:8">
      <c r="B7" s="11" t="s">
        <v>160</v>
      </c>
      <c r="D7" s="11">
        <v>144</v>
      </c>
      <c r="E7" s="11">
        <v>240</v>
      </c>
      <c r="G7" s="13">
        <v>0.7</v>
      </c>
    </row>
    <row r="8" spans="1:8">
      <c r="B8" s="11" t="s">
        <v>161</v>
      </c>
      <c r="D8" s="11">
        <v>32</v>
      </c>
      <c r="E8" s="11">
        <v>64</v>
      </c>
      <c r="G8" s="13">
        <v>0.8</v>
      </c>
    </row>
    <row r="9" spans="1:8">
      <c r="B9" s="11" t="s">
        <v>162</v>
      </c>
      <c r="D9" s="11">
        <v>36</v>
      </c>
      <c r="E9" s="11">
        <v>108</v>
      </c>
      <c r="G9" s="13">
        <v>0.9</v>
      </c>
    </row>
    <row r="10" spans="1:8">
      <c r="D10" s="11">
        <v>40</v>
      </c>
      <c r="E10" s="11">
        <v>152</v>
      </c>
      <c r="G10" s="13">
        <v>1</v>
      </c>
    </row>
    <row r="11" spans="1:8">
      <c r="D11" s="11">
        <v>54</v>
      </c>
      <c r="E11" s="11">
        <v>234</v>
      </c>
      <c r="G11" s="13"/>
    </row>
    <row r="12" spans="1:8">
      <c r="D12" s="11">
        <v>64</v>
      </c>
      <c r="E12" s="11">
        <v>320</v>
      </c>
    </row>
    <row r="13" spans="1:8">
      <c r="D13" s="11">
        <v>24</v>
      </c>
      <c r="E13" s="11">
        <v>72</v>
      </c>
    </row>
    <row r="14" spans="1:8">
      <c r="D14" s="11">
        <v>36</v>
      </c>
      <c r="E14" s="11">
        <v>108</v>
      </c>
    </row>
    <row r="15" spans="1:8">
      <c r="D15" s="11">
        <v>48</v>
      </c>
      <c r="E15" s="11">
        <v>144</v>
      </c>
    </row>
    <row r="25" spans="1:1">
      <c r="A25" s="14">
        <v>45916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MANUEL MEDINA BARRERA</dc:creator>
  <cp:keywords/>
  <dc:description/>
  <cp:lastModifiedBy>JOSE EDWARD DIVITT VELOSA GARCIA</cp:lastModifiedBy>
  <cp:revision/>
  <dcterms:created xsi:type="dcterms:W3CDTF">2025-08-27T15:39:23Z</dcterms:created>
  <dcterms:modified xsi:type="dcterms:W3CDTF">2026-02-21T16:19:57Z</dcterms:modified>
  <cp:category/>
  <cp:contentStatus/>
</cp:coreProperties>
</file>