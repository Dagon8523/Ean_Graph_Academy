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C:\DIRECCIÓN\2000413 INGENIERIA INDUSTRIAL -PFVINIBOG001\Syllabus\2026 S1\Nuevo formato - II\"/>
    </mc:Choice>
  </mc:AlternateContent>
  <xr:revisionPtr revIDLastSave="11" documentId="8_{E8A86958-A4CF-4FDD-AAF1-A68D9A4ACF64}" xr6:coauthVersionLast="47" xr6:coauthVersionMax="47" xr10:uidLastSave="{7BE4EA9D-23B6-45A7-A24A-13B86EC7574E}"/>
  <bookViews>
    <workbookView xWindow="-120" yWindow="-120" windowWidth="20730" windowHeight="11040" firstSheet="3" activeTab="3" xr2:uid="{79C19C23-9E31-446A-A15A-4EB9549A8DE9}"/>
  </bookViews>
  <sheets>
    <sheet name="Formato Syllabus" sheetId="1" state="hidden" r:id="rId1"/>
    <sheet name="Formato Syllabus_NV" sheetId="3" state="hidden" r:id="rId2"/>
    <sheet name="Hoja1" sheetId="5" state="hidden" r:id="rId3"/>
    <sheet name="Formato Syllabus_NV (2)" sheetId="4" r:id="rId4"/>
    <sheet name="Parámetros"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5" l="1"/>
  <c r="E30" i="5" s="1"/>
  <c r="F36" i="4" s="1"/>
  <c r="D29" i="5"/>
  <c r="E29" i="5" s="1"/>
  <c r="B36" i="4" s="1"/>
  <c r="D36" i="5"/>
  <c r="G45" i="4" s="1"/>
  <c r="F45" i="4"/>
  <c r="D15" i="5"/>
  <c r="F15" i="5" s="1"/>
  <c r="F8" i="4" s="1"/>
  <c r="G23" i="5"/>
  <c r="G20" i="4" s="1"/>
  <c r="F23" i="5"/>
  <c r="D20" i="4" s="1"/>
  <c r="E23" i="5"/>
  <c r="B20" i="4" s="1"/>
  <c r="D34" i="5"/>
  <c r="E45" i="4" s="1"/>
  <c r="D33" i="5"/>
  <c r="D45" i="4" s="1"/>
  <c r="D32" i="5"/>
  <c r="C45" i="4" s="1"/>
  <c r="D31" i="5"/>
  <c r="D28" i="5"/>
  <c r="I34" i="4" s="1"/>
  <c r="D27" i="5"/>
  <c r="D26" i="5"/>
  <c r="F33" i="4"/>
  <c r="D25" i="5"/>
  <c r="B28" i="4" s="1"/>
  <c r="G7" i="4"/>
  <c r="E7" i="4"/>
  <c r="D17" i="5"/>
  <c r="D12" i="4" s="1"/>
  <c r="D18" i="5"/>
  <c r="D19" i="5"/>
  <c r="D13" i="5"/>
  <c r="G10" i="4" s="1"/>
  <c r="D14" i="5"/>
  <c r="D16" i="5"/>
  <c r="D12" i="5"/>
  <c r="E10" i="4" s="1"/>
  <c r="D10" i="5"/>
  <c r="H9" i="4" s="1"/>
  <c r="D9" i="5"/>
  <c r="E9" i="4" s="1"/>
  <c r="D8" i="5"/>
  <c r="D7" i="5"/>
  <c r="I7" i="4" s="1"/>
  <c r="C10" i="4"/>
  <c r="C7" i="4"/>
  <c r="I9" i="3"/>
  <c r="I9" i="1"/>
  <c r="E15" i="5" l="1"/>
  <c r="D8" i="4" s="1"/>
  <c r="I10" i="4"/>
</calcChain>
</file>

<file path=xl/sharedStrings.xml><?xml version="1.0" encoding="utf-8"?>
<sst xmlns="http://schemas.openxmlformats.org/spreadsheetml/2006/main" count="266" uniqueCount="164">
  <si>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</si>
  <si>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</si>
  <si>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</si>
  <si>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</si>
  <si>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</si>
  <si>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</si>
  <si>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</si>
  <si>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</si>
  <si>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</si>
  <si>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</si>
  <si>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</si>
  <si>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</si>
  <si>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</si>
  <si>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</si>
  <si>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</si>
  <si>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</si>
  <si>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</si>
  <si>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</si>
  <si>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</si>
  <si>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</si>
  <si>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</si>
  <si>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</si>
  <si>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</si>
  <si>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</si>
  <si>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</si>
  <si>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</si>
  <si>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</si>
  <si>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</si>
  <si>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</si>
  <si>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</si>
  <si>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</si>
  <si>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</si>
  <si>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</si>
  <si>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</si>
  <si>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</si>
  <si>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</si>
  <si>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</si>
  <si>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</si>
  <si>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</si>
  <si>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</si>
  <si>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</si>
  <si>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</si>
  <si>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</si>
  <si>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</si>
  <si>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</si>
  <si>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</si>
  <si>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</si>
  <si>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</si>
  <si>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</si>
  <si>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</si>
  <si>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</si>
  <si>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</si>
  <si>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</si>
  <si>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</si>
  <si>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</si>
  <si>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</si>
  <si>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</si>
  <si>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</si>
  <si>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</si>
  <si>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</si>
  <si>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</si>
  <si>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</si>
  <si>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</si>
  <si>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</si>
  <si>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</si>
  <si>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</si>
  <si>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</si>
  <si>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</si>
  <si>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</si>
  <si>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</si>
  <si>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</si>
  <si>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</si>
  <si>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</si>
  <si>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</si>
  <si>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</si>
  <si>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</si>
  <si>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</si>
  <si>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</si>
  <si>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</si>
  <si>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</si>
  <si>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</si>
  <si>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</si>
  <si>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</si>
  <si>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</si>
  <si>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</si>
  <si>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Información Extraída</t>
  </si>
  <si>
    <t>PFPINIBOG001</t>
  </si>
  <si>
    <t>IFPN0029</t>
  </si>
  <si>
    <t>IFPN0032</t>
  </si>
  <si>
    <t>Nuclear</t>
  </si>
  <si>
    <t>Facultad de Ingeniería</t>
  </si>
  <si>
    <t>Ingeniería Industrial</t>
  </si>
  <si>
    <t>Nombre Unidad de estudios</t>
  </si>
  <si>
    <t>Ingeniería de Métodos</t>
  </si>
  <si>
    <t>Modalidad (Presencial / Virtual)</t>
  </si>
  <si>
    <t>Metodología (PAT / In Situ / Híbrida)</t>
  </si>
  <si>
    <t>El abordaje de los contenidos tratados en Ingeniería de métodos se realizará a través de estrategias que enfatizan en la contrastación de la teoría y la práctica, mediante la aplicación de instrumentos que contribuyan a la transferencia y aplicación de los principios teóricos de la Ingeniería de métodos a situaciones empresariales concretas en el ambiente de actuación del participante.</t>
  </si>
  <si>
    <t>La Unidad Ingeniería de métodos contribuye a la comprensión y dominio de los factores que determinan la productividad de las organizaciones y las diversas técnicas y herramientas que contribuyen a mejorar los resultados de los estudios del trabajo en las organizaciones; así como, al diseño e implementación de iniciativas de mejora continua que aporten a una mejora aplicación de los recursos y capacidades empresariales en los procesos de creación de valor.</t>
  </si>
  <si>
    <t>Analiza, diagnostica y propone mejoras en sistemas productivos mediante la aplicación de técnicas y herramientas de ingeniería de métodos, estudio del trabajo y mejora continua, para optimizar la productividad y eficiencia de las operaciones en contextos organizacionales reales.</t>
  </si>
  <si>
    <t>Resultado de Aprendizaje de Programa</t>
  </si>
  <si>
    <t>Al finalizar el programa, el egresado estará en capacidad de liderar proyectos de mejora de la productividad en organizaciones de diversos sectores, aplicando un enfoque sistémico que integre el estudio del trabajo, el análisis de procesos y la implementación de tecnologías emergentes para la optimización de recursos y la generación de valor sostenible.</t>
  </si>
  <si>
    <t>Resultado de Aprendizaje de la Unidad de Estudio</t>
  </si>
  <si>
    <t>Caracteriza los problemas de los sistemas y procesos productivos de la organización mediante la aplicación de las técnicas y herramientas de la ingeniería de métodos al estudio del trabajo para generar alternativas de solución que contribuyan a mejorar la productividad de las operaciones empresariales.</t>
  </si>
  <si>
    <t>Criterios de evaluación (1, 2, 3, 4)</t>
  </si>
  <si>
    <t>A. Entiende los fundamentos conceptuales que soportan el estudio del trabajo y los efectos de su acción sobre la productividad de las organizaciones, así como, sus mecanismos de acción. B. Aplica las técnicas, habilidades y herramientas de la ingeniería de métodos a la realización de estudios del trabajo para establecer la condición de la productividad en una organización específica. C. Realiza el diagnóstico de la productividad en una empresa de su ambiente de actuación aplicando en forma técnica los instrumentos del estudio y análisis del trabajo. D. Plantea estrategias y el respectivo plan de acción para la optimización de la productividad acorde con la situación actual de la empresa de referencia. E. Diseña sistemas, componentes y procesos para satisfacer necesidades del entorno dentro de restricciones realísticas tales como las económicas, ambientales, sociales, políticas, de salud y seguridad, manufactura y sostenibilidad.</t>
  </si>
  <si>
    <t>Competencias del modelo educativo (EM, SH, IN, COM, SO, AA, SE, COL, DI)</t>
  </si>
  <si>
    <t>EM, IN, SO, COL, DI.</t>
  </si>
  <si>
    <t>Contenidos de la Unidad de estudio</t>
  </si>
  <si>
    <t>9 Semanas</t>
  </si>
  <si>
    <t>Módulo 1: Fundamentos de Ingeniería de Métodos Introducción a la Ingeniería de Métodos: Definición y objetivos, Historia y evolución. Análisis de Procesos: Diagramas de flujo, Mapas de procesos. Estudio de Tiempos y Movimientos: Técnicas de medición del trabajo, Análisis de movimientos. Módulo 2: Mejora de Procesos y Eficiencia Rediseño de Procesos: Principios de mejora continua (Kaizen), Herramientas Lean (5S, VSM). Eficiencia de Máquinas y Equipos: Mantenimiento productivo total (TPM), Indicadores de rendimiento (OEE). Estándares de Operación: Definición y documentación, Implementación y seguimiento. Módulo 3: Automatización y Nuevas Tecnologías Robots y Cobots en la Industria: Tipos y aplicaciones, Integración en procesos existentes. Tecnologías de Reconocimiento y Lectura: Reconocimiento de imágenes, Lectura de códigos de barras y RFID. Sistemas de Control y Monitoreo: SCADA y PLCs, Internet de las cosas (IoT) en la industria. Módulo 4: Innovación y Futuro de la Ingeniería de Métodos Nuevos Mecanismos y Herramientas: Innovaciones en herramientas de mejora, Casos de estudio y mejores prácticas. Tendencias Futuras: Industria 4.0, Inteligencia artificial y aprendizaje automático. Proyectos de Mejora: Desarrollo y gestión de proyectos, Evaluación de impacto y resultados.</t>
  </si>
  <si>
    <t>Estrategias Pedagógicas</t>
  </si>
  <si>
    <t>Análisis de un Proceso Real, Estudio de Tiempos y Movimientos, Mapeo de Procesos, Presentación de Casos Históricos, Debate sobre Técnicas de Medición, Proyecto Kaizen, Simulación de Lean Manufacturing, Análisis de OEE, Desarrollo de Estándares de Operación, Evaluación de TPM, Programación de Robots, Proyecto de Reconocimiento de Imágenes, Implementación de RFID, Simulación de SCADA, Estudio de Caso de IoT, Desarrollo de Nuevas Herramientas, Investigación sobre Industria 4.0, Proyecto de Inteligencia Artificial, Evaluación de Proyectos de Mejora, Presentación de Innovaciones.</t>
  </si>
  <si>
    <t>Esquema de Calificación</t>
  </si>
  <si>
    <t>1er corte: 20%; 2do corte: 20%; 3er corte: 30%; 4to corte: 20%; Prueba objetiva: 10%.</t>
  </si>
  <si>
    <t>Microsoft Excel, Solidworks, Minitab, Flexsim.</t>
  </si>
  <si>
    <t>Componente de Lengua Extranjera</t>
  </si>
  <si>
    <t>Escalante, A. &amp; González, J.F.D. (2018). Ingeniería Industrial. Métodos y tiempos con manufactura ágil. Editorial Alfaomega, Bogotá. Campano, C. C., González, M. A., Farías, N. C., &amp; Herrera González, M. J. (2017). La productividad total de factores en el sector manufacturero chileno. Revista De Economía Institucional, 18(35). Justo de, J. M., Ovidio López Robayo, &amp; Javier Díaz Castro. (2014). Productividad, eficiencia y sus factores explicativos en el sector de la construcción en Colombia 2005-2010. Cuadernos de Economía, 33 (63), 569-588.</t>
  </si>
  <si>
    <t>Rodriguez-Perez (2023) Human Error Reduction in Manufacturing. Quality Press. Segunda edición.</t>
  </si>
  <si>
    <t>Número de versión</t>
  </si>
  <si>
    <t>Elaboró</t>
  </si>
  <si>
    <t>Jose Divitt Velosa</t>
  </si>
  <si>
    <t>Jeffrey Leon</t>
  </si>
  <si>
    <t>Nuevo formato de syllabus</t>
  </si>
  <si>
    <t>Versión:  1</t>
  </si>
  <si>
    <r>
      <t xml:space="preserve">Fecha: </t>
    </r>
    <r>
      <rPr>
        <b/>
        <sz val="10"/>
        <rFont val="Arial Narrow"/>
        <family val="2"/>
      </rPr>
      <t>17/Feb/2026</t>
    </r>
  </si>
  <si>
    <t>Modalidad</t>
  </si>
  <si>
    <t>Presencial y Virtual</t>
  </si>
  <si>
    <t xml:space="preserve">Nivel </t>
  </si>
  <si>
    <t>Pregrado</t>
  </si>
  <si>
    <t>2.	Descripción  Resultados de Aprendizaje.</t>
  </si>
  <si>
    <t>Descripción de la unidad de estudio</t>
  </si>
  <si>
    <t>Resultado de Aprendizaje</t>
  </si>
  <si>
    <t xml:space="preserve">Aplica conocimientos, técnicas y herramientas (en matemáticas, ciencias e ingeniería) al análisis y solución de problemas complejos que contemplen aspectos de manufactura
(a) Apropia los principios de materiales y procesos de fabricación: diseño de procesos de fabricación que dan como resultado productos que cumplen requisitos específicos de materiales y otros;
(b) Integra la ingeniería de procesos, ensamble y producto: equipos, herramientas y ambiente necesarios para su fabricación;
(c) Propone estrategias de competitividad en la fabricación: creación de una ventaja competitiva a través de la planificación, la estrategia, la calidad y el control de la fabricación;
(d) Diseña de sistemas de fabricación: analizar, sintetizar y controlar operaciones de fabricación utilizando métodos estadísticos;
(e)  Experimenta en instalaciones o laboratorios de fabricación: medición de las variables del proceso de fabricación y desarrollo de inferencias técnicas sobre el proceso
</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</si>
  <si>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</si>
  <si>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</si>
  <si>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</si>
  <si>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</si>
  <si>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</si>
  <si>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</si>
  <si>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Semestre</t>
  </si>
  <si>
    <t>18 Semanas</t>
  </si>
  <si>
    <t>4.	Esquema de Calificación</t>
  </si>
  <si>
    <t>5. Recursos Tecnológicos (Describir los recursos como software, sala de cómputos, laboratorios)</t>
  </si>
  <si>
    <t>6. Componente de Lengua extranjera</t>
  </si>
  <si>
    <t>7.	Bibliografía Obligatoria y Complementaria.</t>
  </si>
  <si>
    <t>8. Control de Cambios</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</si>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</sst>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Segoe UI"/>
      <family val="2"/>
    </font>
    <font>
      <sz val="10"/>
      <color theme="1"/>
      <name val="Arial"/>
      <family val="2"/>
    </font>
    <font>
      <sz val="9"/>
      <color theme="1"/>
      <name val="Calibri"/>
      <family val="2"/>
      <scheme val="minor"/>
    </font>
    <font>
      <sz val="8"/>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79">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8" fillId="0" borderId="0" xfId="0" applyFont="1" applyAlignment="1">
      <alignment vertical="center"/>
    </xf>
    <xf numFmtId="0" fontId="0" fillId="4" borderId="1" xfId="0" applyFill="1" applyBorder="1"/>
    <xf numFmtId="0" fontId="9" fillId="0" borderId="60" xfId="0" applyFont="1" applyBorder="1" applyAlignment="1">
      <alignment vertical="center"/>
    </xf>
    <xf numFmtId="0" fontId="9" fillId="0" borderId="60" xfId="0" applyFont="1" applyBorder="1" applyAlignment="1">
      <alignment horizontal="right" wrapText="1"/>
    </xf>
    <xf numFmtId="0" fontId="9" fillId="0" borderId="60" xfId="0" applyFont="1" applyBorder="1" applyAlignment="1">
      <alignment wrapText="1"/>
    </xf>
    <xf numFmtId="9" fontId="9" fillId="0" borderId="60" xfId="0" applyNumberFormat="1" applyFont="1" applyBorder="1" applyAlignment="1">
      <alignment horizontal="right" wrapText="1"/>
    </xf>
    <xf numFmtId="14" fontId="9" fillId="0" borderId="60" xfId="0" applyNumberFormat="1" applyFont="1" applyBorder="1" applyAlignment="1">
      <alignment horizontal="right" wrapText="1"/>
    </xf>
    <xf numFmtId="0" fontId="1" fillId="4" borderId="1" xfId="0" applyFont="1" applyFill="1" applyBorder="1"/>
    <xf numFmtId="0" fontId="10" fillId="0" borderId="1" xfId="0" applyFont="1" applyBorder="1" applyAlignment="1">
      <alignment horizontal="center" vertical="center"/>
    </xf>
    <xf numFmtId="9" fontId="0" fillId="0" borderId="1" xfId="0" applyNumberFormat="1" applyBorder="1"/>
    <xf numFmtId="9" fontId="0" fillId="0" borderId="45" xfId="0" applyNumberFormat="1" applyBorder="1"/>
    <xf numFmtId="14" fontId="0" fillId="0" borderId="1" xfId="0" applyNumberFormat="1" applyBorder="1"/>
    <xf numFmtId="0" fontId="0" fillId="4" borderId="1" xfId="0" applyFill="1" applyBorder="1" applyAlignment="1">
      <alignment horizontal="center" vertical="center"/>
    </xf>
    <xf numFmtId="0" fontId="11" fillId="0" borderId="1" xfId="0" applyFont="1" applyBorder="1" applyAlignment="1">
      <alignment wrapText="1"/>
    </xf>
    <xf numFmtId="0" fontId="11" fillId="4" borderId="1" xfId="0" applyFont="1" applyFill="1" applyBorder="1" applyAlignment="1">
      <alignment wrapText="1"/>
    </xf>
    <xf numFmtId="0" fontId="10" fillId="0" borderId="1" xfId="0" applyFont="1" applyBorder="1" applyAlignment="1">
      <alignment horizontal="center" vertical="center" wrapText="1"/>
    </xf>
    <xf numFmtId="0" fontId="0" fillId="5" borderId="1" xfId="0" applyFill="1" applyBorder="1"/>
    <xf numFmtId="0" fontId="10" fillId="0" borderId="36" xfId="0" applyFont="1" applyBorder="1" applyAlignment="1">
      <alignment wrapText="1"/>
    </xf>
    <xf numFmtId="14" fontId="10" fillId="0" borderId="1" xfId="0" applyNumberFormat="1" applyFont="1" applyBorder="1" applyAlignment="1">
      <alignment wrapText="1"/>
    </xf>
    <xf numFmtId="0" fontId="10" fillId="0" borderId="1" xfId="0" applyFont="1" applyBorder="1" applyAlignment="1">
      <alignment wrapText="1"/>
    </xf>
    <xf numFmtId="0" fontId="9" fillId="0" borderId="60" xfId="0" applyFont="1" applyBorder="1" applyAlignment="1">
      <alignment vertical="center" wrapText="1"/>
    </xf>
    <xf numFmtId="0" fontId="8" fillId="4" borderId="0" xfId="0" applyFont="1" applyFill="1" applyAlignment="1">
      <alignment vertical="center"/>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0" fillId="0" borderId="1" xfId="0" applyFont="1" applyBorder="1" applyAlignment="1">
      <alignment horizontal="center" wrapText="1"/>
    </xf>
    <xf numFmtId="0" fontId="10" fillId="0" borderId="37" xfId="0" applyFont="1"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wrapText="1"/>
    </xf>
    <xf numFmtId="0" fontId="0" fillId="0" borderId="34" xfId="0" applyBorder="1" applyAlignment="1">
      <alignment horizontal="center"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0" fillId="0" borderId="23" xfId="0" applyBorder="1" applyAlignment="1">
      <alignment horizontal="center" vertical="top" wrapText="1"/>
    </xf>
    <xf numFmtId="0" fontId="0" fillId="0" borderId="17" xfId="0" applyBorder="1" applyAlignment="1">
      <alignment horizontal="center" vertical="top" wrapText="1"/>
    </xf>
    <xf numFmtId="0" fontId="0" fillId="0" borderId="18" xfId="0" applyBorder="1" applyAlignment="1">
      <alignment horizontal="center" vertical="top" wrapText="1"/>
    </xf>
    <xf numFmtId="0" fontId="0" fillId="0" borderId="20" xfId="0" applyBorder="1" applyAlignment="1">
      <alignment horizontal="center" vertical="top" wrapText="1"/>
    </xf>
    <xf numFmtId="0" fontId="0" fillId="0" borderId="54" xfId="0" applyBorder="1" applyAlignment="1">
      <alignment horizontal="center" vertical="top" wrapText="1"/>
    </xf>
    <xf numFmtId="0" fontId="0" fillId="0" borderId="16" xfId="0" applyBorder="1" applyAlignment="1">
      <alignment horizontal="center" vertical="top" wrapText="1"/>
    </xf>
    <xf numFmtId="0" fontId="0" fillId="0" borderId="24" xfId="0" applyBorder="1" applyAlignment="1">
      <alignment horizontal="center" vertical="top" wrapText="1"/>
    </xf>
    <xf numFmtId="0" fontId="0" fillId="0" borderId="19" xfId="0" applyBorder="1" applyAlignment="1">
      <alignment horizontal="center" vertical="top" wrapText="1"/>
    </xf>
    <xf numFmtId="0" fontId="0" fillId="0" borderId="55" xfId="0" applyBorder="1" applyAlignment="1">
      <alignment horizontal="center" vertical="top" wrapText="1"/>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1" fillId="0" borderId="23"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horizontal="center" vertical="center" wrapText="1"/>
    </xf>
    <xf numFmtId="0" fontId="11" fillId="0" borderId="26"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28" xfId="0" applyFont="1"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center" vertical="center" wrapText="1"/>
    </xf>
    <xf numFmtId="0" fontId="0" fillId="2" borderId="17" xfId="0" applyFill="1" applyBorder="1" applyAlignment="1">
      <alignment horizontal="center" vertical="center" wrapText="1"/>
    </xf>
    <xf numFmtId="0" fontId="0" fillId="2" borderId="24" xfId="0" applyFill="1" applyBorder="1" applyAlignment="1">
      <alignment horizontal="center" vertical="center" wrapText="1"/>
    </xf>
    <xf numFmtId="0" fontId="0" fillId="2" borderId="25" xfId="0" applyFill="1" applyBorder="1" applyAlignment="1">
      <alignment horizontal="center" vertical="center" wrapText="1"/>
    </xf>
    <xf numFmtId="0" fontId="0" fillId="2" borderId="0" xfId="0" applyFill="1" applyAlignment="1">
      <alignment horizontal="center" vertical="center" wrapText="1"/>
    </xf>
    <xf numFmtId="0" fontId="0" fillId="2" borderId="26" xfId="0" applyFill="1" applyBorder="1" applyAlignment="1">
      <alignment horizontal="center" vertical="center" wrapText="1"/>
    </xf>
    <xf numFmtId="0" fontId="0" fillId="2" borderId="27" xfId="0" applyFill="1" applyBorder="1" applyAlignment="1">
      <alignment horizontal="center" vertical="center" wrapText="1"/>
    </xf>
    <xf numFmtId="0" fontId="0" fillId="2" borderId="31" xfId="0" applyFill="1" applyBorder="1" applyAlignment="1">
      <alignment horizontal="center" vertical="center" wrapText="1"/>
    </xf>
    <xf numFmtId="0" fontId="0" fillId="2" borderId="28" xfId="0" applyFill="1" applyBorder="1" applyAlignment="1">
      <alignment horizontal="center" vertical="center" wrapText="1"/>
    </xf>
    <xf numFmtId="0" fontId="1" fillId="0" borderId="57" xfId="0" applyFont="1" applyBorder="1" applyAlignment="1">
      <alignment horizontal="center" wrapText="1"/>
    </xf>
    <xf numFmtId="0" fontId="1" fillId="0" borderId="58" xfId="0" applyFont="1" applyBorder="1" applyAlignment="1">
      <alignment horizontal="center" wrapText="1"/>
    </xf>
    <xf numFmtId="0" fontId="1" fillId="0" borderId="59" xfId="0" applyFont="1" applyBorder="1" applyAlignment="1">
      <alignment horizontal="center" wrapText="1"/>
    </xf>
    <xf numFmtId="0" fontId="11" fillId="0" borderId="2" xfId="0" applyFont="1" applyBorder="1" applyAlignment="1">
      <alignment horizontal="center" wrapText="1"/>
    </xf>
    <xf numFmtId="0" fontId="11" fillId="0" borderId="15" xfId="0" applyFont="1" applyBorder="1" applyAlignment="1">
      <alignment horizontal="center" wrapText="1"/>
    </xf>
    <xf numFmtId="0" fontId="11" fillId="0" borderId="56" xfId="0" applyFont="1" applyBorder="1" applyAlignment="1">
      <alignment horizontal="center" wrapText="1"/>
    </xf>
    <xf numFmtId="0" fontId="0" fillId="0" borderId="1" xfId="0" applyBorder="1" applyAlignment="1">
      <alignment horizontal="center" vertical="center" wrapText="1"/>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57"/>
      <c r="C2" s="59" t="s">
        <v>0</v>
      </c>
      <c r="D2" s="59"/>
      <c r="E2" s="59"/>
      <c r="F2" s="59"/>
      <c r="G2" s="59"/>
      <c r="H2" s="59"/>
      <c r="I2" s="6" t="s">
        <v>1</v>
      </c>
    </row>
    <row r="3" spans="2:9" ht="20.25" customHeight="1">
      <c r="B3" s="58"/>
      <c r="C3" s="60"/>
      <c r="D3" s="60"/>
      <c r="E3" s="60"/>
      <c r="F3" s="60"/>
      <c r="G3" s="60"/>
      <c r="H3" s="60"/>
      <c r="I3" s="7" t="s">
        <v>2</v>
      </c>
    </row>
    <row r="4" spans="2:9" ht="21" customHeight="1" thickBot="1">
      <c r="B4" s="61" t="s">
        <v>3</v>
      </c>
      <c r="C4" s="62"/>
      <c r="D4" s="62"/>
      <c r="E4" s="62"/>
      <c r="F4" s="62"/>
      <c r="G4" s="62"/>
      <c r="H4" s="62"/>
      <c r="I4" s="8" t="s">
        <v>4</v>
      </c>
    </row>
    <row r="5" spans="2:9" ht="15.75" thickTop="1">
      <c r="B5" s="66"/>
      <c r="C5" s="66"/>
      <c r="D5" s="66"/>
      <c r="E5" s="66"/>
      <c r="F5" s="66"/>
      <c r="G5" s="66"/>
      <c r="H5" s="66"/>
      <c r="I5" s="66"/>
    </row>
    <row r="6" spans="2:9">
      <c r="B6" s="66" t="s">
        <v>5</v>
      </c>
      <c r="C6" s="66"/>
      <c r="D6" s="66"/>
      <c r="E6" s="66"/>
      <c r="F6" s="66"/>
      <c r="G6" s="66"/>
      <c r="H6" s="66"/>
      <c r="I6" s="66"/>
    </row>
    <row r="7" spans="2:9" ht="60">
      <c r="B7" s="3" t="s">
        <v>6</v>
      </c>
      <c r="C7" s="1"/>
      <c r="D7" s="2" t="s">
        <v>7</v>
      </c>
      <c r="E7" s="1"/>
      <c r="F7" s="2" t="s">
        <v>8</v>
      </c>
      <c r="G7" s="1"/>
      <c r="H7" s="2" t="s">
        <v>9</v>
      </c>
      <c r="I7" s="1"/>
    </row>
    <row r="8" spans="2:9" ht="45">
      <c r="B8" s="2" t="s">
        <v>10</v>
      </c>
      <c r="C8" s="1"/>
      <c r="D8" s="3" t="s">
        <v>11</v>
      </c>
      <c r="E8" s="73"/>
      <c r="F8" s="73"/>
      <c r="G8" s="2" t="s">
        <v>12</v>
      </c>
      <c r="H8" s="73"/>
      <c r="I8" s="73"/>
    </row>
    <row r="9" spans="2:9" ht="30">
      <c r="B9" s="2" t="s">
        <v>13</v>
      </c>
      <c r="C9" s="5"/>
      <c r="D9" s="2" t="s">
        <v>14</v>
      </c>
      <c r="E9" s="5"/>
      <c r="F9" s="2" t="s">
        <v>15</v>
      </c>
      <c r="G9" s="5"/>
      <c r="H9" s="2" t="s">
        <v>16</v>
      </c>
      <c r="I9" s="5">
        <f>E9+G9</f>
        <v>0</v>
      </c>
    </row>
    <row r="10" spans="2:9">
      <c r="B10" s="72" t="s">
        <v>17</v>
      </c>
      <c r="C10" s="56"/>
      <c r="D10" s="56"/>
      <c r="E10" s="56"/>
      <c r="F10" s="56"/>
      <c r="G10" s="56"/>
      <c r="H10" s="56"/>
      <c r="I10" s="56"/>
    </row>
    <row r="11" spans="2:9">
      <c r="B11" s="72" t="s">
        <v>18</v>
      </c>
      <c r="C11" s="72"/>
      <c r="D11" s="66" t="s">
        <v>19</v>
      </c>
      <c r="E11" s="67"/>
      <c r="F11" s="67"/>
      <c r="G11" s="66" t="s">
        <v>20</v>
      </c>
      <c r="H11" s="67"/>
      <c r="I11" s="67"/>
    </row>
    <row r="12" spans="2:9">
      <c r="B12" s="72"/>
      <c r="C12" s="72"/>
      <c r="D12" s="66"/>
      <c r="E12" s="67"/>
      <c r="F12" s="67"/>
      <c r="G12" s="66"/>
      <c r="H12" s="67"/>
      <c r="I12" s="67"/>
    </row>
    <row r="13" spans="2:9">
      <c r="B13" s="56" t="s">
        <v>21</v>
      </c>
      <c r="C13" s="56"/>
      <c r="D13" s="56"/>
      <c r="E13" s="56"/>
      <c r="F13" s="56"/>
      <c r="G13" s="56"/>
      <c r="H13" s="56"/>
      <c r="I13" s="56"/>
    </row>
    <row r="14" spans="2:9">
      <c r="B14" s="3" t="s">
        <v>22</v>
      </c>
      <c r="C14" s="73"/>
      <c r="D14" s="73"/>
      <c r="E14" s="3" t="s">
        <v>23</v>
      </c>
      <c r="F14" s="1"/>
      <c r="G14" s="3" t="s">
        <v>24</v>
      </c>
      <c r="H14" s="73"/>
      <c r="I14" s="73"/>
    </row>
    <row r="15" spans="2:9">
      <c r="B15" s="56" t="s">
        <v>25</v>
      </c>
      <c r="C15" s="56"/>
      <c r="D15" s="56"/>
      <c r="E15" s="56"/>
      <c r="F15" s="56"/>
      <c r="G15" s="56"/>
      <c r="H15" s="56"/>
      <c r="I15" s="56"/>
    </row>
    <row r="16" spans="2:9">
      <c r="B16" s="72" t="s">
        <v>26</v>
      </c>
      <c r="C16" s="72"/>
      <c r="D16" s="67"/>
      <c r="E16" s="67"/>
      <c r="F16" s="67"/>
      <c r="G16" s="67"/>
      <c r="H16" s="67"/>
      <c r="I16" s="67"/>
    </row>
    <row r="17" spans="2:9">
      <c r="B17" s="72"/>
      <c r="C17" s="72"/>
      <c r="D17" s="67"/>
      <c r="E17" s="67"/>
      <c r="F17" s="67"/>
      <c r="G17" s="67"/>
      <c r="H17" s="67"/>
      <c r="I17" s="67"/>
    </row>
    <row r="18" spans="2:9">
      <c r="B18" s="70" t="s">
        <v>27</v>
      </c>
      <c r="C18" s="71"/>
      <c r="D18" s="67"/>
      <c r="E18" s="67"/>
      <c r="F18" s="67"/>
      <c r="G18" s="67"/>
      <c r="H18" s="67"/>
      <c r="I18" s="67"/>
    </row>
    <row r="19" spans="2:9">
      <c r="B19" s="72" t="s">
        <v>28</v>
      </c>
      <c r="C19" s="72"/>
      <c r="D19" s="67"/>
      <c r="E19" s="67"/>
      <c r="F19" s="67"/>
      <c r="G19" s="67"/>
      <c r="H19" s="67"/>
      <c r="I19" s="67"/>
    </row>
    <row r="20" spans="2:9">
      <c r="B20" s="72"/>
      <c r="C20" s="72"/>
      <c r="D20" s="67"/>
      <c r="E20" s="67"/>
      <c r="F20" s="67"/>
      <c r="G20" s="67"/>
      <c r="H20" s="67"/>
      <c r="I20" s="67"/>
    </row>
    <row r="21" spans="2:9">
      <c r="B21" s="72" t="s">
        <v>29</v>
      </c>
      <c r="C21" s="72"/>
      <c r="D21" s="67"/>
      <c r="E21" s="67"/>
      <c r="F21" s="67"/>
      <c r="G21" s="67"/>
      <c r="H21" s="67"/>
      <c r="I21" s="67"/>
    </row>
    <row r="22" spans="2:9">
      <c r="B22" s="72"/>
      <c r="C22" s="72"/>
      <c r="D22" s="67"/>
      <c r="E22" s="67"/>
      <c r="F22" s="67"/>
      <c r="G22" s="67"/>
      <c r="H22" s="67"/>
      <c r="I22" s="67"/>
    </row>
    <row r="23" spans="2:9">
      <c r="B23" s="66" t="s">
        <v>30</v>
      </c>
      <c r="C23" s="66"/>
      <c r="D23" s="67" t="s">
        <v>31</v>
      </c>
      <c r="E23" s="67"/>
      <c r="F23" s="67"/>
      <c r="G23" s="67"/>
      <c r="H23" s="67"/>
      <c r="I23" s="67"/>
    </row>
    <row r="24" spans="2:9">
      <c r="B24" s="66"/>
      <c r="C24" s="66"/>
      <c r="D24" s="67" t="s">
        <v>32</v>
      </c>
      <c r="E24" s="67"/>
      <c r="F24" s="67"/>
      <c r="G24" s="67"/>
      <c r="H24" s="67"/>
      <c r="I24" s="67"/>
    </row>
    <row r="25" spans="2:9">
      <c r="B25" s="66"/>
      <c r="C25" s="66"/>
      <c r="D25" s="67" t="s">
        <v>33</v>
      </c>
      <c r="E25" s="67"/>
      <c r="F25" s="67"/>
      <c r="G25" s="67"/>
      <c r="H25" s="67"/>
      <c r="I25" s="67"/>
    </row>
    <row r="26" spans="2:9">
      <c r="B26" s="66"/>
      <c r="C26" s="66"/>
      <c r="D26" s="67" t="s">
        <v>34</v>
      </c>
      <c r="E26" s="67"/>
      <c r="F26" s="67"/>
      <c r="G26" s="67"/>
      <c r="H26" s="67"/>
      <c r="I26" s="67"/>
    </row>
    <row r="27" spans="2:9">
      <c r="B27" s="68" t="s">
        <v>35</v>
      </c>
      <c r="C27" s="68"/>
      <c r="D27" s="3" t="s">
        <v>36</v>
      </c>
      <c r="E27" s="1"/>
      <c r="F27" s="3" t="s">
        <v>37</v>
      </c>
      <c r="G27" s="1"/>
      <c r="H27" s="3" t="s">
        <v>38</v>
      </c>
      <c r="I27" s="1"/>
    </row>
    <row r="28" spans="2:9">
      <c r="B28" s="68"/>
      <c r="C28" s="68"/>
      <c r="D28" s="4" t="s">
        <v>39</v>
      </c>
      <c r="E28" s="1"/>
      <c r="F28" s="3" t="s">
        <v>40</v>
      </c>
      <c r="G28" s="1"/>
      <c r="H28" s="3" t="s">
        <v>41</v>
      </c>
      <c r="I28" s="1"/>
    </row>
    <row r="29" spans="2:9">
      <c r="B29" s="68"/>
      <c r="C29" s="68"/>
      <c r="D29" s="3" t="s">
        <v>42</v>
      </c>
      <c r="E29" s="1"/>
      <c r="F29" s="3" t="s">
        <v>43</v>
      </c>
      <c r="G29" s="1"/>
      <c r="H29" s="3" t="s">
        <v>44</v>
      </c>
      <c r="I29" s="1"/>
    </row>
    <row r="30" spans="2:9">
      <c r="B30" s="69" t="s">
        <v>45</v>
      </c>
      <c r="C30" s="69"/>
      <c r="D30" s="69"/>
      <c r="E30" s="69"/>
      <c r="F30" s="69"/>
      <c r="G30" s="69"/>
      <c r="H30" s="69"/>
      <c r="I30" s="69"/>
    </row>
    <row r="31" spans="2:9">
      <c r="B31" s="69"/>
      <c r="C31" s="69"/>
      <c r="D31" s="69"/>
      <c r="E31" s="69"/>
      <c r="F31" s="69"/>
      <c r="G31" s="69"/>
      <c r="H31" s="69"/>
      <c r="I31" s="69"/>
    </row>
    <row r="32" spans="2:9">
      <c r="B32" s="69"/>
      <c r="C32" s="69"/>
      <c r="D32" s="69"/>
      <c r="E32" s="69"/>
      <c r="F32" s="69"/>
      <c r="G32" s="69"/>
      <c r="H32" s="69"/>
      <c r="I32" s="69"/>
    </row>
    <row r="33" spans="2:9">
      <c r="B33" s="69"/>
      <c r="C33" s="69"/>
      <c r="D33" s="69"/>
      <c r="E33" s="69"/>
      <c r="F33" s="69"/>
      <c r="G33" s="69"/>
      <c r="H33" s="69"/>
      <c r="I33" s="69"/>
    </row>
    <row r="34" spans="2:9">
      <c r="B34" s="69"/>
      <c r="C34" s="69"/>
      <c r="D34" s="69"/>
      <c r="E34" s="69"/>
      <c r="F34" s="69"/>
      <c r="G34" s="69"/>
      <c r="H34" s="69"/>
      <c r="I34" s="69"/>
    </row>
    <row r="35" spans="2:9">
      <c r="B35" s="56" t="s">
        <v>46</v>
      </c>
      <c r="C35" s="56"/>
      <c r="D35" s="56"/>
      <c r="E35" s="56"/>
      <c r="F35" s="56"/>
      <c r="G35" s="56"/>
      <c r="H35" s="56"/>
      <c r="I35" s="56"/>
    </row>
    <row r="36" spans="2:9">
      <c r="B36" s="55" t="s">
        <v>47</v>
      </c>
      <c r="C36" s="55"/>
      <c r="D36" s="55"/>
      <c r="E36" s="55"/>
      <c r="F36" s="55"/>
      <c r="G36" s="55"/>
      <c r="H36" s="55"/>
      <c r="I36" s="55"/>
    </row>
    <row r="37" spans="2:9">
      <c r="B37" s="55"/>
      <c r="C37" s="55"/>
      <c r="D37" s="55"/>
      <c r="E37" s="55"/>
      <c r="F37" s="55"/>
      <c r="G37" s="55"/>
      <c r="H37" s="55"/>
      <c r="I37" s="55"/>
    </row>
    <row r="38" spans="2:9">
      <c r="B38" s="55"/>
      <c r="C38" s="55"/>
      <c r="D38" s="55"/>
      <c r="E38" s="55"/>
      <c r="F38" s="55"/>
      <c r="G38" s="55"/>
      <c r="H38" s="55"/>
      <c r="I38" s="55"/>
    </row>
    <row r="39" spans="2:9">
      <c r="B39" s="63" t="s">
        <v>48</v>
      </c>
      <c r="C39" s="63"/>
      <c r="D39" s="63"/>
      <c r="E39" s="63"/>
      <c r="F39" s="63" t="s">
        <v>49</v>
      </c>
      <c r="G39" s="63"/>
      <c r="H39" s="63"/>
      <c r="I39" s="63"/>
    </row>
    <row r="40" spans="2:9">
      <c r="B40" s="63"/>
      <c r="C40" s="63"/>
      <c r="D40" s="63"/>
      <c r="E40" s="63"/>
      <c r="F40" s="63"/>
      <c r="G40" s="63"/>
      <c r="H40" s="63"/>
      <c r="I40" s="63"/>
    </row>
    <row r="41" spans="2:9">
      <c r="B41" s="63"/>
      <c r="C41" s="63"/>
      <c r="D41" s="63"/>
      <c r="E41" s="63"/>
      <c r="F41" s="63"/>
      <c r="G41" s="63"/>
      <c r="H41" s="63"/>
      <c r="I41" s="63"/>
    </row>
    <row r="42" spans="2:9">
      <c r="B42" s="63"/>
      <c r="C42" s="63"/>
      <c r="D42" s="63"/>
      <c r="E42" s="63"/>
      <c r="F42" s="63"/>
      <c r="G42" s="63"/>
      <c r="H42" s="63"/>
      <c r="I42" s="63"/>
    </row>
    <row r="43" spans="2:9">
      <c r="B43" s="63"/>
      <c r="C43" s="63"/>
      <c r="D43" s="63"/>
      <c r="E43" s="63"/>
      <c r="F43" s="63"/>
      <c r="G43" s="63"/>
      <c r="H43" s="63"/>
      <c r="I43" s="63"/>
    </row>
    <row r="44" spans="2:9">
      <c r="B44" s="63"/>
      <c r="C44" s="63"/>
      <c r="D44" s="63"/>
      <c r="E44" s="63"/>
      <c r="F44" s="63"/>
      <c r="G44" s="63"/>
      <c r="H44" s="63"/>
      <c r="I44" s="63"/>
    </row>
    <row r="45" spans="2:9">
      <c r="B45" s="63"/>
      <c r="C45" s="63"/>
      <c r="D45" s="63"/>
      <c r="E45" s="63"/>
      <c r="F45" s="63"/>
      <c r="G45" s="63"/>
      <c r="H45" s="63"/>
      <c r="I45" s="63"/>
    </row>
    <row r="46" spans="2:9">
      <c r="B46" s="63"/>
      <c r="C46" s="63"/>
      <c r="D46" s="63"/>
      <c r="E46" s="63"/>
      <c r="F46" s="63"/>
      <c r="G46" s="63"/>
      <c r="H46" s="63"/>
      <c r="I46" s="63"/>
    </row>
    <row r="47" spans="2:9">
      <c r="B47" s="63"/>
      <c r="C47" s="63"/>
      <c r="D47" s="63"/>
      <c r="E47" s="63"/>
      <c r="F47" s="63"/>
      <c r="G47" s="63"/>
      <c r="H47" s="63"/>
      <c r="I47" s="63"/>
    </row>
    <row r="48" spans="2:9">
      <c r="B48" s="56" t="s">
        <v>50</v>
      </c>
      <c r="C48" s="56"/>
      <c r="D48" s="56"/>
      <c r="E48" s="56"/>
      <c r="F48" s="56"/>
      <c r="G48" s="56"/>
      <c r="H48" s="56"/>
      <c r="I48" s="56"/>
    </row>
    <row r="49" spans="2:9">
      <c r="B49" s="65" t="s">
        <v>51</v>
      </c>
      <c r="C49" s="65"/>
      <c r="D49" s="65"/>
      <c r="E49" s="65"/>
      <c r="F49" s="63" t="s">
        <v>52</v>
      </c>
      <c r="G49" s="63"/>
      <c r="H49" s="63"/>
      <c r="I49" s="63"/>
    </row>
    <row r="50" spans="2:9">
      <c r="B50" s="65"/>
      <c r="C50" s="65"/>
      <c r="D50" s="65"/>
      <c r="E50" s="65"/>
      <c r="F50" s="63"/>
      <c r="G50" s="63"/>
      <c r="H50" s="63"/>
      <c r="I50" s="63"/>
    </row>
    <row r="51" spans="2:9">
      <c r="B51" s="65"/>
      <c r="C51" s="65"/>
      <c r="D51" s="65"/>
      <c r="E51" s="65"/>
      <c r="F51" s="63"/>
      <c r="G51" s="63"/>
      <c r="H51" s="63"/>
      <c r="I51" s="63"/>
    </row>
    <row r="52" spans="2:9">
      <c r="B52" s="65"/>
      <c r="C52" s="65"/>
      <c r="D52" s="65"/>
      <c r="E52" s="65"/>
      <c r="F52" s="63"/>
      <c r="G52" s="63"/>
      <c r="H52" s="63"/>
      <c r="I52" s="63"/>
    </row>
    <row r="53" spans="2:9">
      <c r="B53" s="65"/>
      <c r="C53" s="65"/>
      <c r="D53" s="65"/>
      <c r="E53" s="65"/>
      <c r="F53" s="63"/>
      <c r="G53" s="63"/>
      <c r="H53" s="63"/>
      <c r="I53" s="63"/>
    </row>
    <row r="54" spans="2:9">
      <c r="B54" s="65"/>
      <c r="C54" s="65"/>
      <c r="D54" s="65"/>
      <c r="E54" s="65"/>
      <c r="F54" s="63"/>
      <c r="G54" s="63"/>
      <c r="H54" s="63"/>
      <c r="I54" s="63"/>
    </row>
    <row r="55" spans="2:9">
      <c r="B55" s="65"/>
      <c r="C55" s="65"/>
      <c r="D55" s="65"/>
      <c r="E55" s="65"/>
      <c r="F55" s="63"/>
      <c r="G55" s="63"/>
      <c r="H55" s="63"/>
      <c r="I55" s="63"/>
    </row>
    <row r="56" spans="2:9">
      <c r="B56" s="65"/>
      <c r="C56" s="65"/>
      <c r="D56" s="65"/>
      <c r="E56" s="65"/>
      <c r="F56" s="63"/>
      <c r="G56" s="63"/>
      <c r="H56" s="63"/>
      <c r="I56" s="63"/>
    </row>
    <row r="57" spans="2:9">
      <c r="B57" s="65"/>
      <c r="C57" s="65"/>
      <c r="D57" s="65"/>
      <c r="E57" s="65"/>
      <c r="F57" s="63"/>
      <c r="G57" s="63"/>
      <c r="H57" s="63"/>
      <c r="I57" s="63"/>
    </row>
    <row r="58" spans="2:9">
      <c r="B58" s="65"/>
      <c r="C58" s="65"/>
      <c r="D58" s="65"/>
      <c r="E58" s="65"/>
      <c r="F58" s="63"/>
      <c r="G58" s="63"/>
      <c r="H58" s="63"/>
      <c r="I58" s="63"/>
    </row>
    <row r="59" spans="2:9">
      <c r="B59" s="65"/>
      <c r="C59" s="65"/>
      <c r="D59" s="65"/>
      <c r="E59" s="65"/>
      <c r="F59" s="63"/>
      <c r="G59" s="63"/>
      <c r="H59" s="63"/>
      <c r="I59" s="63"/>
    </row>
    <row r="60" spans="2:9">
      <c r="B60" s="66" t="s">
        <v>53</v>
      </c>
      <c r="C60" s="66"/>
      <c r="D60" s="66"/>
      <c r="E60" s="66"/>
      <c r="F60" s="67"/>
      <c r="G60" s="67"/>
      <c r="H60" s="66" t="s">
        <v>54</v>
      </c>
      <c r="I60" s="5"/>
    </row>
    <row r="61" spans="2:9">
      <c r="B61" s="66"/>
      <c r="C61" s="66"/>
      <c r="D61" s="66"/>
      <c r="E61" s="66"/>
      <c r="F61" s="67"/>
      <c r="G61" s="67"/>
      <c r="H61" s="66"/>
      <c r="I61" s="5"/>
    </row>
    <row r="62" spans="2:9">
      <c r="B62" s="66"/>
      <c r="C62" s="66"/>
      <c r="D62" s="66"/>
      <c r="E62" s="66"/>
      <c r="F62" s="67"/>
      <c r="G62" s="67"/>
      <c r="H62" s="66"/>
      <c r="I62" s="5"/>
    </row>
    <row r="63" spans="2:9">
      <c r="B63" s="66"/>
      <c r="C63" s="66"/>
      <c r="D63" s="66"/>
      <c r="E63" s="66"/>
      <c r="F63" s="67"/>
      <c r="G63" s="67"/>
      <c r="H63" s="66"/>
      <c r="I63" s="5"/>
    </row>
    <row r="64" spans="2:9">
      <c r="B64" s="66"/>
      <c r="C64" s="66"/>
      <c r="D64" s="66"/>
      <c r="E64" s="66"/>
      <c r="F64" s="67"/>
      <c r="G64" s="67"/>
      <c r="H64" s="66"/>
      <c r="I64" s="5"/>
    </row>
    <row r="65" spans="2:9">
      <c r="B65" s="56" t="s">
        <v>55</v>
      </c>
      <c r="C65" s="56"/>
      <c r="D65" s="56"/>
      <c r="E65" s="56"/>
      <c r="F65" s="56"/>
      <c r="G65" s="56"/>
      <c r="H65" s="56"/>
      <c r="I65" s="56"/>
    </row>
    <row r="66" spans="2:9">
      <c r="B66" s="63" t="s">
        <v>56</v>
      </c>
      <c r="C66" s="63"/>
      <c r="D66" s="63"/>
      <c r="E66" s="63"/>
      <c r="F66" s="63" t="s">
        <v>57</v>
      </c>
      <c r="G66" s="63"/>
      <c r="H66" s="63"/>
      <c r="I66" s="63"/>
    </row>
    <row r="67" spans="2:9">
      <c r="B67" s="63"/>
      <c r="C67" s="63"/>
      <c r="D67" s="63"/>
      <c r="E67" s="63"/>
      <c r="F67" s="63"/>
      <c r="G67" s="63"/>
      <c r="H67" s="63"/>
      <c r="I67" s="63"/>
    </row>
    <row r="68" spans="2:9">
      <c r="B68" s="63"/>
      <c r="C68" s="63"/>
      <c r="D68" s="63"/>
      <c r="E68" s="63"/>
      <c r="F68" s="63"/>
      <c r="G68" s="63"/>
      <c r="H68" s="63"/>
      <c r="I68" s="63"/>
    </row>
    <row r="69" spans="2:9">
      <c r="B69" s="63"/>
      <c r="C69" s="63"/>
      <c r="D69" s="63"/>
      <c r="E69" s="63"/>
      <c r="F69" s="63"/>
      <c r="G69" s="63"/>
      <c r="H69" s="63"/>
      <c r="I69" s="63"/>
    </row>
    <row r="70" spans="2:9">
      <c r="B70" s="63"/>
      <c r="C70" s="63"/>
      <c r="D70" s="63"/>
      <c r="E70" s="63"/>
      <c r="F70" s="63"/>
      <c r="G70" s="63"/>
      <c r="H70" s="63"/>
      <c r="I70" s="63"/>
    </row>
    <row r="71" spans="2:9">
      <c r="B71" s="63"/>
      <c r="C71" s="63"/>
      <c r="D71" s="63"/>
      <c r="E71" s="63"/>
      <c r="F71" s="63"/>
      <c r="G71" s="63"/>
      <c r="H71" s="63"/>
      <c r="I71" s="63"/>
    </row>
    <row r="72" spans="2:9">
      <c r="B72" s="63"/>
      <c r="C72" s="63"/>
      <c r="D72" s="63"/>
      <c r="E72" s="63"/>
      <c r="F72" s="63"/>
      <c r="G72" s="63"/>
      <c r="H72" s="63"/>
      <c r="I72" s="63"/>
    </row>
    <row r="73" spans="2:9">
      <c r="B73" s="63"/>
      <c r="C73" s="63"/>
      <c r="D73" s="63"/>
      <c r="E73" s="63"/>
      <c r="F73" s="63"/>
      <c r="G73" s="63"/>
      <c r="H73" s="63"/>
      <c r="I73" s="63"/>
    </row>
    <row r="74" spans="2:9">
      <c r="B74" s="63"/>
      <c r="C74" s="63"/>
      <c r="D74" s="63"/>
      <c r="E74" s="63"/>
      <c r="F74" s="63"/>
      <c r="G74" s="63"/>
      <c r="H74" s="63"/>
      <c r="I74" s="63"/>
    </row>
    <row r="75" spans="2:9">
      <c r="B75" s="63"/>
      <c r="C75" s="63"/>
      <c r="D75" s="63"/>
      <c r="E75" s="63"/>
      <c r="F75" s="63"/>
      <c r="G75" s="63"/>
      <c r="H75" s="63"/>
      <c r="I75" s="63"/>
    </row>
    <row r="76" spans="2:9">
      <c r="B76" s="63"/>
      <c r="C76" s="63"/>
      <c r="D76" s="63"/>
      <c r="E76" s="63"/>
      <c r="F76" s="63"/>
      <c r="G76" s="63"/>
      <c r="H76" s="63"/>
      <c r="I76" s="63"/>
    </row>
    <row r="77" spans="2:9">
      <c r="B77" s="63"/>
      <c r="C77" s="63"/>
      <c r="D77" s="63"/>
      <c r="E77" s="63"/>
      <c r="F77" s="63"/>
      <c r="G77" s="63"/>
      <c r="H77" s="63"/>
      <c r="I77" s="63"/>
    </row>
    <row r="78" spans="2:9">
      <c r="B78" s="63"/>
      <c r="C78" s="63"/>
      <c r="D78" s="63"/>
      <c r="E78" s="63"/>
      <c r="F78" s="63"/>
      <c r="G78" s="63"/>
      <c r="H78" s="63"/>
      <c r="I78" s="63"/>
    </row>
    <row r="79" spans="2:9">
      <c r="B79" s="63"/>
      <c r="C79" s="63"/>
      <c r="D79" s="63"/>
      <c r="E79" s="63"/>
      <c r="F79" s="63"/>
      <c r="G79" s="63"/>
      <c r="H79" s="63"/>
      <c r="I79" s="63"/>
    </row>
    <row r="80" spans="2:9">
      <c r="B80" s="64"/>
      <c r="C80" s="64"/>
      <c r="D80" s="64"/>
      <c r="E80" s="64"/>
      <c r="F80" s="64"/>
      <c r="G80" s="64"/>
      <c r="H80" s="64"/>
      <c r="I80" s="64"/>
    </row>
    <row r="81" spans="2:9">
      <c r="B81" s="56" t="s">
        <v>58</v>
      </c>
      <c r="C81" s="56"/>
      <c r="D81" s="56"/>
      <c r="E81" s="56"/>
      <c r="F81" s="56"/>
      <c r="G81" s="56"/>
      <c r="H81" s="56"/>
      <c r="I81" s="56"/>
    </row>
    <row r="82" spans="2:9">
      <c r="B82" s="9" t="s">
        <v>59</v>
      </c>
      <c r="C82" s="9" t="s">
        <v>60</v>
      </c>
      <c r="D82" s="9" t="s">
        <v>61</v>
      </c>
      <c r="E82" s="9" t="s">
        <v>62</v>
      </c>
      <c r="F82" s="9" t="s">
        <v>63</v>
      </c>
      <c r="G82" s="56" t="s">
        <v>64</v>
      </c>
      <c r="H82" s="56"/>
      <c r="I82" s="56"/>
    </row>
    <row r="83" spans="2:9">
      <c r="B83" s="10"/>
      <c r="C83" s="10"/>
      <c r="D83" s="10"/>
      <c r="E83" s="10"/>
      <c r="F83" s="10"/>
      <c r="G83" s="55"/>
      <c r="H83" s="55"/>
      <c r="I83" s="55"/>
    </row>
    <row r="84" spans="2:9">
      <c r="B84" s="10"/>
      <c r="C84" s="10"/>
      <c r="D84" s="10"/>
      <c r="E84" s="10"/>
      <c r="F84" s="10"/>
      <c r="G84" s="55"/>
      <c r="H84" s="55"/>
      <c r="I84" s="55"/>
    </row>
    <row r="85" spans="2:9">
      <c r="B85" s="10"/>
      <c r="C85" s="10"/>
      <c r="D85" s="10"/>
      <c r="E85" s="10"/>
      <c r="F85" s="10"/>
      <c r="G85" s="55"/>
      <c r="H85" s="55"/>
      <c r="I85" s="55"/>
    </row>
    <row r="86" spans="2:9">
      <c r="B86" s="10"/>
      <c r="C86" s="10"/>
      <c r="D86" s="10"/>
      <c r="E86" s="10"/>
      <c r="F86" s="10"/>
      <c r="G86" s="55"/>
      <c r="H86" s="55"/>
      <c r="I86" s="55"/>
    </row>
    <row r="87" spans="2:9">
      <c r="B87" s="10"/>
      <c r="C87" s="10"/>
      <c r="D87" s="10"/>
      <c r="E87" s="10"/>
      <c r="F87" s="10"/>
      <c r="G87" s="55"/>
      <c r="H87" s="55"/>
      <c r="I87" s="55"/>
    </row>
    <row r="88" spans="2:9">
      <c r="B88" s="10"/>
      <c r="C88" s="10"/>
      <c r="D88" s="10"/>
      <c r="E88" s="10"/>
      <c r="F88" s="10"/>
      <c r="G88" s="55"/>
      <c r="H88" s="55"/>
      <c r="I88" s="55"/>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57"/>
      <c r="C2" s="59" t="s">
        <v>0</v>
      </c>
      <c r="D2" s="59"/>
      <c r="E2" s="59"/>
      <c r="F2" s="59"/>
      <c r="G2" s="59"/>
      <c r="H2" s="59"/>
      <c r="I2" s="6" t="s">
        <v>1</v>
      </c>
    </row>
    <row r="3" spans="2:11" ht="20.25" customHeight="1">
      <c r="B3" s="58"/>
      <c r="C3" s="60"/>
      <c r="D3" s="60"/>
      <c r="E3" s="60"/>
      <c r="F3" s="60"/>
      <c r="G3" s="60"/>
      <c r="H3" s="60"/>
      <c r="I3" s="7" t="s">
        <v>2</v>
      </c>
    </row>
    <row r="4" spans="2:11" ht="21" customHeight="1" thickBot="1">
      <c r="B4" s="61" t="s">
        <v>3</v>
      </c>
      <c r="C4" s="62"/>
      <c r="D4" s="62"/>
      <c r="E4" s="62"/>
      <c r="F4" s="62"/>
      <c r="G4" s="62"/>
      <c r="H4" s="62"/>
      <c r="I4" s="8" t="s">
        <v>4</v>
      </c>
    </row>
    <row r="5" spans="2:11" ht="15.75" thickTop="1">
      <c r="B5" s="66"/>
      <c r="C5" s="66"/>
      <c r="D5" s="66"/>
      <c r="E5" s="66"/>
      <c r="F5" s="66"/>
      <c r="G5" s="66"/>
      <c r="H5" s="66"/>
      <c r="I5" s="66"/>
    </row>
    <row r="6" spans="2:11">
      <c r="B6" s="66" t="s">
        <v>5</v>
      </c>
      <c r="C6" s="66"/>
      <c r="D6" s="66"/>
      <c r="E6" s="66"/>
      <c r="F6" s="66"/>
      <c r="G6" s="66"/>
      <c r="H6" s="66"/>
      <c r="I6" s="66"/>
    </row>
    <row r="7" spans="2:11" ht="60">
      <c r="B7" s="3" t="s">
        <v>6</v>
      </c>
      <c r="C7" s="1"/>
      <c r="D7" s="2" t="s">
        <v>7</v>
      </c>
      <c r="E7" s="1"/>
      <c r="F7" s="2" t="s">
        <v>8</v>
      </c>
      <c r="G7" s="1"/>
      <c r="H7" s="2" t="s">
        <v>9</v>
      </c>
      <c r="I7" s="1"/>
    </row>
    <row r="8" spans="2:11" ht="45">
      <c r="B8" s="15" t="s">
        <v>10</v>
      </c>
      <c r="C8" s="16"/>
      <c r="D8" s="3" t="s">
        <v>65</v>
      </c>
      <c r="E8" s="73"/>
      <c r="F8" s="73"/>
      <c r="G8" s="2" t="s">
        <v>12</v>
      </c>
      <c r="H8" s="73"/>
      <c r="I8" s="73"/>
      <c r="K8" s="11" t="s">
        <v>66</v>
      </c>
    </row>
    <row r="9" spans="2:11" ht="30">
      <c r="B9" s="2" t="s">
        <v>13</v>
      </c>
      <c r="C9" s="5">
        <v>3</v>
      </c>
      <c r="D9" s="2" t="s">
        <v>14</v>
      </c>
      <c r="E9" s="5">
        <v>54</v>
      </c>
      <c r="F9" s="2" t="s">
        <v>15</v>
      </c>
      <c r="G9" s="5">
        <v>90</v>
      </c>
      <c r="H9" s="2" t="s">
        <v>16</v>
      </c>
      <c r="I9" s="5">
        <f>E9+G9</f>
        <v>144</v>
      </c>
      <c r="K9" s="11" t="s">
        <v>67</v>
      </c>
    </row>
    <row r="10" spans="2:11">
      <c r="B10" s="72" t="s">
        <v>17</v>
      </c>
      <c r="C10" s="56"/>
      <c r="D10" s="56"/>
      <c r="E10" s="56"/>
      <c r="F10" s="56"/>
      <c r="G10" s="56"/>
      <c r="H10" s="56"/>
      <c r="I10" s="56"/>
    </row>
    <row r="11" spans="2:11">
      <c r="B11" s="72" t="s">
        <v>18</v>
      </c>
      <c r="C11" s="72"/>
      <c r="D11" s="66" t="s">
        <v>19</v>
      </c>
      <c r="E11" s="67"/>
      <c r="F11" s="67"/>
      <c r="G11" s="66" t="s">
        <v>20</v>
      </c>
      <c r="H11" s="67"/>
      <c r="I11" s="67"/>
    </row>
    <row r="12" spans="2:11">
      <c r="B12" s="72"/>
      <c r="C12" s="72"/>
      <c r="D12" s="66"/>
      <c r="E12" s="67"/>
      <c r="F12" s="67"/>
      <c r="G12" s="66"/>
      <c r="H12" s="67"/>
      <c r="I12" s="67"/>
    </row>
    <row r="13" spans="2:11">
      <c r="B13" s="56" t="s">
        <v>21</v>
      </c>
      <c r="C13" s="56"/>
      <c r="D13" s="56"/>
      <c r="E13" s="56"/>
      <c r="F13" s="56"/>
      <c r="G13" s="56"/>
      <c r="H13" s="56"/>
      <c r="I13" s="56"/>
    </row>
    <row r="14" spans="2:11">
      <c r="B14" s="3" t="s">
        <v>22</v>
      </c>
      <c r="C14" s="73"/>
      <c r="D14" s="73"/>
      <c r="E14" s="3" t="s">
        <v>23</v>
      </c>
      <c r="F14" s="1"/>
      <c r="G14" s="3" t="s">
        <v>24</v>
      </c>
      <c r="H14" s="73"/>
      <c r="I14" s="73"/>
    </row>
    <row r="15" spans="2:11">
      <c r="B15" s="56" t="s">
        <v>25</v>
      </c>
      <c r="C15" s="56"/>
      <c r="D15" s="56"/>
      <c r="E15" s="56"/>
      <c r="F15" s="56"/>
      <c r="G15" s="56"/>
      <c r="H15" s="56"/>
      <c r="I15" s="56"/>
    </row>
    <row r="16" spans="2:11">
      <c r="B16" s="72" t="s">
        <v>26</v>
      </c>
      <c r="C16" s="72"/>
      <c r="D16" s="67" t="s">
        <v>68</v>
      </c>
      <c r="E16" s="67"/>
      <c r="F16" s="67"/>
      <c r="G16" s="67"/>
      <c r="H16" s="67"/>
      <c r="I16" s="67"/>
    </row>
    <row r="17" spans="2:12">
      <c r="B17" s="72"/>
      <c r="C17" s="72"/>
      <c r="D17" s="67"/>
      <c r="E17" s="67"/>
      <c r="F17" s="67"/>
      <c r="G17" s="67"/>
      <c r="H17" s="67"/>
      <c r="I17" s="67"/>
    </row>
    <row r="18" spans="2:12">
      <c r="B18" s="77" t="s">
        <v>27</v>
      </c>
      <c r="C18" s="78"/>
      <c r="D18" s="79"/>
      <c r="E18" s="79"/>
      <c r="F18" s="79"/>
      <c r="G18" s="79"/>
      <c r="H18" s="79"/>
      <c r="I18" s="79"/>
    </row>
    <row r="19" spans="2:12">
      <c r="B19" s="80" t="s">
        <v>28</v>
      </c>
      <c r="C19" s="80"/>
      <c r="D19" s="79"/>
      <c r="E19" s="79"/>
      <c r="F19" s="79"/>
      <c r="G19" s="79"/>
      <c r="H19" s="79"/>
      <c r="I19" s="79"/>
    </row>
    <row r="20" spans="2:12">
      <c r="B20" s="80"/>
      <c r="C20" s="80"/>
      <c r="D20" s="79"/>
      <c r="E20" s="79"/>
      <c r="F20" s="79"/>
      <c r="G20" s="79"/>
      <c r="H20" s="79"/>
      <c r="I20" s="79"/>
    </row>
    <row r="21" spans="2:12">
      <c r="B21" s="80" t="s">
        <v>29</v>
      </c>
      <c r="C21" s="80"/>
      <c r="D21" s="79" t="s">
        <v>69</v>
      </c>
      <c r="E21" s="79"/>
      <c r="F21" s="79"/>
      <c r="G21" s="79"/>
      <c r="H21" s="79"/>
      <c r="I21" s="79"/>
    </row>
    <row r="22" spans="2:12">
      <c r="B22" s="80"/>
      <c r="C22" s="80"/>
      <c r="D22" s="79"/>
      <c r="E22" s="79"/>
      <c r="F22" s="79"/>
      <c r="G22" s="79"/>
      <c r="H22" s="79"/>
      <c r="I22" s="79"/>
    </row>
    <row r="23" spans="2:12">
      <c r="B23" s="81" t="s">
        <v>30</v>
      </c>
      <c r="C23" s="81"/>
      <c r="D23" s="79" t="s">
        <v>31</v>
      </c>
      <c r="E23" s="79"/>
      <c r="F23" s="79"/>
      <c r="G23" s="79"/>
      <c r="H23" s="79"/>
      <c r="I23" s="79"/>
    </row>
    <row r="24" spans="2:12">
      <c r="B24" s="81"/>
      <c r="C24" s="81"/>
      <c r="D24" s="79" t="s">
        <v>32</v>
      </c>
      <c r="E24" s="79"/>
      <c r="F24" s="79"/>
      <c r="G24" s="79"/>
      <c r="H24" s="79"/>
      <c r="I24" s="79"/>
    </row>
    <row r="25" spans="2:12">
      <c r="B25" s="81"/>
      <c r="C25" s="81"/>
      <c r="D25" s="79" t="s">
        <v>33</v>
      </c>
      <c r="E25" s="79"/>
      <c r="F25" s="79"/>
      <c r="G25" s="79"/>
      <c r="H25" s="79"/>
      <c r="I25" s="79"/>
    </row>
    <row r="26" spans="2:12">
      <c r="B26" s="81"/>
      <c r="C26" s="81"/>
      <c r="D26" s="79" t="s">
        <v>34</v>
      </c>
      <c r="E26" s="79"/>
      <c r="F26" s="79"/>
      <c r="G26" s="79"/>
      <c r="H26" s="79"/>
      <c r="I26" s="79"/>
    </row>
    <row r="27" spans="2:12" ht="99.6" customHeight="1">
      <c r="B27" s="68" t="s">
        <v>70</v>
      </c>
      <c r="C27" s="68"/>
      <c r="D27" s="82" t="s">
        <v>71</v>
      </c>
      <c r="E27" s="83"/>
      <c r="F27" s="84"/>
      <c r="G27" s="74" t="s">
        <v>72</v>
      </c>
      <c r="H27" s="83"/>
      <c r="I27" s="84"/>
      <c r="L27" s="11" t="s">
        <v>73</v>
      </c>
    </row>
    <row r="28" spans="2:12" ht="90.6" customHeight="1">
      <c r="B28" s="68"/>
      <c r="C28" s="68"/>
      <c r="D28" s="85" t="s">
        <v>74</v>
      </c>
      <c r="E28" s="86"/>
      <c r="F28" s="87"/>
      <c r="G28" s="74" t="s">
        <v>75</v>
      </c>
      <c r="H28" s="89"/>
      <c r="I28" s="90"/>
      <c r="L28" s="11" t="s">
        <v>76</v>
      </c>
    </row>
    <row r="29" spans="2:12" ht="75.599999999999994" customHeight="1">
      <c r="B29" s="68"/>
      <c r="C29" s="68"/>
      <c r="D29" s="82" t="s">
        <v>77</v>
      </c>
      <c r="E29" s="83"/>
      <c r="F29" s="84"/>
      <c r="G29" s="74" t="s">
        <v>78</v>
      </c>
      <c r="H29" s="75"/>
      <c r="I29" s="76"/>
      <c r="L29" s="11" t="s">
        <v>79</v>
      </c>
    </row>
    <row r="30" spans="2:12">
      <c r="B30" s="56" t="s">
        <v>46</v>
      </c>
      <c r="C30" s="56"/>
      <c r="D30" s="56"/>
      <c r="E30" s="56"/>
      <c r="F30" s="56"/>
      <c r="G30" s="56"/>
      <c r="H30" s="56"/>
      <c r="I30" s="56"/>
    </row>
    <row r="31" spans="2:12">
      <c r="B31" s="55" t="s">
        <v>47</v>
      </c>
      <c r="C31" s="55"/>
      <c r="D31" s="55"/>
      <c r="E31" s="55"/>
      <c r="F31" s="55"/>
      <c r="G31" s="55"/>
      <c r="H31" s="55"/>
      <c r="I31" s="55"/>
    </row>
    <row r="32" spans="2:12">
      <c r="B32" s="55"/>
      <c r="C32" s="55"/>
      <c r="D32" s="55"/>
      <c r="E32" s="55"/>
      <c r="F32" s="55"/>
      <c r="G32" s="55"/>
      <c r="H32" s="55"/>
      <c r="I32" s="55"/>
    </row>
    <row r="33" spans="2:9">
      <c r="B33" s="55"/>
      <c r="C33" s="55"/>
      <c r="D33" s="55"/>
      <c r="E33" s="55"/>
      <c r="F33" s="55"/>
      <c r="G33" s="55"/>
      <c r="H33" s="55"/>
      <c r="I33" s="55"/>
    </row>
    <row r="34" spans="2:9">
      <c r="B34" s="63" t="s">
        <v>80</v>
      </c>
      <c r="C34" s="63"/>
      <c r="D34" s="63"/>
      <c r="E34" s="63"/>
      <c r="F34" s="88" t="s">
        <v>49</v>
      </c>
      <c r="G34" s="88"/>
      <c r="H34" s="88"/>
      <c r="I34" s="88"/>
    </row>
    <row r="35" spans="2:9">
      <c r="B35" s="63"/>
      <c r="C35" s="63"/>
      <c r="D35" s="63"/>
      <c r="E35" s="63"/>
      <c r="F35" s="88"/>
      <c r="G35" s="88"/>
      <c r="H35" s="88"/>
      <c r="I35" s="88"/>
    </row>
    <row r="36" spans="2:9">
      <c r="B36" s="63"/>
      <c r="C36" s="63"/>
      <c r="D36" s="63"/>
      <c r="E36" s="63"/>
      <c r="F36" s="88"/>
      <c r="G36" s="88"/>
      <c r="H36" s="88"/>
      <c r="I36" s="88"/>
    </row>
    <row r="37" spans="2:9">
      <c r="B37" s="63"/>
      <c r="C37" s="63"/>
      <c r="D37" s="63"/>
      <c r="E37" s="63"/>
      <c r="F37" s="88"/>
      <c r="G37" s="88"/>
      <c r="H37" s="88"/>
      <c r="I37" s="88"/>
    </row>
    <row r="38" spans="2:9">
      <c r="B38" s="63"/>
      <c r="C38" s="63"/>
      <c r="D38" s="63"/>
      <c r="E38" s="63"/>
      <c r="F38" s="88"/>
      <c r="G38" s="88"/>
      <c r="H38" s="88"/>
      <c r="I38" s="88"/>
    </row>
    <row r="39" spans="2:9">
      <c r="B39" s="63"/>
      <c r="C39" s="63"/>
      <c r="D39" s="63"/>
      <c r="E39" s="63"/>
      <c r="F39" s="88"/>
      <c r="G39" s="88"/>
      <c r="H39" s="88"/>
      <c r="I39" s="88"/>
    </row>
    <row r="40" spans="2:9">
      <c r="B40" s="63"/>
      <c r="C40" s="63"/>
      <c r="D40" s="63"/>
      <c r="E40" s="63"/>
      <c r="F40" s="88"/>
      <c r="G40" s="88"/>
      <c r="H40" s="88"/>
      <c r="I40" s="88"/>
    </row>
    <row r="41" spans="2:9">
      <c r="B41" s="63"/>
      <c r="C41" s="63"/>
      <c r="D41" s="63"/>
      <c r="E41" s="63"/>
      <c r="F41" s="88"/>
      <c r="G41" s="88"/>
      <c r="H41" s="88"/>
      <c r="I41" s="88"/>
    </row>
    <row r="42" spans="2:9">
      <c r="B42" s="63"/>
      <c r="C42" s="63"/>
      <c r="D42" s="63"/>
      <c r="E42" s="63"/>
      <c r="F42" s="88"/>
      <c r="G42" s="88"/>
      <c r="H42" s="88"/>
      <c r="I42" s="88"/>
    </row>
    <row r="43" spans="2:9">
      <c r="B43" s="56" t="s">
        <v>50</v>
      </c>
      <c r="C43" s="56"/>
      <c r="D43" s="56"/>
      <c r="E43" s="56"/>
      <c r="F43" s="56"/>
      <c r="G43" s="56"/>
      <c r="H43" s="56"/>
      <c r="I43" s="56"/>
    </row>
    <row r="44" spans="2:9">
      <c r="B44" s="65" t="s">
        <v>81</v>
      </c>
      <c r="C44" s="65"/>
      <c r="D44" s="65"/>
      <c r="E44" s="65"/>
      <c r="F44" s="63" t="s">
        <v>82</v>
      </c>
      <c r="G44" s="63"/>
      <c r="H44" s="63"/>
      <c r="I44" s="63"/>
    </row>
    <row r="45" spans="2:9">
      <c r="B45" s="65"/>
      <c r="C45" s="65"/>
      <c r="D45" s="65"/>
      <c r="E45" s="65"/>
      <c r="F45" s="63"/>
      <c r="G45" s="63"/>
      <c r="H45" s="63"/>
      <c r="I45" s="63"/>
    </row>
    <row r="46" spans="2:9">
      <c r="B46" s="65"/>
      <c r="C46" s="65"/>
      <c r="D46" s="65"/>
      <c r="E46" s="65"/>
      <c r="F46" s="63"/>
      <c r="G46" s="63"/>
      <c r="H46" s="63"/>
      <c r="I46" s="63"/>
    </row>
    <row r="47" spans="2:9">
      <c r="B47" s="65"/>
      <c r="C47" s="65"/>
      <c r="D47" s="65"/>
      <c r="E47" s="65"/>
      <c r="F47" s="63"/>
      <c r="G47" s="63"/>
      <c r="H47" s="63"/>
      <c r="I47" s="63"/>
    </row>
    <row r="48" spans="2:9">
      <c r="B48" s="65"/>
      <c r="C48" s="65"/>
      <c r="D48" s="65"/>
      <c r="E48" s="65"/>
      <c r="F48" s="63"/>
      <c r="G48" s="63"/>
      <c r="H48" s="63"/>
      <c r="I48" s="63"/>
    </row>
    <row r="49" spans="2:9">
      <c r="B49" s="65"/>
      <c r="C49" s="65"/>
      <c r="D49" s="65"/>
      <c r="E49" s="65"/>
      <c r="F49" s="63"/>
      <c r="G49" s="63"/>
      <c r="H49" s="63"/>
      <c r="I49" s="63"/>
    </row>
    <row r="50" spans="2:9">
      <c r="B50" s="65"/>
      <c r="C50" s="65"/>
      <c r="D50" s="65"/>
      <c r="E50" s="65"/>
      <c r="F50" s="63"/>
      <c r="G50" s="63"/>
      <c r="H50" s="63"/>
      <c r="I50" s="63"/>
    </row>
    <row r="51" spans="2:9">
      <c r="B51" s="65"/>
      <c r="C51" s="65"/>
      <c r="D51" s="65"/>
      <c r="E51" s="65"/>
      <c r="F51" s="63"/>
      <c r="G51" s="63"/>
      <c r="H51" s="63"/>
      <c r="I51" s="63"/>
    </row>
    <row r="52" spans="2:9">
      <c r="B52" s="65"/>
      <c r="C52" s="65"/>
      <c r="D52" s="65"/>
      <c r="E52" s="65"/>
      <c r="F52" s="63"/>
      <c r="G52" s="63"/>
      <c r="H52" s="63"/>
      <c r="I52" s="63"/>
    </row>
    <row r="53" spans="2:9">
      <c r="B53" s="65"/>
      <c r="C53" s="65"/>
      <c r="D53" s="65"/>
      <c r="E53" s="65"/>
      <c r="F53" s="63"/>
      <c r="G53" s="63"/>
      <c r="H53" s="63"/>
      <c r="I53" s="63"/>
    </row>
    <row r="54" spans="2:9">
      <c r="B54" s="65"/>
      <c r="C54" s="65"/>
      <c r="D54" s="65"/>
      <c r="E54" s="65"/>
      <c r="F54" s="63"/>
      <c r="G54" s="63"/>
      <c r="H54" s="63"/>
      <c r="I54" s="63"/>
    </row>
    <row r="55" spans="2:9">
      <c r="B55" s="66" t="s">
        <v>83</v>
      </c>
      <c r="C55" s="66"/>
      <c r="D55" s="66"/>
      <c r="E55" s="66"/>
      <c r="F55" s="67" t="s">
        <v>84</v>
      </c>
      <c r="G55" s="67"/>
      <c r="H55" s="66" t="s">
        <v>54</v>
      </c>
      <c r="I55" s="5"/>
    </row>
    <row r="56" spans="2:9">
      <c r="B56" s="66"/>
      <c r="C56" s="66"/>
      <c r="D56" s="66"/>
      <c r="E56" s="66"/>
      <c r="F56" s="67"/>
      <c r="G56" s="67"/>
      <c r="H56" s="66"/>
      <c r="I56" s="5"/>
    </row>
    <row r="57" spans="2:9">
      <c r="B57" s="66"/>
      <c r="C57" s="66"/>
      <c r="D57" s="66"/>
      <c r="E57" s="66"/>
      <c r="F57" s="67"/>
      <c r="G57" s="67"/>
      <c r="H57" s="66"/>
      <c r="I57" s="5"/>
    </row>
    <row r="58" spans="2:9">
      <c r="B58" s="66"/>
      <c r="C58" s="66"/>
      <c r="D58" s="66"/>
      <c r="E58" s="66"/>
      <c r="F58" s="67"/>
      <c r="G58" s="67"/>
      <c r="H58" s="66"/>
      <c r="I58" s="5"/>
    </row>
    <row r="59" spans="2:9">
      <c r="B59" s="66"/>
      <c r="C59" s="66"/>
      <c r="D59" s="66"/>
      <c r="E59" s="66"/>
      <c r="F59" s="67"/>
      <c r="G59" s="67"/>
      <c r="H59" s="66"/>
      <c r="I59" s="5"/>
    </row>
    <row r="60" spans="2:9">
      <c r="B60" s="56" t="s">
        <v>55</v>
      </c>
      <c r="C60" s="56"/>
      <c r="D60" s="56"/>
      <c r="E60" s="56"/>
      <c r="F60" s="56"/>
      <c r="G60" s="56"/>
      <c r="H60" s="56"/>
      <c r="I60" s="56"/>
    </row>
    <row r="61" spans="2:9">
      <c r="B61" s="63" t="s">
        <v>56</v>
      </c>
      <c r="C61" s="63"/>
      <c r="D61" s="63"/>
      <c r="E61" s="63"/>
      <c r="F61" s="63" t="s">
        <v>57</v>
      </c>
      <c r="G61" s="63"/>
      <c r="H61" s="63"/>
      <c r="I61" s="63"/>
    </row>
    <row r="62" spans="2:9">
      <c r="B62" s="63"/>
      <c r="C62" s="63"/>
      <c r="D62" s="63"/>
      <c r="E62" s="63"/>
      <c r="F62" s="63"/>
      <c r="G62" s="63"/>
      <c r="H62" s="63"/>
      <c r="I62" s="63"/>
    </row>
    <row r="63" spans="2:9">
      <c r="B63" s="63"/>
      <c r="C63" s="63"/>
      <c r="D63" s="63"/>
      <c r="E63" s="63"/>
      <c r="F63" s="63"/>
      <c r="G63" s="63"/>
      <c r="H63" s="63"/>
      <c r="I63" s="63"/>
    </row>
    <row r="64" spans="2:9">
      <c r="B64" s="63"/>
      <c r="C64" s="63"/>
      <c r="D64" s="63"/>
      <c r="E64" s="63"/>
      <c r="F64" s="63"/>
      <c r="G64" s="63"/>
      <c r="H64" s="63"/>
      <c r="I64" s="63"/>
    </row>
    <row r="65" spans="2:9">
      <c r="B65" s="63"/>
      <c r="C65" s="63"/>
      <c r="D65" s="63"/>
      <c r="E65" s="63"/>
      <c r="F65" s="63"/>
      <c r="G65" s="63"/>
      <c r="H65" s="63"/>
      <c r="I65" s="63"/>
    </row>
    <row r="66" spans="2:9">
      <c r="B66" s="63"/>
      <c r="C66" s="63"/>
      <c r="D66" s="63"/>
      <c r="E66" s="63"/>
      <c r="F66" s="63"/>
      <c r="G66" s="63"/>
      <c r="H66" s="63"/>
      <c r="I66" s="63"/>
    </row>
    <row r="67" spans="2:9">
      <c r="B67" s="63"/>
      <c r="C67" s="63"/>
      <c r="D67" s="63"/>
      <c r="E67" s="63"/>
      <c r="F67" s="63"/>
      <c r="G67" s="63"/>
      <c r="H67" s="63"/>
      <c r="I67" s="63"/>
    </row>
    <row r="68" spans="2:9">
      <c r="B68" s="63"/>
      <c r="C68" s="63"/>
      <c r="D68" s="63"/>
      <c r="E68" s="63"/>
      <c r="F68" s="63"/>
      <c r="G68" s="63"/>
      <c r="H68" s="63"/>
      <c r="I68" s="63"/>
    </row>
    <row r="69" spans="2:9">
      <c r="B69" s="63"/>
      <c r="C69" s="63"/>
      <c r="D69" s="63"/>
      <c r="E69" s="63"/>
      <c r="F69" s="63"/>
      <c r="G69" s="63"/>
      <c r="H69" s="63"/>
      <c r="I69" s="63"/>
    </row>
    <row r="70" spans="2:9">
      <c r="B70" s="63"/>
      <c r="C70" s="63"/>
      <c r="D70" s="63"/>
      <c r="E70" s="63"/>
      <c r="F70" s="63"/>
      <c r="G70" s="63"/>
      <c r="H70" s="63"/>
      <c r="I70" s="63"/>
    </row>
    <row r="71" spans="2:9">
      <c r="B71" s="63"/>
      <c r="C71" s="63"/>
      <c r="D71" s="63"/>
      <c r="E71" s="63"/>
      <c r="F71" s="63"/>
      <c r="G71" s="63"/>
      <c r="H71" s="63"/>
      <c r="I71" s="63"/>
    </row>
    <row r="72" spans="2:9">
      <c r="B72" s="63"/>
      <c r="C72" s="63"/>
      <c r="D72" s="63"/>
      <c r="E72" s="63"/>
      <c r="F72" s="63"/>
      <c r="G72" s="63"/>
      <c r="H72" s="63"/>
      <c r="I72" s="63"/>
    </row>
    <row r="73" spans="2:9">
      <c r="B73" s="63"/>
      <c r="C73" s="63"/>
      <c r="D73" s="63"/>
      <c r="E73" s="63"/>
      <c r="F73" s="63"/>
      <c r="G73" s="63"/>
      <c r="H73" s="63"/>
      <c r="I73" s="63"/>
    </row>
    <row r="74" spans="2:9">
      <c r="B74" s="63"/>
      <c r="C74" s="63"/>
      <c r="D74" s="63"/>
      <c r="E74" s="63"/>
      <c r="F74" s="63"/>
      <c r="G74" s="63"/>
      <c r="H74" s="63"/>
      <c r="I74" s="63"/>
    </row>
    <row r="75" spans="2:9">
      <c r="B75" s="64"/>
      <c r="C75" s="64"/>
      <c r="D75" s="64"/>
      <c r="E75" s="64"/>
      <c r="F75" s="64"/>
      <c r="G75" s="64"/>
      <c r="H75" s="64"/>
      <c r="I75" s="64"/>
    </row>
    <row r="76" spans="2:9">
      <c r="B76" s="56" t="s">
        <v>58</v>
      </c>
      <c r="C76" s="56"/>
      <c r="D76" s="56"/>
      <c r="E76" s="56"/>
      <c r="F76" s="56"/>
      <c r="G76" s="56"/>
      <c r="H76" s="56"/>
      <c r="I76" s="56"/>
    </row>
    <row r="77" spans="2:9">
      <c r="B77" s="9" t="s">
        <v>59</v>
      </c>
      <c r="C77" s="9" t="s">
        <v>60</v>
      </c>
      <c r="D77" s="9" t="s">
        <v>61</v>
      </c>
      <c r="E77" s="9" t="s">
        <v>62</v>
      </c>
      <c r="F77" s="9" t="s">
        <v>63</v>
      </c>
      <c r="G77" s="56" t="s">
        <v>64</v>
      </c>
      <c r="H77" s="56"/>
      <c r="I77" s="56"/>
    </row>
    <row r="78" spans="2:9">
      <c r="B78" s="10"/>
      <c r="C78" s="10"/>
      <c r="D78" s="10"/>
      <c r="E78" s="10"/>
      <c r="F78" s="10"/>
      <c r="G78" s="55"/>
      <c r="H78" s="55"/>
      <c r="I78" s="55"/>
    </row>
    <row r="79" spans="2:9">
      <c r="B79" s="10"/>
      <c r="C79" s="10"/>
      <c r="D79" s="10"/>
      <c r="E79" s="10"/>
      <c r="F79" s="10"/>
      <c r="G79" s="55"/>
      <c r="H79" s="55"/>
      <c r="I79" s="55"/>
    </row>
    <row r="80" spans="2:9">
      <c r="B80" s="10"/>
      <c r="C80" s="10"/>
      <c r="D80" s="10"/>
      <c r="E80" s="10"/>
      <c r="F80" s="10"/>
      <c r="G80" s="55"/>
      <c r="H80" s="55"/>
      <c r="I80" s="55"/>
    </row>
    <row r="81" spans="2:9">
      <c r="B81" s="10"/>
      <c r="C81" s="10"/>
      <c r="D81" s="10"/>
      <c r="E81" s="10"/>
      <c r="F81" s="10"/>
      <c r="G81" s="55"/>
      <c r="H81" s="55"/>
      <c r="I81" s="55"/>
    </row>
    <row r="82" spans="2:9">
      <c r="B82" s="10"/>
      <c r="C82" s="10"/>
      <c r="D82" s="10"/>
      <c r="E82" s="10"/>
      <c r="F82" s="10"/>
      <c r="G82" s="55"/>
      <c r="H82" s="55"/>
      <c r="I82" s="55"/>
    </row>
    <row r="83" spans="2:9">
      <c r="B83" s="10"/>
      <c r="C83" s="10"/>
      <c r="D83" s="10"/>
      <c r="E83" s="10"/>
      <c r="F83" s="10"/>
      <c r="G83" s="55"/>
      <c r="H83" s="55"/>
      <c r="I83" s="55"/>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02FAA-7448-415A-9188-F1A5055635C9}">
  <dimension ref="B2:H36"/>
  <sheetViews>
    <sheetView topLeftCell="A6" zoomScale="70" zoomScaleNormal="70" workbookViewId="0">
      <selection activeCell="H19" sqref="H19"/>
    </sheetView>
  </sheetViews>
  <sheetFormatPr defaultColWidth="11.42578125" defaultRowHeight="15"/>
  <cols>
    <col min="3" max="3" width="74" bestFit="1" customWidth="1"/>
    <col min="4" max="4" width="32.85546875" customWidth="1"/>
    <col min="5" max="7" width="16.28515625" customWidth="1"/>
    <col min="8" max="8" width="44.140625" customWidth="1"/>
    <col min="9" max="9" width="11.42578125" customWidth="1"/>
  </cols>
  <sheetData>
    <row r="2" spans="2:8" ht="15.75" thickBot="1"/>
    <row r="3" spans="2:8" ht="15.75" thickBot="1">
      <c r="H3" s="35" t="s">
        <v>85</v>
      </c>
    </row>
    <row r="4" spans="2:8" ht="16.5">
      <c r="B4">
        <v>1</v>
      </c>
      <c r="C4" s="33" t="s">
        <v>6</v>
      </c>
      <c r="D4" s="40">
        <v>2026</v>
      </c>
      <c r="H4" s="36">
        <v>2026</v>
      </c>
    </row>
    <row r="5" spans="2:8" ht="17.25" thickBot="1">
      <c r="B5">
        <v>2</v>
      </c>
      <c r="C5" s="33" t="s">
        <v>7</v>
      </c>
      <c r="D5" s="40" t="s">
        <v>86</v>
      </c>
      <c r="H5" s="35" t="s">
        <v>86</v>
      </c>
    </row>
    <row r="6" spans="2:8" ht="17.25" thickBot="1">
      <c r="B6">
        <v>3</v>
      </c>
      <c r="C6" s="33" t="s">
        <v>8</v>
      </c>
      <c r="D6" s="40" t="s">
        <v>87</v>
      </c>
      <c r="H6" s="35" t="s">
        <v>88</v>
      </c>
    </row>
    <row r="7" spans="2:8" ht="16.5">
      <c r="B7">
        <v>4</v>
      </c>
      <c r="C7" s="33" t="s">
        <v>9</v>
      </c>
      <c r="D7" s="5" t="str">
        <f>+H7</f>
        <v>Nuclear</v>
      </c>
      <c r="H7" s="37" t="s">
        <v>89</v>
      </c>
    </row>
    <row r="8" spans="2:8" ht="17.25" thickBot="1">
      <c r="B8">
        <v>5</v>
      </c>
      <c r="C8" s="33" t="s">
        <v>10</v>
      </c>
      <c r="D8" s="5" t="str">
        <f>+H8</f>
        <v>Facultad de Ingeniería</v>
      </c>
      <c r="H8" s="35" t="s">
        <v>90</v>
      </c>
    </row>
    <row r="9" spans="2:8" ht="17.25" thickBot="1">
      <c r="B9">
        <v>6</v>
      </c>
      <c r="C9" s="33" t="s">
        <v>11</v>
      </c>
      <c r="D9" s="5" t="str">
        <f>+H9</f>
        <v>Ingeniería Industrial</v>
      </c>
      <c r="H9" s="35" t="s">
        <v>91</v>
      </c>
    </row>
    <row r="10" spans="2:8" ht="14.25" customHeight="1" thickBot="1">
      <c r="B10">
        <v>7</v>
      </c>
      <c r="C10" s="33" t="s">
        <v>92</v>
      </c>
      <c r="D10" s="49" t="str">
        <f>+H10</f>
        <v>Ingeniería de Métodos</v>
      </c>
      <c r="H10" s="35" t="s">
        <v>93</v>
      </c>
    </row>
    <row r="11" spans="2:8" ht="16.5">
      <c r="B11">
        <v>8</v>
      </c>
      <c r="C11" s="33" t="s">
        <v>13</v>
      </c>
      <c r="D11" s="5">
        <v>3</v>
      </c>
      <c r="H11" s="36">
        <v>3</v>
      </c>
    </row>
    <row r="12" spans="2:8" ht="16.5">
      <c r="B12">
        <v>9</v>
      </c>
      <c r="C12" s="33" t="s">
        <v>14</v>
      </c>
      <c r="D12" s="5">
        <f t="shared" ref="D12:D19" si="0">+H12</f>
        <v>54</v>
      </c>
      <c r="H12" s="36">
        <v>54</v>
      </c>
    </row>
    <row r="13" spans="2:8" ht="16.5">
      <c r="B13">
        <v>10</v>
      </c>
      <c r="C13" s="33" t="s">
        <v>15</v>
      </c>
      <c r="D13" s="5">
        <f t="shared" si="0"/>
        <v>90</v>
      </c>
      <c r="H13" s="36">
        <v>90</v>
      </c>
    </row>
    <row r="14" spans="2:8" ht="16.5">
      <c r="B14">
        <v>11</v>
      </c>
      <c r="C14" s="33" t="s">
        <v>16</v>
      </c>
      <c r="D14" s="5">
        <f t="shared" si="0"/>
        <v>144</v>
      </c>
      <c r="H14" s="36">
        <v>144</v>
      </c>
    </row>
    <row r="15" spans="2:8" ht="16.5">
      <c r="B15">
        <v>12</v>
      </c>
      <c r="C15" s="33" t="s">
        <v>94</v>
      </c>
      <c r="D15" s="5" t="str">
        <f t="shared" si="0"/>
        <v>Presencial</v>
      </c>
      <c r="E15" s="45" t="str">
        <f>IF(D15="Presencial","SI","")</f>
        <v>SI</v>
      </c>
      <c r="F15" s="45" t="str">
        <f>IF(D15="Virtual","SI","")</f>
        <v/>
      </c>
      <c r="H15" s="37" t="s">
        <v>19</v>
      </c>
    </row>
    <row r="16" spans="2:8" ht="17.25" thickBot="1">
      <c r="B16">
        <v>13</v>
      </c>
      <c r="C16" s="33" t="s">
        <v>95</v>
      </c>
      <c r="D16" s="5" t="str">
        <f t="shared" si="0"/>
        <v>El abordaje de los contenidos tratados en Ingeniería de métodos se realizará a través de estrategias que enfatizan en la contrastación de la teoría y la práctica, mediante la aplicación de instrumentos que contribuyan a la transferencia y aplicación de los principios teóricos de la Ingeniería de métodos a situaciones empresariales concretas en el ambiente de actuación del participante.</v>
      </c>
      <c r="H16" s="35" t="s">
        <v>96</v>
      </c>
    </row>
    <row r="17" spans="2:8" ht="17.25" thickBot="1">
      <c r="B17">
        <v>14</v>
      </c>
      <c r="C17" s="33" t="s">
        <v>26</v>
      </c>
      <c r="D17" s="5" t="str">
        <f t="shared" si="0"/>
        <v>La Unidad Ingeniería de métodos contribuye a la comprensión y dominio de los factores que determinan la productividad de las organizaciones y las diversas técnicas y herramientas que contribuyen a mejorar los resultados de los estudios del trabajo en las organizaciones; así como, al diseño e implementación de iniciativas de mejora continua que aporten a una mejora aplicación de los recursos y capacidades empresariales en los procesos de creación de valor.</v>
      </c>
      <c r="H17" s="35" t="s">
        <v>97</v>
      </c>
    </row>
    <row r="18" spans="2:8" ht="17.25" thickBot="1">
      <c r="B18">
        <v>15</v>
      </c>
      <c r="C18" s="33" t="s">
        <v>27</v>
      </c>
      <c r="D18" s="5" t="str">
        <f t="shared" si="0"/>
        <v>Analiza, diagnostica y propone mejoras en sistemas productivos mediante la aplicación de técnicas y herramientas de ingeniería de métodos, estudio del trabajo y mejora continua, para optimizar la productividad y eficiencia de las operaciones en contextos organizacionales reales.</v>
      </c>
      <c r="H18" s="35" t="s">
        <v>98</v>
      </c>
    </row>
    <row r="19" spans="2:8" ht="17.25" thickBot="1">
      <c r="B19">
        <v>16</v>
      </c>
      <c r="C19" s="33" t="s">
        <v>99</v>
      </c>
      <c r="D19" s="5" t="str">
        <f t="shared" si="0"/>
        <v>Al finalizar el programa, el egresado estará en capacidad de liderar proyectos de mejora de la productividad en organizaciones de diversos sectores, aplicando un enfoque sistémico que integre el estudio del trabajo, el análisis de procesos y la implementación de tecnologías emergentes para la optimización de recursos y la generación de valor sostenible.</v>
      </c>
      <c r="H19" s="35" t="s">
        <v>100</v>
      </c>
    </row>
    <row r="20" spans="2:8" ht="17.25" thickBot="1">
      <c r="B20">
        <v>17</v>
      </c>
      <c r="C20" s="33" t="s">
        <v>101</v>
      </c>
      <c r="D20" s="5"/>
      <c r="H20" s="35" t="s">
        <v>102</v>
      </c>
    </row>
    <row r="21" spans="2:8" ht="17.25" thickBot="1">
      <c r="B21">
        <v>18</v>
      </c>
      <c r="C21" s="33" t="s">
        <v>103</v>
      </c>
      <c r="D21" s="5"/>
      <c r="H21" s="35" t="s">
        <v>104</v>
      </c>
    </row>
    <row r="22" spans="2:8" ht="17.25" thickBot="1">
      <c r="B22">
        <v>19</v>
      </c>
      <c r="C22" s="33" t="s">
        <v>105</v>
      </c>
      <c r="D22" s="5"/>
      <c r="H22" s="35" t="s">
        <v>106</v>
      </c>
    </row>
    <row r="23" spans="2:8" ht="333.75">
      <c r="B23">
        <v>20</v>
      </c>
      <c r="C23" s="54" t="s">
        <v>107</v>
      </c>
      <c r="D23" s="5" t="s">
        <v>108</v>
      </c>
      <c r="E23" s="34" t="str">
        <f>IF(D23="4.5 Semanas",H23,"")</f>
        <v/>
      </c>
      <c r="F23" s="34" t="str">
        <f>IF(D23="9 Semanas",H23,"")</f>
        <v>Módulo 1: Fundamentos de Ingeniería de Métodos Introducción a la Ingeniería de Métodos: Definición y objetivos, Historia y evolución. Análisis de Procesos: Diagramas de flujo, Mapas de procesos. Estudio de Tiempos y Movimientos: Técnicas de medición del trabajo, Análisis de movimientos. Módulo 2: Mejora de Procesos y Eficiencia Rediseño de Procesos: Principios de mejora continua (Kaizen), Herramientas Lean (5S, VSM). Eficiencia de Máquinas y Equipos: Mantenimiento productivo total (TPM), Indicadores de rendimiento (OEE). Estándares de Operación: Definición y documentación, Implementación y seguimiento. Módulo 3: Automatización y Nuevas Tecnologías Robots y Cobots en la Industria: Tipos y aplicaciones, Integración en procesos existentes. Tecnologías de Reconocimiento y Lectura: Reconocimiento de imágenes, Lectura de códigos de barras y RFID. Sistemas de Control y Monitoreo: SCADA y PLCs, Internet de las cosas (IoT) en la industria. Módulo 4: Innovación y Futuro de la Ingeniería de Métodos Nuevos Mecanismos y Herramientas: Innovaciones en herramientas de mejora, Casos de estudio y mejores prácticas. Tendencias Futuras: Industria 4.0, Inteligencia artificial y aprendizaje automático. Proyectos de Mejora: Desarrollo y gestión de proyectos, Evaluación de impacto y resultados.</v>
      </c>
      <c r="G23" s="34" t="str">
        <f>IF(D23="18 Semanas",H23,"")</f>
        <v/>
      </c>
      <c r="H23" s="53" t="s">
        <v>109</v>
      </c>
    </row>
    <row r="24" spans="2:8" ht="17.25" thickBot="1">
      <c r="B24">
        <v>21</v>
      </c>
      <c r="C24" s="33" t="s">
        <v>110</v>
      </c>
      <c r="D24" s="5"/>
      <c r="H24" s="35" t="s">
        <v>111</v>
      </c>
    </row>
    <row r="25" spans="2:8" ht="17.25" thickBot="1">
      <c r="B25">
        <v>22</v>
      </c>
      <c r="C25" s="33" t="s">
        <v>112</v>
      </c>
      <c r="D25" s="5" t="str">
        <f t="shared" ref="D25:D34" si="1">+H25</f>
        <v>1er corte: 20%; 2do corte: 20%; 3er corte: 30%; 4to corte: 20%; Prueba objetiva: 10%.</v>
      </c>
      <c r="H25" s="35" t="s">
        <v>113</v>
      </c>
    </row>
    <row r="26" spans="2:8" ht="17.25" thickBot="1">
      <c r="B26">
        <v>23</v>
      </c>
      <c r="C26" s="33" t="s">
        <v>52</v>
      </c>
      <c r="D26" s="5" t="str">
        <f t="shared" si="1"/>
        <v>Microsoft Excel, Solidworks, Minitab, Flexsim.</v>
      </c>
      <c r="H26" s="35" t="s">
        <v>114</v>
      </c>
    </row>
    <row r="27" spans="2:8" ht="16.5">
      <c r="B27">
        <v>24</v>
      </c>
      <c r="C27" s="33" t="s">
        <v>115</v>
      </c>
      <c r="D27" s="5" t="str">
        <f t="shared" si="1"/>
        <v>Inglés</v>
      </c>
      <c r="H27" s="37" t="s">
        <v>84</v>
      </c>
    </row>
    <row r="28" spans="2:8" ht="16.5">
      <c r="B28">
        <v>25</v>
      </c>
      <c r="C28" s="33" t="s">
        <v>54</v>
      </c>
      <c r="D28" s="42">
        <f t="shared" si="1"/>
        <v>0.3</v>
      </c>
      <c r="H28" s="38">
        <v>0.3</v>
      </c>
    </row>
    <row r="29" spans="2:8" ht="57" customHeight="1" thickBot="1">
      <c r="B29">
        <v>26</v>
      </c>
      <c r="C29" s="33" t="s">
        <v>56</v>
      </c>
      <c r="D29" s="46" t="str">
        <f t="shared" si="1"/>
        <v>Escalante, A. &amp; González, J.F.D. (2018). Ingeniería Industrial. Métodos y tiempos con manufactura ágil. Editorial Alfaomega, Bogotá. Campano, C. C., González, M. A., Farías, N. C., &amp; Herrera González, M. J. (2017). La productividad total de factores en el sector manufacturero chileno. Revista De Economía Institucional, 18(35). Justo de, J. M., Ovidio López Robayo, &amp; Javier Díaz Castro. (2014). Productividad, eficiencia y sus factores explicativos en el sector de la construcción en Colombia 2005-2010. Cuadernos de Economía, 33 (63), 569-588.</v>
      </c>
      <c r="E29" s="47" t="str">
        <f>CONCATENATE("Bibliografía Obligatoria",": ",D29)</f>
        <v>Bibliografía Obligatoria: Escalante, A. &amp; González, J.F.D. (2018). Ingeniería Industrial. Métodos y tiempos con manufactura ágil. Editorial Alfaomega, Bogotá. Campano, C. C., González, M. A., Farías, N. C., &amp; Herrera González, M. J. (2017). La productividad total de factores en el sector manufacturero chileno. Revista De Economía Institucional, 18(35). Justo de, J. M., Ovidio López Robayo, &amp; Javier Díaz Castro. (2014). Productividad, eficiencia y sus factores explicativos en el sector de la construcción en Colombia 2005-2010. Cuadernos de Economía, 33 (63), 569-588.</v>
      </c>
      <c r="H29" s="35" t="s">
        <v>116</v>
      </c>
    </row>
    <row r="30" spans="2:8" ht="56.25" customHeight="1" thickBot="1">
      <c r="B30">
        <v>27</v>
      </c>
      <c r="C30" s="33" t="s">
        <v>57</v>
      </c>
      <c r="D30" s="46" t="str">
        <f t="shared" si="1"/>
        <v>Rodriguez-Perez (2023) Human Error Reduction in Manufacturing. Quality Press. Segunda edición.</v>
      </c>
      <c r="E30" s="47" t="str">
        <f>CONCATENATE("Bibliografía Complementaria",": ",D30)</f>
        <v>Bibliografía Complementaria: Rodriguez-Perez (2023) Human Error Reduction in Manufacturing. Quality Press. Segunda edición.</v>
      </c>
      <c r="H30" s="35" t="s">
        <v>117</v>
      </c>
    </row>
    <row r="31" spans="2:8" ht="16.5">
      <c r="B31">
        <v>28</v>
      </c>
      <c r="C31" s="33" t="s">
        <v>118</v>
      </c>
      <c r="D31" s="5">
        <f t="shared" si="1"/>
        <v>1</v>
      </c>
      <c r="H31" s="36">
        <v>1</v>
      </c>
    </row>
    <row r="32" spans="2:8" ht="16.5">
      <c r="B32">
        <v>29</v>
      </c>
      <c r="C32" s="33" t="s">
        <v>60</v>
      </c>
      <c r="D32" s="44">
        <f t="shared" si="1"/>
        <v>45525</v>
      </c>
      <c r="H32" s="39">
        <v>45525</v>
      </c>
    </row>
    <row r="33" spans="2:8" ht="17.25" thickBot="1">
      <c r="B33">
        <v>30</v>
      </c>
      <c r="C33" s="33" t="s">
        <v>119</v>
      </c>
      <c r="D33" s="5" t="str">
        <f t="shared" si="1"/>
        <v>Jose Divitt Velosa</v>
      </c>
      <c r="H33" s="35" t="s">
        <v>120</v>
      </c>
    </row>
    <row r="34" spans="2:8" ht="17.25" thickBot="1">
      <c r="B34">
        <v>31</v>
      </c>
      <c r="C34" s="33" t="s">
        <v>62</v>
      </c>
      <c r="D34" s="5" t="str">
        <f t="shared" si="1"/>
        <v>Jose Divitt Velosa</v>
      </c>
      <c r="H34" s="35" t="s">
        <v>120</v>
      </c>
    </row>
    <row r="35" spans="2:8" ht="16.5">
      <c r="B35">
        <v>32</v>
      </c>
      <c r="C35" s="33" t="s">
        <v>63</v>
      </c>
      <c r="D35" s="34" t="s">
        <v>120</v>
      </c>
      <c r="H35" s="37" t="s">
        <v>121</v>
      </c>
    </row>
    <row r="36" spans="2:8" ht="16.5">
      <c r="B36">
        <v>33</v>
      </c>
      <c r="C36" s="33" t="s">
        <v>64</v>
      </c>
      <c r="D36" s="5" t="str">
        <f>+H36</f>
        <v>Nuevo formato de syllabus</v>
      </c>
      <c r="H36" s="37" t="s">
        <v>122</v>
      </c>
    </row>
  </sheetData>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12F58610-8BE9-400B-B5E3-930E48F074A0}">
          <x14:formula1>
            <xm:f>'Formato Syllabus_NV (2)'!$B$19:$I$19</xm:f>
          </x14:formula1>
          <xm:sqref>D23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J14" sqref="J14"/>
    </sheetView>
  </sheetViews>
  <sheetFormatPr defaultColWidth="10.85546875" defaultRowHeight="15"/>
  <cols>
    <col min="1" max="1" width="3.140625" style="11" customWidth="1"/>
    <col min="2" max="2" width="14.28515625" style="11" customWidth="1"/>
    <col min="3" max="3" width="14" style="11" customWidth="1"/>
    <col min="4" max="4" width="12.28515625" style="11" customWidth="1"/>
    <col min="5" max="5" width="10.140625" style="11" customWidth="1"/>
    <col min="6" max="6" width="10.85546875" style="11"/>
    <col min="7" max="7" width="12.2851562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57"/>
      <c r="C2" s="59" t="s">
        <v>0</v>
      </c>
      <c r="D2" s="59"/>
      <c r="E2" s="59"/>
      <c r="F2" s="59"/>
      <c r="G2" s="59"/>
      <c r="H2" s="59"/>
      <c r="I2" s="6" t="s">
        <v>123</v>
      </c>
    </row>
    <row r="3" spans="2:9" ht="20.25" customHeight="1">
      <c r="B3" s="58"/>
      <c r="C3" s="60"/>
      <c r="D3" s="60"/>
      <c r="E3" s="60"/>
      <c r="F3" s="60"/>
      <c r="G3" s="60"/>
      <c r="H3" s="60"/>
      <c r="I3" s="7" t="s">
        <v>2</v>
      </c>
    </row>
    <row r="4" spans="2:9" ht="21" customHeight="1" thickBot="1">
      <c r="B4" s="61" t="s">
        <v>3</v>
      </c>
      <c r="C4" s="62"/>
      <c r="D4" s="62"/>
      <c r="E4" s="62"/>
      <c r="F4" s="62"/>
      <c r="G4" s="62"/>
      <c r="H4" s="62"/>
      <c r="I4" s="8" t="s">
        <v>124</v>
      </c>
    </row>
    <row r="5" spans="2:9" ht="16.5" thickTop="1" thickBot="1">
      <c r="B5" s="175"/>
      <c r="C5" s="175"/>
      <c r="D5" s="175"/>
      <c r="E5" s="175"/>
      <c r="F5" s="175"/>
      <c r="G5" s="175"/>
      <c r="H5" s="175"/>
      <c r="I5" s="175"/>
    </row>
    <row r="6" spans="2:9">
      <c r="B6" s="176" t="s">
        <v>5</v>
      </c>
      <c r="C6" s="177"/>
      <c r="D6" s="177"/>
      <c r="E6" s="177"/>
      <c r="F6" s="177"/>
      <c r="G6" s="177"/>
      <c r="H6" s="177"/>
      <c r="I6" s="178"/>
    </row>
    <row r="7" spans="2:9" ht="60">
      <c r="B7" s="26" t="s">
        <v>6</v>
      </c>
      <c r="C7" s="1">
        <f>+Hoja1!D4</f>
        <v>2026</v>
      </c>
      <c r="D7" s="2" t="s">
        <v>7</v>
      </c>
      <c r="E7" s="48" t="str">
        <f>+Hoja1!D5</f>
        <v>PFPINIBOG001</v>
      </c>
      <c r="F7" s="2" t="s">
        <v>8</v>
      </c>
      <c r="G7" s="41" t="str">
        <f>+Hoja1!D6</f>
        <v>IFPN0029</v>
      </c>
      <c r="H7" s="2" t="s">
        <v>9</v>
      </c>
      <c r="I7" s="27" t="str">
        <f>+Hoja1!D7</f>
        <v>Nuclear</v>
      </c>
    </row>
    <row r="8" spans="2:9" ht="30">
      <c r="B8" s="26" t="s">
        <v>125</v>
      </c>
      <c r="C8" s="3" t="s">
        <v>19</v>
      </c>
      <c r="D8" s="2" t="str">
        <f>+Hoja1!E15</f>
        <v>SI</v>
      </c>
      <c r="E8" s="3" t="s">
        <v>20</v>
      </c>
      <c r="F8" s="2" t="str">
        <f>+Hoja1!F15</f>
        <v/>
      </c>
      <c r="G8" s="2" t="s">
        <v>126</v>
      </c>
      <c r="H8" s="173"/>
      <c r="I8" s="174"/>
    </row>
    <row r="9" spans="2:9" ht="45">
      <c r="B9" s="28" t="s">
        <v>127</v>
      </c>
      <c r="C9" s="25" t="s">
        <v>128</v>
      </c>
      <c r="D9" s="3" t="s">
        <v>65</v>
      </c>
      <c r="E9" s="171" t="str">
        <f>+Hoja1!D9</f>
        <v>Ingeniería Industrial</v>
      </c>
      <c r="F9" s="171"/>
      <c r="G9" s="2" t="s">
        <v>12</v>
      </c>
      <c r="H9" s="73" t="str">
        <f>+Hoja1!D10</f>
        <v>Ingeniería de Métodos</v>
      </c>
      <c r="I9" s="172"/>
    </row>
    <row r="10" spans="2:9" ht="30.75" thickBot="1">
      <c r="B10" s="29" t="s">
        <v>13</v>
      </c>
      <c r="C10" s="31">
        <f>+Hoja1!D11</f>
        <v>3</v>
      </c>
      <c r="D10" s="30" t="s">
        <v>14</v>
      </c>
      <c r="E10" s="31">
        <f>+Hoja1!D12</f>
        <v>54</v>
      </c>
      <c r="F10" s="30" t="s">
        <v>15</v>
      </c>
      <c r="G10" s="31">
        <f>+Hoja1!D13</f>
        <v>90</v>
      </c>
      <c r="H10" s="30" t="s">
        <v>16</v>
      </c>
      <c r="I10" s="32">
        <f>E10+G10</f>
        <v>144</v>
      </c>
    </row>
    <row r="11" spans="2:9">
      <c r="B11" s="94" t="s">
        <v>129</v>
      </c>
      <c r="C11" s="95"/>
      <c r="D11" s="95"/>
      <c r="E11" s="95"/>
      <c r="F11" s="95"/>
      <c r="G11" s="95"/>
      <c r="H11" s="95"/>
      <c r="I11" s="96"/>
    </row>
    <row r="12" spans="2:9" ht="37.5" customHeight="1">
      <c r="B12" s="167" t="s">
        <v>130</v>
      </c>
      <c r="C12" s="71"/>
      <c r="D12" s="168" t="str">
        <f>+Hoja1!D17</f>
        <v>La Unidad Ingeniería de métodos contribuye a la comprensión y dominio de los factores que determinan la productividad de las organizaciones y las diversas técnicas y herramientas que contribuyen a mejorar los resultados de los estudios del trabajo en las organizaciones; así como, al diseño e implementación de iniciativas de mejora continua que aporten a una mejora aplicación de los recursos y capacidades empresariales en los procesos de creación de valor.</v>
      </c>
      <c r="E12" s="169"/>
      <c r="F12" s="169"/>
      <c r="G12" s="169"/>
      <c r="H12" s="169"/>
      <c r="I12" s="170"/>
    </row>
    <row r="13" spans="2:9" ht="108" customHeight="1">
      <c r="B13" s="165" t="s">
        <v>131</v>
      </c>
      <c r="C13" s="166"/>
      <c r="D13" s="168" t="s">
        <v>132</v>
      </c>
      <c r="E13" s="169"/>
      <c r="F13" s="169"/>
      <c r="G13" s="169"/>
      <c r="H13" s="169"/>
      <c r="I13" s="170"/>
    </row>
    <row r="14" spans="2:9">
      <c r="B14" s="94" t="s">
        <v>133</v>
      </c>
      <c r="C14" s="95"/>
      <c r="D14" s="95"/>
      <c r="E14" s="95"/>
      <c r="F14" s="95"/>
      <c r="G14" s="95"/>
      <c r="H14" s="95"/>
      <c r="I14" s="96"/>
    </row>
    <row r="15" spans="2:9">
      <c r="B15" s="130" t="s">
        <v>134</v>
      </c>
      <c r="C15" s="55"/>
      <c r="D15" s="55"/>
      <c r="E15" s="55"/>
      <c r="F15" s="55"/>
      <c r="G15" s="55"/>
      <c r="H15" s="55"/>
      <c r="I15" s="91"/>
    </row>
    <row r="16" spans="2:9">
      <c r="B16" s="130"/>
      <c r="C16" s="55"/>
      <c r="D16" s="55"/>
      <c r="E16" s="55"/>
      <c r="F16" s="55"/>
      <c r="G16" s="55"/>
      <c r="H16" s="55"/>
      <c r="I16" s="91"/>
    </row>
    <row r="17" spans="2:9" ht="15.75" thickBot="1">
      <c r="B17" s="131"/>
      <c r="C17" s="132"/>
      <c r="D17" s="132"/>
      <c r="E17" s="132"/>
      <c r="F17" s="132"/>
      <c r="G17" s="132"/>
      <c r="H17" s="132"/>
      <c r="I17" s="133"/>
    </row>
    <row r="18" spans="2:9" ht="15.75" thickBot="1">
      <c r="B18" s="149" t="s">
        <v>135</v>
      </c>
      <c r="C18" s="150"/>
      <c r="D18" s="150"/>
      <c r="E18" s="150"/>
      <c r="F18" s="150"/>
      <c r="G18" s="150"/>
      <c r="H18" s="150"/>
      <c r="I18" s="151"/>
    </row>
    <row r="19" spans="2:9">
      <c r="B19" s="17" t="s">
        <v>136</v>
      </c>
      <c r="C19" s="18" t="s">
        <v>137</v>
      </c>
      <c r="D19" s="17" t="s">
        <v>138</v>
      </c>
      <c r="E19" s="154" t="s">
        <v>108</v>
      </c>
      <c r="F19" s="155"/>
      <c r="G19" s="19" t="s">
        <v>139</v>
      </c>
      <c r="H19" s="152" t="s">
        <v>140</v>
      </c>
      <c r="I19" s="153"/>
    </row>
    <row r="20" spans="2:9">
      <c r="B20" s="143" t="str">
        <f>+Hoja1!E23</f>
        <v/>
      </c>
      <c r="C20" s="144"/>
      <c r="D20" s="134" t="str">
        <f>+Hoja1!F23</f>
        <v>Módulo 1: Fundamentos de Ingeniería de Métodos Introducción a la Ingeniería de Métodos: Definición y objetivos, Historia y evolución. Análisis de Procesos: Diagramas de flujo, Mapas de procesos. Estudio de Tiempos y Movimientos: Técnicas de medición del trabajo, Análisis de movimientos. Módulo 2: Mejora de Procesos y Eficiencia Rediseño de Procesos: Principios de mejora continua (Kaizen), Herramientas Lean (5S, VSM). Eficiencia de Máquinas y Equipos: Mantenimiento productivo total (TPM), Indicadores de rendimiento (OEE). Estándares de Operación: Definición y documentación, Implementación y seguimiento. Módulo 3: Automatización y Nuevas Tecnologías Robots y Cobots en la Industria: Tipos y aplicaciones, Integración en procesos existentes. Tecnologías de Reconocimiento y Lectura: Reconocimiento de imágenes, Lectura de códigos de barras y RFID. Sistemas de Control y Monitoreo: SCADA y PLCs, Internet de las cosas (IoT) en la industria. Módulo 4: Innovación y Futuro de la Ingeniería de Métodos Nuevos Mecanismos y Herramientas: Innovaciones en herramientas de mejora, Casos de estudio y mejores prácticas. Tendencias Futuras: Industria 4.0, Inteligencia artificial y aprendizaje automático. Proyectos de Mejora: Desarrollo y gestión de proyectos, Evaluación de impacto y resultados.</v>
      </c>
      <c r="E20" s="135"/>
      <c r="F20" s="136"/>
      <c r="G20" s="156" t="str">
        <f>+Hoja1!G23</f>
        <v/>
      </c>
      <c r="H20" s="157"/>
      <c r="I20" s="158"/>
    </row>
    <row r="21" spans="2:9">
      <c r="B21" s="145"/>
      <c r="C21" s="146"/>
      <c r="D21" s="137"/>
      <c r="E21" s="138"/>
      <c r="F21" s="139"/>
      <c r="G21" s="159"/>
      <c r="H21" s="160"/>
      <c r="I21" s="161"/>
    </row>
    <row r="22" spans="2:9">
      <c r="B22" s="145"/>
      <c r="C22" s="146"/>
      <c r="D22" s="137"/>
      <c r="E22" s="138"/>
      <c r="F22" s="139"/>
      <c r="G22" s="159"/>
      <c r="H22" s="160"/>
      <c r="I22" s="161"/>
    </row>
    <row r="23" spans="2:9">
      <c r="B23" s="145"/>
      <c r="C23" s="146"/>
      <c r="D23" s="137"/>
      <c r="E23" s="138"/>
      <c r="F23" s="139"/>
      <c r="G23" s="159"/>
      <c r="H23" s="160"/>
      <c r="I23" s="161"/>
    </row>
    <row r="24" spans="2:9">
      <c r="B24" s="145"/>
      <c r="C24" s="146"/>
      <c r="D24" s="137"/>
      <c r="E24" s="138"/>
      <c r="F24" s="139"/>
      <c r="G24" s="159"/>
      <c r="H24" s="160"/>
      <c r="I24" s="161"/>
    </row>
    <row r="25" spans="2:9">
      <c r="B25" s="145"/>
      <c r="C25" s="146"/>
      <c r="D25" s="137"/>
      <c r="E25" s="138"/>
      <c r="F25" s="139"/>
      <c r="G25" s="159"/>
      <c r="H25" s="160"/>
      <c r="I25" s="161"/>
    </row>
    <row r="26" spans="2:9" ht="40.5" customHeight="1" thickBot="1">
      <c r="B26" s="147"/>
      <c r="C26" s="148"/>
      <c r="D26" s="140"/>
      <c r="E26" s="141"/>
      <c r="F26" s="142"/>
      <c r="G26" s="162"/>
      <c r="H26" s="163"/>
      <c r="I26" s="164"/>
    </row>
    <row r="27" spans="2:9" ht="15.75" thickBot="1">
      <c r="B27" s="100" t="s">
        <v>141</v>
      </c>
      <c r="C27" s="101"/>
      <c r="D27" s="101"/>
      <c r="E27" s="101"/>
      <c r="F27" s="101"/>
      <c r="G27" s="101"/>
      <c r="H27" s="101"/>
      <c r="I27" s="102"/>
    </row>
    <row r="28" spans="2:9" ht="14.45" customHeight="1">
      <c r="B28" s="112" t="str">
        <f>+Hoja1!D25</f>
        <v>1er corte: 20%; 2do corte: 20%; 3er corte: 30%; 4to corte: 20%; Prueba objetiva: 10%.</v>
      </c>
      <c r="C28" s="113"/>
      <c r="D28" s="113"/>
      <c r="E28" s="113"/>
      <c r="F28" s="113"/>
      <c r="G28" s="113"/>
      <c r="H28" s="113"/>
      <c r="I28" s="114"/>
    </row>
    <row r="29" spans="2:9">
      <c r="B29" s="115"/>
      <c r="C29" s="116"/>
      <c r="D29" s="116"/>
      <c r="E29" s="116"/>
      <c r="F29" s="116"/>
      <c r="G29" s="116"/>
      <c r="H29" s="116"/>
      <c r="I29" s="117"/>
    </row>
    <row r="30" spans="2:9">
      <c r="B30" s="115"/>
      <c r="C30" s="116"/>
      <c r="D30" s="116"/>
      <c r="E30" s="116"/>
      <c r="F30" s="116"/>
      <c r="G30" s="116"/>
      <c r="H30" s="116"/>
      <c r="I30" s="117"/>
    </row>
    <row r="31" spans="2:9">
      <c r="B31" s="115"/>
      <c r="C31" s="116"/>
      <c r="D31" s="116"/>
      <c r="E31" s="116"/>
      <c r="F31" s="116"/>
      <c r="G31" s="116"/>
      <c r="H31" s="116"/>
      <c r="I31" s="117"/>
    </row>
    <row r="32" spans="2:9" ht="15.75" thickBot="1">
      <c r="B32" s="118"/>
      <c r="C32" s="119"/>
      <c r="D32" s="119"/>
      <c r="E32" s="119"/>
      <c r="F32" s="119"/>
      <c r="G32" s="119"/>
      <c r="H32" s="119"/>
      <c r="I32" s="120"/>
    </row>
    <row r="33" spans="2:9" ht="34.5" customHeight="1" thickBot="1">
      <c r="B33" s="106" t="s">
        <v>142</v>
      </c>
      <c r="C33" s="107"/>
      <c r="D33" s="107"/>
      <c r="E33" s="108"/>
      <c r="F33" s="109" t="str">
        <f>+Hoja1!D26</f>
        <v>Microsoft Excel, Solidworks, Minitab, Flexsim.</v>
      </c>
      <c r="G33" s="110"/>
      <c r="H33" s="110"/>
      <c r="I33" s="111"/>
    </row>
    <row r="34" spans="2:9" ht="15.75" thickBot="1">
      <c r="B34" s="103" t="s">
        <v>143</v>
      </c>
      <c r="C34" s="104"/>
      <c r="D34" s="104"/>
      <c r="E34" s="104"/>
      <c r="F34" s="105" t="s">
        <v>84</v>
      </c>
      <c r="G34" s="105"/>
      <c r="H34" s="20" t="s">
        <v>54</v>
      </c>
      <c r="I34" s="43">
        <f>+Hoja1!D28</f>
        <v>0.3</v>
      </c>
    </row>
    <row r="35" spans="2:9">
      <c r="B35" s="94" t="s">
        <v>144</v>
      </c>
      <c r="C35" s="95"/>
      <c r="D35" s="95"/>
      <c r="E35" s="95"/>
      <c r="F35" s="95"/>
      <c r="G35" s="95"/>
      <c r="H35" s="95"/>
      <c r="I35" s="96"/>
    </row>
    <row r="36" spans="2:9" ht="14.45" customHeight="1">
      <c r="B36" s="121" t="str">
        <f>+Hoja1!E29</f>
        <v>Bibliografía Obligatoria: Escalante, A. &amp; González, J.F.D. (2018). Ingeniería Industrial. Métodos y tiempos con manufactura ágil. Editorial Alfaomega, Bogotá. Campano, C. C., González, M. A., Farías, N. C., &amp; Herrera González, M. J. (2017). La productividad total de factores en el sector manufacturero chileno. Revista De Economía Institucional, 18(35). Justo de, J. M., Ovidio López Robayo, &amp; Javier Díaz Castro. (2014). Productividad, eficiencia y sus factores explicativos en el sector de la construcción en Colombia 2005-2010. Cuadernos de Economía, 33 (63), 569-588.</v>
      </c>
      <c r="C36" s="122"/>
      <c r="D36" s="122"/>
      <c r="E36" s="123"/>
      <c r="F36" s="126" t="str">
        <f>+Hoja1!E30</f>
        <v>Bibliografía Complementaria: Rodriguez-Perez (2023) Human Error Reduction in Manufacturing. Quality Press. Segunda edición.</v>
      </c>
      <c r="G36" s="122"/>
      <c r="H36" s="122"/>
      <c r="I36" s="127"/>
    </row>
    <row r="37" spans="2:9">
      <c r="B37" s="115"/>
      <c r="C37" s="116"/>
      <c r="D37" s="116"/>
      <c r="E37" s="124"/>
      <c r="F37" s="128"/>
      <c r="G37" s="116"/>
      <c r="H37" s="116"/>
      <c r="I37" s="117"/>
    </row>
    <row r="38" spans="2:9">
      <c r="B38" s="115"/>
      <c r="C38" s="116"/>
      <c r="D38" s="116"/>
      <c r="E38" s="124"/>
      <c r="F38" s="128"/>
      <c r="G38" s="116"/>
      <c r="H38" s="116"/>
      <c r="I38" s="117"/>
    </row>
    <row r="39" spans="2:9">
      <c r="B39" s="115"/>
      <c r="C39" s="116"/>
      <c r="D39" s="116"/>
      <c r="E39" s="124"/>
      <c r="F39" s="128"/>
      <c r="G39" s="116"/>
      <c r="H39" s="116"/>
      <c r="I39" s="117"/>
    </row>
    <row r="40" spans="2:9">
      <c r="B40" s="115"/>
      <c r="C40" s="116"/>
      <c r="D40" s="116"/>
      <c r="E40" s="124"/>
      <c r="F40" s="128"/>
      <c r="G40" s="116"/>
      <c r="H40" s="116"/>
      <c r="I40" s="117"/>
    </row>
    <row r="41" spans="2:9">
      <c r="B41" s="115"/>
      <c r="C41" s="116"/>
      <c r="D41" s="116"/>
      <c r="E41" s="124"/>
      <c r="F41" s="128"/>
      <c r="G41" s="116"/>
      <c r="H41" s="116"/>
      <c r="I41" s="117"/>
    </row>
    <row r="42" spans="2:9" ht="15.75" thickBot="1">
      <c r="B42" s="118"/>
      <c r="C42" s="119"/>
      <c r="D42" s="119"/>
      <c r="E42" s="125"/>
      <c r="F42" s="129"/>
      <c r="G42" s="119"/>
      <c r="H42" s="119"/>
      <c r="I42" s="120"/>
    </row>
    <row r="43" spans="2:9">
      <c r="B43" s="94" t="s">
        <v>145</v>
      </c>
      <c r="C43" s="95"/>
      <c r="D43" s="95"/>
      <c r="E43" s="95"/>
      <c r="F43" s="95"/>
      <c r="G43" s="95"/>
      <c r="H43" s="95"/>
      <c r="I43" s="96"/>
    </row>
    <row r="44" spans="2:9">
      <c r="B44" s="21" t="s">
        <v>59</v>
      </c>
      <c r="C44" s="9" t="s">
        <v>60</v>
      </c>
      <c r="D44" s="9" t="s">
        <v>119</v>
      </c>
      <c r="E44" s="9" t="s">
        <v>62</v>
      </c>
      <c r="F44" s="9" t="s">
        <v>63</v>
      </c>
      <c r="G44" s="56" t="s">
        <v>64</v>
      </c>
      <c r="H44" s="56"/>
      <c r="I44" s="97"/>
    </row>
    <row r="45" spans="2:9" ht="24.75">
      <c r="B45" s="50">
        <v>2</v>
      </c>
      <c r="C45" s="51">
        <f>+Hoja1!D32</f>
        <v>45525</v>
      </c>
      <c r="D45" s="52" t="str">
        <f>+Hoja1!D33</f>
        <v>Jose Divitt Velosa</v>
      </c>
      <c r="E45" s="52" t="str">
        <f>+Hoja1!D34</f>
        <v>Jose Divitt Velosa</v>
      </c>
      <c r="F45" s="52" t="str">
        <f>+Hoja1!D35</f>
        <v>Jose Divitt Velosa</v>
      </c>
      <c r="G45" s="98" t="str">
        <f>+Hoja1!D36</f>
        <v>Nuevo formato de syllabus</v>
      </c>
      <c r="H45" s="98"/>
      <c r="I45" s="99"/>
    </row>
    <row r="46" spans="2:9">
      <c r="B46" s="22"/>
      <c r="C46" s="10"/>
      <c r="D46" s="10"/>
      <c r="E46" s="10"/>
      <c r="F46" s="10"/>
      <c r="G46" s="55"/>
      <c r="H46" s="55"/>
      <c r="I46" s="91"/>
    </row>
    <row r="47" spans="2:9">
      <c r="B47" s="22"/>
      <c r="C47" s="10"/>
      <c r="D47" s="10"/>
      <c r="E47" s="10"/>
      <c r="F47" s="10"/>
      <c r="G47" s="55"/>
      <c r="H47" s="55"/>
      <c r="I47" s="91"/>
    </row>
    <row r="48" spans="2:9">
      <c r="B48" s="22"/>
      <c r="C48" s="10"/>
      <c r="D48" s="10"/>
      <c r="E48" s="10"/>
      <c r="F48" s="10"/>
      <c r="G48" s="55"/>
      <c r="H48" s="55"/>
      <c r="I48" s="91"/>
    </row>
    <row r="49" spans="2:9">
      <c r="B49" s="22"/>
      <c r="C49" s="10"/>
      <c r="D49" s="10"/>
      <c r="E49" s="10"/>
      <c r="F49" s="10"/>
      <c r="G49" s="55"/>
      <c r="H49" s="55"/>
      <c r="I49" s="91"/>
    </row>
    <row r="50" spans="2:9" ht="15.75" thickBot="1">
      <c r="B50" s="23"/>
      <c r="C50" s="24"/>
      <c r="D50" s="24"/>
      <c r="E50" s="24"/>
      <c r="F50" s="24"/>
      <c r="G50" s="92"/>
      <c r="H50" s="92"/>
      <c r="I50" s="93"/>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146</v>
      </c>
      <c r="C1" s="11">
        <v>2</v>
      </c>
      <c r="D1" s="11">
        <v>36</v>
      </c>
      <c r="E1" s="11">
        <v>60</v>
      </c>
      <c r="F1" s="11" t="s">
        <v>84</v>
      </c>
      <c r="G1" s="13">
        <v>0.1</v>
      </c>
      <c r="H1" s="11" t="s">
        <v>147</v>
      </c>
    </row>
    <row r="2" spans="1:8">
      <c r="A2" s="11" t="s">
        <v>148</v>
      </c>
      <c r="B2" s="11" t="s">
        <v>149</v>
      </c>
      <c r="C2" s="11">
        <v>3</v>
      </c>
      <c r="D2" s="11">
        <v>54</v>
      </c>
      <c r="E2" s="11">
        <v>90</v>
      </c>
      <c r="F2" s="11" t="s">
        <v>150</v>
      </c>
      <c r="G2" s="13">
        <v>0.2</v>
      </c>
      <c r="H2" s="11" t="s">
        <v>128</v>
      </c>
    </row>
    <row r="3" spans="1:8">
      <c r="A3" s="11" t="s">
        <v>151</v>
      </c>
      <c r="B3" s="11" t="s">
        <v>152</v>
      </c>
      <c r="C3" s="11">
        <v>4</v>
      </c>
      <c r="D3" s="11">
        <v>72</v>
      </c>
      <c r="E3" s="11">
        <v>120</v>
      </c>
      <c r="F3" s="11" t="s">
        <v>153</v>
      </c>
      <c r="G3" s="13">
        <v>0.3</v>
      </c>
    </row>
    <row r="4" spans="1:8">
      <c r="A4" s="11" t="s">
        <v>154</v>
      </c>
      <c r="B4" s="11" t="s">
        <v>155</v>
      </c>
      <c r="C4" s="11">
        <v>5</v>
      </c>
      <c r="D4" s="11">
        <v>90</v>
      </c>
      <c r="E4" s="11">
        <v>102</v>
      </c>
      <c r="F4" s="11" t="s">
        <v>156</v>
      </c>
      <c r="G4" s="13">
        <v>0.4</v>
      </c>
    </row>
    <row r="5" spans="1:8">
      <c r="A5" s="11" t="s">
        <v>157</v>
      </c>
      <c r="B5" s="11" t="s">
        <v>158</v>
      </c>
      <c r="C5" s="11">
        <v>6</v>
      </c>
      <c r="D5" s="11">
        <v>90</v>
      </c>
      <c r="E5" s="11">
        <v>150</v>
      </c>
      <c r="F5" s="11" t="s">
        <v>159</v>
      </c>
      <c r="G5" s="13">
        <v>0.5</v>
      </c>
    </row>
    <row r="6" spans="1:8">
      <c r="B6" s="11" t="s">
        <v>160</v>
      </c>
      <c r="C6" s="11">
        <v>8</v>
      </c>
      <c r="D6" s="11">
        <v>108</v>
      </c>
      <c r="E6" s="11">
        <v>180</v>
      </c>
      <c r="G6" s="13">
        <v>0.6</v>
      </c>
    </row>
    <row r="7" spans="1:8">
      <c r="B7" s="11" t="s">
        <v>161</v>
      </c>
      <c r="D7" s="11">
        <v>144</v>
      </c>
      <c r="E7" s="11">
        <v>240</v>
      </c>
      <c r="G7" s="13">
        <v>0.7</v>
      </c>
    </row>
    <row r="8" spans="1:8">
      <c r="B8" s="11" t="s">
        <v>162</v>
      </c>
      <c r="D8" s="11">
        <v>32</v>
      </c>
      <c r="E8" s="11">
        <v>64</v>
      </c>
      <c r="G8" s="13">
        <v>0.8</v>
      </c>
    </row>
    <row r="9" spans="1:8">
      <c r="B9" s="11" t="s">
        <v>163</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JOSE EDWARD DIVITT VELOSA GARCIA</cp:lastModifiedBy>
  <cp:revision/>
  <dcterms:created xsi:type="dcterms:W3CDTF">2025-08-27T15:39:23Z</dcterms:created>
  <dcterms:modified xsi:type="dcterms:W3CDTF">2026-02-21T16:10:05Z</dcterms:modified>
  <cp:category/>
  <cp:contentStatus/>
</cp:coreProperties>
</file>