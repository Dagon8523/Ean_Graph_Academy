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RECCIÓN\2000413 INGENIERIA INDUSTRIAL -PFVINIBOG001\Syllabus\2026 S1\Nuevo formato - II\"/>
    </mc:Choice>
  </mc:AlternateContent>
  <xr:revisionPtr revIDLastSave="39" documentId="8_{60E372E9-215C-472B-A99B-7A76BADCB970}" xr6:coauthVersionLast="47" xr6:coauthVersionMax="47" xr10:uidLastSave="{AD9F4386-0FA2-4FA8-97F3-FA3CEAAF7100}"/>
  <bookViews>
    <workbookView xWindow="-120" yWindow="-120" windowWidth="20730" windowHeight="11040" firstSheet="3" activeTab="3" xr2:uid="{79C19C23-9E31-446A-A15A-4EB9549A8DE9}"/>
  </bookViews>
  <sheets>
    <sheet name="Formato Syllabus" sheetId="1" state="hidden" r:id="rId1"/>
    <sheet name="Formato Syllabus_NV" sheetId="3" state="hidden" r:id="rId2"/>
    <sheet name="Hoja1" sheetId="5" state="hidden" r:id="rId3"/>
    <sheet name="Formato Syllabus_NV (2)" sheetId="4" r:id="rId4"/>
    <sheet name="Parámetro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5" l="1"/>
  <c r="D29" i="5"/>
  <c r="E29" i="5"/>
  <c r="D30" i="5"/>
  <c r="B36" i="4"/>
  <c r="E30" i="5"/>
  <c r="D31" i="5"/>
  <c r="F36" i="4"/>
  <c r="D36" i="5"/>
  <c r="G45" i="4" s="1"/>
  <c r="F45" i="4"/>
  <c r="D15" i="5"/>
  <c r="F15" i="5" s="1"/>
  <c r="F8" i="4" s="1"/>
  <c r="G23" i="5"/>
  <c r="G20" i="4" s="1"/>
  <c r="F23" i="5"/>
  <c r="D20" i="4" s="1"/>
  <c r="E23" i="5"/>
  <c r="B20" i="4" s="1"/>
  <c r="D34" i="5"/>
  <c r="E45" i="4" s="1"/>
  <c r="D33" i="5"/>
  <c r="D45" i="4" s="1"/>
  <c r="D32" i="5"/>
  <c r="C45" i="4" s="1"/>
  <c r="D28" i="5"/>
  <c r="I34" i="4" s="1"/>
  <c r="D27" i="5"/>
  <c r="D26" i="5"/>
  <c r="F33" i="4" s="1"/>
  <c r="D25" i="5"/>
  <c r="B28" i="4" s="1"/>
  <c r="G7" i="4"/>
  <c r="E7" i="4"/>
  <c r="D17" i="5"/>
  <c r="D12" i="4" s="1"/>
  <c r="D18" i="5"/>
  <c r="D19" i="5"/>
  <c r="D13" i="5"/>
  <c r="G10" i="4" s="1"/>
  <c r="D14" i="5"/>
  <c r="D16" i="5"/>
  <c r="D12" i="5"/>
  <c r="E10" i="4" s="1"/>
  <c r="D10" i="5"/>
  <c r="H9" i="4" s="1"/>
  <c r="D9" i="5"/>
  <c r="E9" i="4" s="1"/>
  <c r="D8" i="5"/>
  <c r="D7" i="5"/>
  <c r="I7" i="4" s="1"/>
  <c r="C10" i="4"/>
  <c r="C7" i="4"/>
  <c r="I9" i="3"/>
  <c r="I9" i="1"/>
  <c r="E15" i="5" l="1"/>
  <c r="D8" i="4" s="1"/>
  <c r="I10" i="4"/>
</calcChain>
</file>

<file path=xl/sharedStrings.xml><?xml version="1.0" encoding="utf-8"?>
<sst xmlns="http://schemas.openxmlformats.org/spreadsheetml/2006/main" count="266" uniqueCount="168">
  <si>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</si>
  <si>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</si>
  <si>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</si>
  <si>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</si>
  <si>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</si>
  <si>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</si>
  <si>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</si>
  <si>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</si>
  <si>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</si>
  <si>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</si>
  <si>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</si>
  <si>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</si>
  <si>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</si>
  <si>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</si>
  <si>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</si>
  <si>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</si>
  <si>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</si>
  <si>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</si>
  <si>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</si>
  <si>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</si>
  <si>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</si>
  <si>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</si>
  <si>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</si>
  <si>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</si>
  <si>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</si>
  <si>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</si>
  <si>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</si>
  <si>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</si>
  <si>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</si>
  <si>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</si>
  <si>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</si>
  <si>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</si>
  <si>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</si>
  <si>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</si>
  <si>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</si>
  <si>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</si>
  <si>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</si>
  <si>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</si>
  <si>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</si>
  <si>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</si>
  <si>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</si>
  <si>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</si>
  <si>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</si>
  <si>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</si>
  <si>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</si>
  <si>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</si>
  <si>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</si>
  <si>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</si>
  <si>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</si>
  <si>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</si>
  <si>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</si>
  <si>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</si>
  <si>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</si>
  <si>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</si>
  <si>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</si>
  <si>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</si>
  <si>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</si>
  <si>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</si>
  <si>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</si>
  <si>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</si>
  <si>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</si>
  <si>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</si>
  <si>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</si>
  <si>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</si>
  <si>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</si>
  <si>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</si>
  <si>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</si>
  <si>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</si>
  <si>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</si>
  <si>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</si>
  <si>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</si>
  <si>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</si>
  <si>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</si>
  <si>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</si>
  <si>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</si>
  <si>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</si>
  <si>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</si>
  <si>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</si>
  <si>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</si>
  <si>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</si>
  <si>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</si>
  <si>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</si>
  <si>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</si>
  <si>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</si>
  <si>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</si>
  <si>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Información Extraída</t>
  </si>
  <si>
    <t>PFPINIBOG001</t>
  </si>
  <si>
    <t>No especificado en el documento</t>
  </si>
  <si>
    <t>IFPN0035</t>
  </si>
  <si>
    <t>IFA00612</t>
  </si>
  <si>
    <t>Nuclear</t>
  </si>
  <si>
    <t>Ingeniería</t>
  </si>
  <si>
    <t>Programas de Ingeniería</t>
  </si>
  <si>
    <t>Nombre Unidad de estudios</t>
  </si>
  <si>
    <t>Investigación de Operaciones</t>
  </si>
  <si>
    <t>Modalidad (Presencial / Virtual)</t>
  </si>
  <si>
    <t>Metodología (PAT / In Situ / Híbrida)</t>
  </si>
  <si>
    <t>Aprendizaje basado en la solución de problemas (George Pólya), que incluye planteamiento y comprensión del problema.</t>
  </si>
  <si>
    <t>Fortalecer la toma de decisiones gerenciales mediante herramientas cuantitativas, permitiendo al ingeniero diagnosticar problemas y seleccionar técnicas científicas para dar recomendaciones. +1</t>
  </si>
  <si>
    <t>El estudiante puede aplicar conocimientos y herramientas de modelos cuantitativos para el planteamiento de modelos y soluciones algorítmicas o informáticas ante fenómenos empresariales.</t>
  </si>
  <si>
    <t>Resultado de Aprendizaje de Programa</t>
  </si>
  <si>
    <t>No especificado explícitamente en el documento.</t>
  </si>
  <si>
    <t>Resultado de Aprendizaje de la Unidad de Estudio</t>
  </si>
  <si>
    <t>Capacidad de aplicar matemáticas y ciencias; diseñar experimentos e interpretar datos; trabajar en equipos multidisciplinarios; comunicarse efectivamente; y utilizar herramientas modernas de ingeniería. +3</t>
  </si>
  <si>
    <t>Criterios de evaluación (1, 2, 3, 4)</t>
  </si>
  <si>
    <t>Evaluación constante mediante trabajos en grupo (clase y extra-clase), consultas, quices y parciales al finalizar cada corte.</t>
  </si>
  <si>
    <t>Competencias del modelo educativo (EM, SH, IN, COM, SO, AA, SE, COL, DI)</t>
  </si>
  <si>
    <t>EM (Emprendedoras), SH (Socio-humanísticas), IN (Investigativas), CO (Comunicativas), TE (Tecnológicas).</t>
  </si>
  <si>
    <t>Contenidos de la Unidad de estudio</t>
  </si>
  <si>
    <t>9 Semanas</t>
  </si>
  <si>
    <t>INTRODUCCIÓN A LA UNIDAD DE ESTUDIOS
PROGRAMACIÓN LINEAL.
MODELO SIMPLEX. 
TEORIA DE LA DUALIDAD Y ANALISIS DE SENSIBILIDAD
MODELOS DE TRANSPORTE Y ASIGNACION
MODELOS DE OPTIMIZACION DE REDES
MODELO DE TRANSBORDO.
MODELO PERT CPM
ANALISIS DE DECISIONES
CADENAS DE MARKOV Y SIMULACIÓN</t>
  </si>
  <si>
    <t>Estrategias Pedagógicas</t>
  </si>
  <si>
    <t>Trabajo en aula, talleres individuales o en grupo, lecturas, análisis de casos y re-alimentación de evaluaciones. +3</t>
  </si>
  <si>
    <t>Esquema de Calificación</t>
  </si>
  <si>
    <t>No se detallan porcentajes por corte, solo se menciona la evaluación constante por actividades. +1</t>
  </si>
  <si>
    <t>Laboratorios con Excel (SOLVER), Aulas Virtuales y Clickers.</t>
  </si>
  <si>
    <t>Componente de Lengua Extranjera</t>
  </si>
  <si>
    <t>Inglés.</t>
  </si>
  <si>
    <t xml:space="preserve">
El texto guía:
- Hillier, F., &amp; Lieberman, G. (2010). Introducción a la investigación de operaciones. México: McGraw-Hill.
¨'-Schroeder, R. G., Goldstein, S. M., &amp; Rungtusanatham, M. J. (2011). Administración de operaciones: Conceptos y casos contemporáneos. México, DF [etc.]: McGraw-Hill.
-Taha, H. A., &amp; Navarro Salas, R. (2012). Investigación de operaciones. México D.F. : Pearson, 2012.
-Muñoz Castorena, R. V., Ochoa Hernández, M. B., &amp; Morales García, M. (2011). Investigación de operaciones. México, DF: McGraw-Hill.
-Albright, C., Winston, W. L., Zappe, C. J., &amp; Broadie, M. (2011). Data analysis and decision making / Christian Albright, Wayne L. Winston, Christopher J. Zappe; with cases by Mark Broadie … [et al.]. Mason,  
OH: South-Western/Cengage Learning.
Sánchez Acevedo, L. (2007). Modelos cuantitativos lineales: con escenarios en Excel . Bogotá: Universidad EAN.
 </t>
  </si>
  <si>
    <t xml:space="preserve">
1.Taha, H. A. (2012). Investigación de operaciones [Recurso electrónico] / Hamdy A. Taha. México: Pearson.
2.http://web.udl.es/usuaris/p4088280/teaching/grafos_modelos.pdf
3.http://www.ecoloxistesasturies.org/Temas/Transporte/Trans_modelo.htm</t>
  </si>
  <si>
    <t>Número de versión</t>
  </si>
  <si>
    <t>Elaboró</t>
  </si>
  <si>
    <t>Rubén Acosta</t>
  </si>
  <si>
    <t>Mauricio Bolívar</t>
  </si>
  <si>
    <t>Jose Divitt Velosa</t>
  </si>
  <si>
    <t>Iván Castaño</t>
  </si>
  <si>
    <t>Actualización de formato de syllabus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</si>
  <si>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</si>
  <si>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</si>
  <si>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Modalidad</t>
  </si>
  <si>
    <t>Presencial y Virtual</t>
  </si>
  <si>
    <t xml:space="preserve">Nivel </t>
  </si>
  <si>
    <t>Pregrado</t>
  </si>
  <si>
    <t>2.	Descripción  Resultados de Aprendizaje.</t>
  </si>
  <si>
    <t>Descripción de la unidad de estudio</t>
  </si>
  <si>
    <t>Resultado de Aprendizaje</t>
  </si>
  <si>
    <t>El estudiante puede aplicar los conocimientos  y herramientas necesarias  que brinda los modelos cuantitativos para el planteamiento de un modelo, las soluciones algorítmicas e informáticas, la interpretación, y el análisis  y  tomar las decisiones pertinentes  que implica la solución de modelos cuantitativos en administración.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</si>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</sst>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1" xfId="0" applyFill="1" applyBorder="1"/>
    <xf numFmtId="0" fontId="9" fillId="0" borderId="60" xfId="0" applyFont="1" applyBorder="1" applyAlignment="1">
      <alignment vertical="center"/>
    </xf>
    <xf numFmtId="0" fontId="9" fillId="0" borderId="60" xfId="0" applyFont="1" applyBorder="1" applyAlignment="1">
      <alignment horizontal="right" wrapText="1"/>
    </xf>
    <xf numFmtId="0" fontId="9" fillId="0" borderId="60" xfId="0" applyFont="1" applyBorder="1" applyAlignment="1">
      <alignment wrapText="1"/>
    </xf>
    <xf numFmtId="9" fontId="9" fillId="0" borderId="60" xfId="0" applyNumberFormat="1" applyFont="1" applyBorder="1" applyAlignment="1">
      <alignment horizontal="right" wrapText="1"/>
    </xf>
    <xf numFmtId="14" fontId="9" fillId="0" borderId="60" xfId="0" applyNumberFormat="1" applyFont="1" applyBorder="1" applyAlignment="1">
      <alignment horizontal="right" wrapText="1"/>
    </xf>
    <xf numFmtId="0" fontId="1" fillId="4" borderId="1" xfId="0" applyFont="1" applyFill="1" applyBorder="1"/>
    <xf numFmtId="0" fontId="10" fillId="0" borderId="1" xfId="0" applyFont="1" applyBorder="1" applyAlignment="1">
      <alignment horizontal="center" vertical="center"/>
    </xf>
    <xf numFmtId="9" fontId="0" fillId="0" borderId="1" xfId="0" applyNumberFormat="1" applyBorder="1"/>
    <xf numFmtId="9" fontId="0" fillId="0" borderId="45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0" fillId="0" borderId="36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8" fillId="4" borderId="0" xfId="0" applyFont="1" applyFill="1" applyAlignment="1">
      <alignment vertical="center"/>
    </xf>
    <xf numFmtId="0" fontId="9" fillId="0" borderId="60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1" fillId="0" borderId="59" xfId="0" applyFont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1" fillId="0" borderId="23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0" borderId="18" xfId="0" applyFont="1" applyBorder="1" applyAlignment="1">
      <alignment horizontal="center" vertical="top" wrapText="1"/>
    </xf>
    <xf numFmtId="0" fontId="11" fillId="0" borderId="25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20" xfId="0" applyFont="1" applyBorder="1" applyAlignment="1">
      <alignment horizontal="center" vertical="top" wrapText="1"/>
    </xf>
    <xf numFmtId="0" fontId="11" fillId="0" borderId="27" xfId="0" applyFont="1" applyBorder="1" applyAlignment="1">
      <alignment horizontal="center" vertical="top" wrapText="1"/>
    </xf>
    <xf numFmtId="0" fontId="11" fillId="0" borderId="31" xfId="0" applyFont="1" applyBorder="1" applyAlignment="1">
      <alignment horizontal="center" vertical="top" wrapText="1"/>
    </xf>
    <xf numFmtId="0" fontId="11" fillId="0" borderId="54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  <xf numFmtId="0" fontId="11" fillId="0" borderId="24" xfId="0" applyFont="1" applyBorder="1" applyAlignment="1">
      <alignment horizontal="center" vertical="top" wrapText="1"/>
    </xf>
    <xf numFmtId="0" fontId="11" fillId="0" borderId="19" xfId="0" applyFont="1" applyBorder="1" applyAlignment="1">
      <alignment horizontal="center" vertical="top" wrapText="1"/>
    </xf>
    <xf numFmtId="0" fontId="11" fillId="0" borderId="26" xfId="0" applyFont="1" applyBorder="1" applyAlignment="1">
      <alignment horizontal="center" vertical="top" wrapText="1"/>
    </xf>
    <xf numFmtId="0" fontId="11" fillId="0" borderId="55" xfId="0" applyFont="1" applyBorder="1" applyAlignment="1">
      <alignment horizontal="center" vertical="top" wrapText="1"/>
    </xf>
    <xf numFmtId="0" fontId="11" fillId="0" borderId="28" xfId="0" applyFont="1" applyBorder="1" applyAlignment="1">
      <alignment horizontal="center" vertical="top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66"/>
      <c r="C2" s="68" t="s">
        <v>0</v>
      </c>
      <c r="D2" s="68"/>
      <c r="E2" s="68"/>
      <c r="F2" s="68"/>
      <c r="G2" s="68"/>
      <c r="H2" s="68"/>
      <c r="I2" s="6" t="s">
        <v>1</v>
      </c>
    </row>
    <row r="3" spans="2:9" ht="20.25" customHeight="1">
      <c r="B3" s="67"/>
      <c r="C3" s="69"/>
      <c r="D3" s="69"/>
      <c r="E3" s="69"/>
      <c r="F3" s="69"/>
      <c r="G3" s="69"/>
      <c r="H3" s="69"/>
      <c r="I3" s="7" t="s">
        <v>2</v>
      </c>
    </row>
    <row r="4" spans="2:9" ht="21" customHeight="1" thickBot="1">
      <c r="B4" s="70" t="s">
        <v>3</v>
      </c>
      <c r="C4" s="71"/>
      <c r="D4" s="71"/>
      <c r="E4" s="71"/>
      <c r="F4" s="71"/>
      <c r="G4" s="71"/>
      <c r="H4" s="71"/>
      <c r="I4" s="8" t="s">
        <v>4</v>
      </c>
    </row>
    <row r="5" spans="2:9" ht="15.75" thickTop="1">
      <c r="B5" s="56"/>
      <c r="C5" s="56"/>
      <c r="D5" s="56"/>
      <c r="E5" s="56"/>
      <c r="F5" s="56"/>
      <c r="G5" s="56"/>
      <c r="H5" s="56"/>
      <c r="I5" s="56"/>
    </row>
    <row r="6" spans="2:9">
      <c r="B6" s="56" t="s">
        <v>5</v>
      </c>
      <c r="C6" s="56"/>
      <c r="D6" s="56"/>
      <c r="E6" s="56"/>
      <c r="F6" s="56"/>
      <c r="G6" s="56"/>
      <c r="H6" s="56"/>
      <c r="I6" s="56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58"/>
      <c r="F8" s="58"/>
      <c r="G8" s="2" t="s">
        <v>12</v>
      </c>
      <c r="H8" s="58"/>
      <c r="I8" s="58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5" t="s">
        <v>17</v>
      </c>
      <c r="C10" s="59"/>
      <c r="D10" s="59"/>
      <c r="E10" s="59"/>
      <c r="F10" s="59"/>
      <c r="G10" s="59"/>
      <c r="H10" s="59"/>
      <c r="I10" s="59"/>
    </row>
    <row r="11" spans="2:9">
      <c r="B11" s="55" t="s">
        <v>18</v>
      </c>
      <c r="C11" s="55"/>
      <c r="D11" s="56" t="s">
        <v>19</v>
      </c>
      <c r="E11" s="57"/>
      <c r="F11" s="57"/>
      <c r="G11" s="56" t="s">
        <v>20</v>
      </c>
      <c r="H11" s="57"/>
      <c r="I11" s="57"/>
    </row>
    <row r="12" spans="2:9">
      <c r="B12" s="55"/>
      <c r="C12" s="55"/>
      <c r="D12" s="56"/>
      <c r="E12" s="57"/>
      <c r="F12" s="57"/>
      <c r="G12" s="56"/>
      <c r="H12" s="57"/>
      <c r="I12" s="57"/>
    </row>
    <row r="13" spans="2:9">
      <c r="B13" s="59" t="s">
        <v>21</v>
      </c>
      <c r="C13" s="59"/>
      <c r="D13" s="59"/>
      <c r="E13" s="59"/>
      <c r="F13" s="59"/>
      <c r="G13" s="59"/>
      <c r="H13" s="59"/>
      <c r="I13" s="59"/>
    </row>
    <row r="14" spans="2:9">
      <c r="B14" s="3" t="s">
        <v>22</v>
      </c>
      <c r="C14" s="58"/>
      <c r="D14" s="58"/>
      <c r="E14" s="3" t="s">
        <v>23</v>
      </c>
      <c r="F14" s="1"/>
      <c r="G14" s="3" t="s">
        <v>24</v>
      </c>
      <c r="H14" s="58"/>
      <c r="I14" s="58"/>
    </row>
    <row r="15" spans="2:9">
      <c r="B15" s="59" t="s">
        <v>25</v>
      </c>
      <c r="C15" s="59"/>
      <c r="D15" s="59"/>
      <c r="E15" s="59"/>
      <c r="F15" s="59"/>
      <c r="G15" s="59"/>
      <c r="H15" s="59"/>
      <c r="I15" s="59"/>
    </row>
    <row r="16" spans="2:9">
      <c r="B16" s="55" t="s">
        <v>26</v>
      </c>
      <c r="C16" s="55"/>
      <c r="D16" s="57"/>
      <c r="E16" s="57"/>
      <c r="F16" s="57"/>
      <c r="G16" s="57"/>
      <c r="H16" s="57"/>
      <c r="I16" s="57"/>
    </row>
    <row r="17" spans="2:9">
      <c r="B17" s="55"/>
      <c r="C17" s="55"/>
      <c r="D17" s="57"/>
      <c r="E17" s="57"/>
      <c r="F17" s="57"/>
      <c r="G17" s="57"/>
      <c r="H17" s="57"/>
      <c r="I17" s="57"/>
    </row>
    <row r="18" spans="2:9">
      <c r="B18" s="60" t="s">
        <v>27</v>
      </c>
      <c r="C18" s="61"/>
      <c r="D18" s="57"/>
      <c r="E18" s="57"/>
      <c r="F18" s="57"/>
      <c r="G18" s="57"/>
      <c r="H18" s="57"/>
      <c r="I18" s="57"/>
    </row>
    <row r="19" spans="2:9">
      <c r="B19" s="55" t="s">
        <v>28</v>
      </c>
      <c r="C19" s="55"/>
      <c r="D19" s="57"/>
      <c r="E19" s="57"/>
      <c r="F19" s="57"/>
      <c r="G19" s="57"/>
      <c r="H19" s="57"/>
      <c r="I19" s="57"/>
    </row>
    <row r="20" spans="2:9">
      <c r="B20" s="55"/>
      <c r="C20" s="55"/>
      <c r="D20" s="57"/>
      <c r="E20" s="57"/>
      <c r="F20" s="57"/>
      <c r="G20" s="57"/>
      <c r="H20" s="57"/>
      <c r="I20" s="57"/>
    </row>
    <row r="21" spans="2:9">
      <c r="B21" s="55" t="s">
        <v>29</v>
      </c>
      <c r="C21" s="55"/>
      <c r="D21" s="57"/>
      <c r="E21" s="57"/>
      <c r="F21" s="57"/>
      <c r="G21" s="57"/>
      <c r="H21" s="57"/>
      <c r="I21" s="57"/>
    </row>
    <row r="22" spans="2:9">
      <c r="B22" s="55"/>
      <c r="C22" s="55"/>
      <c r="D22" s="57"/>
      <c r="E22" s="57"/>
      <c r="F22" s="57"/>
      <c r="G22" s="57"/>
      <c r="H22" s="57"/>
      <c r="I22" s="57"/>
    </row>
    <row r="23" spans="2:9">
      <c r="B23" s="56" t="s">
        <v>30</v>
      </c>
      <c r="C23" s="56"/>
      <c r="D23" s="57" t="s">
        <v>31</v>
      </c>
      <c r="E23" s="57"/>
      <c r="F23" s="57"/>
      <c r="G23" s="57"/>
      <c r="H23" s="57"/>
      <c r="I23" s="57"/>
    </row>
    <row r="24" spans="2:9">
      <c r="B24" s="56"/>
      <c r="C24" s="56"/>
      <c r="D24" s="57" t="s">
        <v>32</v>
      </c>
      <c r="E24" s="57"/>
      <c r="F24" s="57"/>
      <c r="G24" s="57"/>
      <c r="H24" s="57"/>
      <c r="I24" s="57"/>
    </row>
    <row r="25" spans="2:9">
      <c r="B25" s="56"/>
      <c r="C25" s="56"/>
      <c r="D25" s="57" t="s">
        <v>33</v>
      </c>
      <c r="E25" s="57"/>
      <c r="F25" s="57"/>
      <c r="G25" s="57"/>
      <c r="H25" s="57"/>
      <c r="I25" s="57"/>
    </row>
    <row r="26" spans="2:9">
      <c r="B26" s="56"/>
      <c r="C26" s="56"/>
      <c r="D26" s="57" t="s">
        <v>34</v>
      </c>
      <c r="E26" s="57"/>
      <c r="F26" s="57"/>
      <c r="G26" s="57"/>
      <c r="H26" s="57"/>
      <c r="I26" s="57"/>
    </row>
    <row r="27" spans="2:9">
      <c r="B27" s="62" t="s">
        <v>35</v>
      </c>
      <c r="C27" s="62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62"/>
      <c r="C28" s="62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62"/>
      <c r="C29" s="62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63" t="s">
        <v>45</v>
      </c>
      <c r="C30" s="63"/>
      <c r="D30" s="63"/>
      <c r="E30" s="63"/>
      <c r="F30" s="63"/>
      <c r="G30" s="63"/>
      <c r="H30" s="63"/>
      <c r="I30" s="63"/>
    </row>
    <row r="31" spans="2:9">
      <c r="B31" s="63"/>
      <c r="C31" s="63"/>
      <c r="D31" s="63"/>
      <c r="E31" s="63"/>
      <c r="F31" s="63"/>
      <c r="G31" s="63"/>
      <c r="H31" s="63"/>
      <c r="I31" s="63"/>
    </row>
    <row r="32" spans="2:9">
      <c r="B32" s="63"/>
      <c r="C32" s="63"/>
      <c r="D32" s="63"/>
      <c r="E32" s="63"/>
      <c r="F32" s="63"/>
      <c r="G32" s="63"/>
      <c r="H32" s="63"/>
      <c r="I32" s="63"/>
    </row>
    <row r="33" spans="2:9">
      <c r="B33" s="63"/>
      <c r="C33" s="63"/>
      <c r="D33" s="63"/>
      <c r="E33" s="63"/>
      <c r="F33" s="63"/>
      <c r="G33" s="63"/>
      <c r="H33" s="63"/>
      <c r="I33" s="63"/>
    </row>
    <row r="34" spans="2:9">
      <c r="B34" s="63"/>
      <c r="C34" s="63"/>
      <c r="D34" s="63"/>
      <c r="E34" s="63"/>
      <c r="F34" s="63"/>
      <c r="G34" s="63"/>
      <c r="H34" s="63"/>
      <c r="I34" s="63"/>
    </row>
    <row r="35" spans="2:9">
      <c r="B35" s="59" t="s">
        <v>46</v>
      </c>
      <c r="C35" s="59"/>
      <c r="D35" s="59"/>
      <c r="E35" s="59"/>
      <c r="F35" s="59"/>
      <c r="G35" s="59"/>
      <c r="H35" s="59"/>
      <c r="I35" s="59"/>
    </row>
    <row r="36" spans="2:9">
      <c r="B36" s="64" t="s">
        <v>47</v>
      </c>
      <c r="C36" s="64"/>
      <c r="D36" s="64"/>
      <c r="E36" s="64"/>
      <c r="F36" s="64"/>
      <c r="G36" s="64"/>
      <c r="H36" s="64"/>
      <c r="I36" s="64"/>
    </row>
    <row r="37" spans="2:9">
      <c r="B37" s="64"/>
      <c r="C37" s="64"/>
      <c r="D37" s="64"/>
      <c r="E37" s="64"/>
      <c r="F37" s="64"/>
      <c r="G37" s="64"/>
      <c r="H37" s="64"/>
      <c r="I37" s="64"/>
    </row>
    <row r="38" spans="2:9">
      <c r="B38" s="64"/>
      <c r="C38" s="64"/>
      <c r="D38" s="64"/>
      <c r="E38" s="64"/>
      <c r="F38" s="64"/>
      <c r="G38" s="64"/>
      <c r="H38" s="64"/>
      <c r="I38" s="64"/>
    </row>
    <row r="39" spans="2:9">
      <c r="B39" s="65" t="s">
        <v>48</v>
      </c>
      <c r="C39" s="65"/>
      <c r="D39" s="65"/>
      <c r="E39" s="65"/>
      <c r="F39" s="65" t="s">
        <v>49</v>
      </c>
      <c r="G39" s="65"/>
      <c r="H39" s="65"/>
      <c r="I39" s="65"/>
    </row>
    <row r="40" spans="2:9">
      <c r="B40" s="65"/>
      <c r="C40" s="65"/>
      <c r="D40" s="65"/>
      <c r="E40" s="65"/>
      <c r="F40" s="65"/>
      <c r="G40" s="65"/>
      <c r="H40" s="65"/>
      <c r="I40" s="65"/>
    </row>
    <row r="41" spans="2:9">
      <c r="B41" s="65"/>
      <c r="C41" s="65"/>
      <c r="D41" s="65"/>
      <c r="E41" s="65"/>
      <c r="F41" s="65"/>
      <c r="G41" s="65"/>
      <c r="H41" s="65"/>
      <c r="I41" s="65"/>
    </row>
    <row r="42" spans="2:9">
      <c r="B42" s="65"/>
      <c r="C42" s="65"/>
      <c r="D42" s="65"/>
      <c r="E42" s="65"/>
      <c r="F42" s="65"/>
      <c r="G42" s="65"/>
      <c r="H42" s="65"/>
      <c r="I42" s="65"/>
    </row>
    <row r="43" spans="2:9">
      <c r="B43" s="65"/>
      <c r="C43" s="65"/>
      <c r="D43" s="65"/>
      <c r="E43" s="65"/>
      <c r="F43" s="65"/>
      <c r="G43" s="65"/>
      <c r="H43" s="65"/>
      <c r="I43" s="65"/>
    </row>
    <row r="44" spans="2:9">
      <c r="B44" s="65"/>
      <c r="C44" s="65"/>
      <c r="D44" s="65"/>
      <c r="E44" s="65"/>
      <c r="F44" s="65"/>
      <c r="G44" s="65"/>
      <c r="H44" s="65"/>
      <c r="I44" s="65"/>
    </row>
    <row r="45" spans="2:9">
      <c r="B45" s="65"/>
      <c r="C45" s="65"/>
      <c r="D45" s="65"/>
      <c r="E45" s="65"/>
      <c r="F45" s="65"/>
      <c r="G45" s="65"/>
      <c r="H45" s="65"/>
      <c r="I45" s="65"/>
    </row>
    <row r="46" spans="2:9">
      <c r="B46" s="65"/>
      <c r="C46" s="65"/>
      <c r="D46" s="65"/>
      <c r="E46" s="65"/>
      <c r="F46" s="65"/>
      <c r="G46" s="65"/>
      <c r="H46" s="65"/>
      <c r="I46" s="65"/>
    </row>
    <row r="47" spans="2:9">
      <c r="B47" s="65"/>
      <c r="C47" s="65"/>
      <c r="D47" s="65"/>
      <c r="E47" s="65"/>
      <c r="F47" s="65"/>
      <c r="G47" s="65"/>
      <c r="H47" s="65"/>
      <c r="I47" s="65"/>
    </row>
    <row r="48" spans="2:9">
      <c r="B48" s="59" t="s">
        <v>50</v>
      </c>
      <c r="C48" s="59"/>
      <c r="D48" s="59"/>
      <c r="E48" s="59"/>
      <c r="F48" s="59"/>
      <c r="G48" s="59"/>
      <c r="H48" s="59"/>
      <c r="I48" s="59"/>
    </row>
    <row r="49" spans="2:9">
      <c r="B49" s="73" t="s">
        <v>51</v>
      </c>
      <c r="C49" s="73"/>
      <c r="D49" s="73"/>
      <c r="E49" s="73"/>
      <c r="F49" s="65" t="s">
        <v>52</v>
      </c>
      <c r="G49" s="65"/>
      <c r="H49" s="65"/>
      <c r="I49" s="65"/>
    </row>
    <row r="50" spans="2:9">
      <c r="B50" s="73"/>
      <c r="C50" s="73"/>
      <c r="D50" s="73"/>
      <c r="E50" s="73"/>
      <c r="F50" s="65"/>
      <c r="G50" s="65"/>
      <c r="H50" s="65"/>
      <c r="I50" s="65"/>
    </row>
    <row r="51" spans="2:9">
      <c r="B51" s="73"/>
      <c r="C51" s="73"/>
      <c r="D51" s="73"/>
      <c r="E51" s="73"/>
      <c r="F51" s="65"/>
      <c r="G51" s="65"/>
      <c r="H51" s="65"/>
      <c r="I51" s="65"/>
    </row>
    <row r="52" spans="2:9">
      <c r="B52" s="73"/>
      <c r="C52" s="73"/>
      <c r="D52" s="73"/>
      <c r="E52" s="73"/>
      <c r="F52" s="65"/>
      <c r="G52" s="65"/>
      <c r="H52" s="65"/>
      <c r="I52" s="65"/>
    </row>
    <row r="53" spans="2:9">
      <c r="B53" s="73"/>
      <c r="C53" s="73"/>
      <c r="D53" s="73"/>
      <c r="E53" s="73"/>
      <c r="F53" s="65"/>
      <c r="G53" s="65"/>
      <c r="H53" s="65"/>
      <c r="I53" s="65"/>
    </row>
    <row r="54" spans="2:9">
      <c r="B54" s="73"/>
      <c r="C54" s="73"/>
      <c r="D54" s="73"/>
      <c r="E54" s="73"/>
      <c r="F54" s="65"/>
      <c r="G54" s="65"/>
      <c r="H54" s="65"/>
      <c r="I54" s="65"/>
    </row>
    <row r="55" spans="2:9">
      <c r="B55" s="73"/>
      <c r="C55" s="73"/>
      <c r="D55" s="73"/>
      <c r="E55" s="73"/>
      <c r="F55" s="65"/>
      <c r="G55" s="65"/>
      <c r="H55" s="65"/>
      <c r="I55" s="65"/>
    </row>
    <row r="56" spans="2:9">
      <c r="B56" s="73"/>
      <c r="C56" s="73"/>
      <c r="D56" s="73"/>
      <c r="E56" s="73"/>
      <c r="F56" s="65"/>
      <c r="G56" s="65"/>
      <c r="H56" s="65"/>
      <c r="I56" s="65"/>
    </row>
    <row r="57" spans="2:9">
      <c r="B57" s="73"/>
      <c r="C57" s="73"/>
      <c r="D57" s="73"/>
      <c r="E57" s="73"/>
      <c r="F57" s="65"/>
      <c r="G57" s="65"/>
      <c r="H57" s="65"/>
      <c r="I57" s="65"/>
    </row>
    <row r="58" spans="2:9">
      <c r="B58" s="73"/>
      <c r="C58" s="73"/>
      <c r="D58" s="73"/>
      <c r="E58" s="73"/>
      <c r="F58" s="65"/>
      <c r="G58" s="65"/>
      <c r="H58" s="65"/>
      <c r="I58" s="65"/>
    </row>
    <row r="59" spans="2:9">
      <c r="B59" s="73"/>
      <c r="C59" s="73"/>
      <c r="D59" s="73"/>
      <c r="E59" s="73"/>
      <c r="F59" s="65"/>
      <c r="G59" s="65"/>
      <c r="H59" s="65"/>
      <c r="I59" s="65"/>
    </row>
    <row r="60" spans="2:9">
      <c r="B60" s="56" t="s">
        <v>53</v>
      </c>
      <c r="C60" s="56"/>
      <c r="D60" s="56"/>
      <c r="E60" s="56"/>
      <c r="F60" s="57"/>
      <c r="G60" s="57"/>
      <c r="H60" s="56" t="s">
        <v>54</v>
      </c>
      <c r="I60" s="5"/>
    </row>
    <row r="61" spans="2:9">
      <c r="B61" s="56"/>
      <c r="C61" s="56"/>
      <c r="D61" s="56"/>
      <c r="E61" s="56"/>
      <c r="F61" s="57"/>
      <c r="G61" s="57"/>
      <c r="H61" s="56"/>
      <c r="I61" s="5"/>
    </row>
    <row r="62" spans="2:9">
      <c r="B62" s="56"/>
      <c r="C62" s="56"/>
      <c r="D62" s="56"/>
      <c r="E62" s="56"/>
      <c r="F62" s="57"/>
      <c r="G62" s="57"/>
      <c r="H62" s="56"/>
      <c r="I62" s="5"/>
    </row>
    <row r="63" spans="2:9">
      <c r="B63" s="56"/>
      <c r="C63" s="56"/>
      <c r="D63" s="56"/>
      <c r="E63" s="56"/>
      <c r="F63" s="57"/>
      <c r="G63" s="57"/>
      <c r="H63" s="56"/>
      <c r="I63" s="5"/>
    </row>
    <row r="64" spans="2:9">
      <c r="B64" s="56"/>
      <c r="C64" s="56"/>
      <c r="D64" s="56"/>
      <c r="E64" s="56"/>
      <c r="F64" s="57"/>
      <c r="G64" s="57"/>
      <c r="H64" s="56"/>
      <c r="I64" s="5"/>
    </row>
    <row r="65" spans="2:9">
      <c r="B65" s="59" t="s">
        <v>55</v>
      </c>
      <c r="C65" s="59"/>
      <c r="D65" s="59"/>
      <c r="E65" s="59"/>
      <c r="F65" s="59"/>
      <c r="G65" s="59"/>
      <c r="H65" s="59"/>
      <c r="I65" s="59"/>
    </row>
    <row r="66" spans="2:9">
      <c r="B66" s="65" t="s">
        <v>56</v>
      </c>
      <c r="C66" s="65"/>
      <c r="D66" s="65"/>
      <c r="E66" s="65"/>
      <c r="F66" s="65" t="s">
        <v>57</v>
      </c>
      <c r="G66" s="65"/>
      <c r="H66" s="65"/>
      <c r="I66" s="65"/>
    </row>
    <row r="67" spans="2:9">
      <c r="B67" s="65"/>
      <c r="C67" s="65"/>
      <c r="D67" s="65"/>
      <c r="E67" s="65"/>
      <c r="F67" s="65"/>
      <c r="G67" s="65"/>
      <c r="H67" s="65"/>
      <c r="I67" s="65"/>
    </row>
    <row r="68" spans="2:9">
      <c r="B68" s="65"/>
      <c r="C68" s="65"/>
      <c r="D68" s="65"/>
      <c r="E68" s="65"/>
      <c r="F68" s="65"/>
      <c r="G68" s="65"/>
      <c r="H68" s="65"/>
      <c r="I68" s="65"/>
    </row>
    <row r="69" spans="2:9">
      <c r="B69" s="65"/>
      <c r="C69" s="65"/>
      <c r="D69" s="65"/>
      <c r="E69" s="65"/>
      <c r="F69" s="65"/>
      <c r="G69" s="65"/>
      <c r="H69" s="65"/>
      <c r="I69" s="65"/>
    </row>
    <row r="70" spans="2:9">
      <c r="B70" s="65"/>
      <c r="C70" s="65"/>
      <c r="D70" s="65"/>
      <c r="E70" s="65"/>
      <c r="F70" s="65"/>
      <c r="G70" s="65"/>
      <c r="H70" s="65"/>
      <c r="I70" s="65"/>
    </row>
    <row r="71" spans="2:9">
      <c r="B71" s="65"/>
      <c r="C71" s="65"/>
      <c r="D71" s="65"/>
      <c r="E71" s="65"/>
      <c r="F71" s="65"/>
      <c r="G71" s="65"/>
      <c r="H71" s="65"/>
      <c r="I71" s="65"/>
    </row>
    <row r="72" spans="2:9">
      <c r="B72" s="65"/>
      <c r="C72" s="65"/>
      <c r="D72" s="65"/>
      <c r="E72" s="65"/>
      <c r="F72" s="65"/>
      <c r="G72" s="65"/>
      <c r="H72" s="65"/>
      <c r="I72" s="65"/>
    </row>
    <row r="73" spans="2:9">
      <c r="B73" s="65"/>
      <c r="C73" s="65"/>
      <c r="D73" s="65"/>
      <c r="E73" s="65"/>
      <c r="F73" s="65"/>
      <c r="G73" s="65"/>
      <c r="H73" s="65"/>
      <c r="I73" s="65"/>
    </row>
    <row r="74" spans="2:9">
      <c r="B74" s="65"/>
      <c r="C74" s="65"/>
      <c r="D74" s="65"/>
      <c r="E74" s="65"/>
      <c r="F74" s="65"/>
      <c r="G74" s="65"/>
      <c r="H74" s="65"/>
      <c r="I74" s="65"/>
    </row>
    <row r="75" spans="2:9">
      <c r="B75" s="65"/>
      <c r="C75" s="65"/>
      <c r="D75" s="65"/>
      <c r="E75" s="65"/>
      <c r="F75" s="65"/>
      <c r="G75" s="65"/>
      <c r="H75" s="65"/>
      <c r="I75" s="65"/>
    </row>
    <row r="76" spans="2:9">
      <c r="B76" s="65"/>
      <c r="C76" s="65"/>
      <c r="D76" s="65"/>
      <c r="E76" s="65"/>
      <c r="F76" s="65"/>
      <c r="G76" s="65"/>
      <c r="H76" s="65"/>
      <c r="I76" s="65"/>
    </row>
    <row r="77" spans="2:9">
      <c r="B77" s="65"/>
      <c r="C77" s="65"/>
      <c r="D77" s="65"/>
      <c r="E77" s="65"/>
      <c r="F77" s="65"/>
      <c r="G77" s="65"/>
      <c r="H77" s="65"/>
      <c r="I77" s="65"/>
    </row>
    <row r="78" spans="2:9">
      <c r="B78" s="65"/>
      <c r="C78" s="65"/>
      <c r="D78" s="65"/>
      <c r="E78" s="65"/>
      <c r="F78" s="65"/>
      <c r="G78" s="65"/>
      <c r="H78" s="65"/>
      <c r="I78" s="65"/>
    </row>
    <row r="79" spans="2:9">
      <c r="B79" s="65"/>
      <c r="C79" s="65"/>
      <c r="D79" s="65"/>
      <c r="E79" s="65"/>
      <c r="F79" s="65"/>
      <c r="G79" s="65"/>
      <c r="H79" s="65"/>
      <c r="I79" s="65"/>
    </row>
    <row r="80" spans="2:9">
      <c r="B80" s="72"/>
      <c r="C80" s="72"/>
      <c r="D80" s="72"/>
      <c r="E80" s="72"/>
      <c r="F80" s="72"/>
      <c r="G80" s="72"/>
      <c r="H80" s="72"/>
      <c r="I80" s="72"/>
    </row>
    <row r="81" spans="2:9">
      <c r="B81" s="59" t="s">
        <v>58</v>
      </c>
      <c r="C81" s="59"/>
      <c r="D81" s="59"/>
      <c r="E81" s="59"/>
      <c r="F81" s="59"/>
      <c r="G81" s="59"/>
      <c r="H81" s="59"/>
      <c r="I81" s="5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59" t="s">
        <v>64</v>
      </c>
      <c r="H82" s="59"/>
      <c r="I82" s="59"/>
    </row>
    <row r="83" spans="2:9">
      <c r="B83" s="10"/>
      <c r="C83" s="10"/>
      <c r="D83" s="10"/>
      <c r="E83" s="10"/>
      <c r="F83" s="10"/>
      <c r="G83" s="64"/>
      <c r="H83" s="64"/>
      <c r="I83" s="64"/>
    </row>
    <row r="84" spans="2:9">
      <c r="B84" s="10"/>
      <c r="C84" s="10"/>
      <c r="D84" s="10"/>
      <c r="E84" s="10"/>
      <c r="F84" s="10"/>
      <c r="G84" s="64"/>
      <c r="H84" s="64"/>
      <c r="I84" s="64"/>
    </row>
    <row r="85" spans="2:9">
      <c r="B85" s="10"/>
      <c r="C85" s="10"/>
      <c r="D85" s="10"/>
      <c r="E85" s="10"/>
      <c r="F85" s="10"/>
      <c r="G85" s="64"/>
      <c r="H85" s="64"/>
      <c r="I85" s="64"/>
    </row>
    <row r="86" spans="2:9">
      <c r="B86" s="10"/>
      <c r="C86" s="10"/>
      <c r="D86" s="10"/>
      <c r="E86" s="10"/>
      <c r="F86" s="10"/>
      <c r="G86" s="64"/>
      <c r="H86" s="64"/>
      <c r="I86" s="64"/>
    </row>
    <row r="87" spans="2:9">
      <c r="B87" s="10"/>
      <c r="C87" s="10"/>
      <c r="D87" s="10"/>
      <c r="E87" s="10"/>
      <c r="F87" s="10"/>
      <c r="G87" s="64"/>
      <c r="H87" s="64"/>
      <c r="I87" s="64"/>
    </row>
    <row r="88" spans="2:9">
      <c r="B88" s="10"/>
      <c r="C88" s="10"/>
      <c r="D88" s="10"/>
      <c r="E88" s="10"/>
      <c r="F88" s="10"/>
      <c r="G88" s="64"/>
      <c r="H88" s="64"/>
      <c r="I88" s="64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66"/>
      <c r="C2" s="68" t="s">
        <v>0</v>
      </c>
      <c r="D2" s="68"/>
      <c r="E2" s="68"/>
      <c r="F2" s="68"/>
      <c r="G2" s="68"/>
      <c r="H2" s="68"/>
      <c r="I2" s="6" t="s">
        <v>1</v>
      </c>
    </row>
    <row r="3" spans="2:11" ht="20.25" customHeight="1">
      <c r="B3" s="67"/>
      <c r="C3" s="69"/>
      <c r="D3" s="69"/>
      <c r="E3" s="69"/>
      <c r="F3" s="69"/>
      <c r="G3" s="69"/>
      <c r="H3" s="69"/>
      <c r="I3" s="7" t="s">
        <v>2</v>
      </c>
    </row>
    <row r="4" spans="2:11" ht="21" customHeight="1" thickBot="1">
      <c r="B4" s="70" t="s">
        <v>3</v>
      </c>
      <c r="C4" s="71"/>
      <c r="D4" s="71"/>
      <c r="E4" s="71"/>
      <c r="F4" s="71"/>
      <c r="G4" s="71"/>
      <c r="H4" s="71"/>
      <c r="I4" s="8" t="s">
        <v>4</v>
      </c>
    </row>
    <row r="5" spans="2:11" ht="15.75" thickTop="1">
      <c r="B5" s="56"/>
      <c r="C5" s="56"/>
      <c r="D5" s="56"/>
      <c r="E5" s="56"/>
      <c r="F5" s="56"/>
      <c r="G5" s="56"/>
      <c r="H5" s="56"/>
      <c r="I5" s="56"/>
    </row>
    <row r="6" spans="2:11">
      <c r="B6" s="56" t="s">
        <v>5</v>
      </c>
      <c r="C6" s="56"/>
      <c r="D6" s="56"/>
      <c r="E6" s="56"/>
      <c r="F6" s="56"/>
      <c r="G6" s="56"/>
      <c r="H6" s="56"/>
      <c r="I6" s="56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58"/>
      <c r="F8" s="58"/>
      <c r="G8" s="2" t="s">
        <v>12</v>
      </c>
      <c r="H8" s="58"/>
      <c r="I8" s="58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5" t="s">
        <v>17</v>
      </c>
      <c r="C10" s="59"/>
      <c r="D10" s="59"/>
      <c r="E10" s="59"/>
      <c r="F10" s="59"/>
      <c r="G10" s="59"/>
      <c r="H10" s="59"/>
      <c r="I10" s="59"/>
    </row>
    <row r="11" spans="2:11">
      <c r="B11" s="55" t="s">
        <v>18</v>
      </c>
      <c r="C11" s="55"/>
      <c r="D11" s="56" t="s">
        <v>19</v>
      </c>
      <c r="E11" s="57"/>
      <c r="F11" s="57"/>
      <c r="G11" s="56" t="s">
        <v>20</v>
      </c>
      <c r="H11" s="57"/>
      <c r="I11" s="57"/>
    </row>
    <row r="12" spans="2:11">
      <c r="B12" s="55"/>
      <c r="C12" s="55"/>
      <c r="D12" s="56"/>
      <c r="E12" s="57"/>
      <c r="F12" s="57"/>
      <c r="G12" s="56"/>
      <c r="H12" s="57"/>
      <c r="I12" s="57"/>
    </row>
    <row r="13" spans="2:11">
      <c r="B13" s="59" t="s">
        <v>21</v>
      </c>
      <c r="C13" s="59"/>
      <c r="D13" s="59"/>
      <c r="E13" s="59"/>
      <c r="F13" s="59"/>
      <c r="G13" s="59"/>
      <c r="H13" s="59"/>
      <c r="I13" s="59"/>
    </row>
    <row r="14" spans="2:11">
      <c r="B14" s="3" t="s">
        <v>22</v>
      </c>
      <c r="C14" s="58"/>
      <c r="D14" s="58"/>
      <c r="E14" s="3" t="s">
        <v>23</v>
      </c>
      <c r="F14" s="1"/>
      <c r="G14" s="3" t="s">
        <v>24</v>
      </c>
      <c r="H14" s="58"/>
      <c r="I14" s="58"/>
    </row>
    <row r="15" spans="2:11">
      <c r="B15" s="59" t="s">
        <v>25</v>
      </c>
      <c r="C15" s="59"/>
      <c r="D15" s="59"/>
      <c r="E15" s="59"/>
      <c r="F15" s="59"/>
      <c r="G15" s="59"/>
      <c r="H15" s="59"/>
      <c r="I15" s="59"/>
    </row>
    <row r="16" spans="2:11">
      <c r="B16" s="55" t="s">
        <v>26</v>
      </c>
      <c r="C16" s="55"/>
      <c r="D16" s="57" t="s">
        <v>68</v>
      </c>
      <c r="E16" s="57"/>
      <c r="F16" s="57"/>
      <c r="G16" s="57"/>
      <c r="H16" s="57"/>
      <c r="I16" s="57"/>
    </row>
    <row r="17" spans="2:12">
      <c r="B17" s="55"/>
      <c r="C17" s="55"/>
      <c r="D17" s="57"/>
      <c r="E17" s="57"/>
      <c r="F17" s="57"/>
      <c r="G17" s="57"/>
      <c r="H17" s="57"/>
      <c r="I17" s="57"/>
    </row>
    <row r="18" spans="2:12">
      <c r="B18" s="83" t="s">
        <v>27</v>
      </c>
      <c r="C18" s="84"/>
      <c r="D18" s="85"/>
      <c r="E18" s="85"/>
      <c r="F18" s="85"/>
      <c r="G18" s="85"/>
      <c r="H18" s="85"/>
      <c r="I18" s="85"/>
    </row>
    <row r="19" spans="2:12">
      <c r="B19" s="86" t="s">
        <v>28</v>
      </c>
      <c r="C19" s="86"/>
      <c r="D19" s="85"/>
      <c r="E19" s="85"/>
      <c r="F19" s="85"/>
      <c r="G19" s="85"/>
      <c r="H19" s="85"/>
      <c r="I19" s="85"/>
    </row>
    <row r="20" spans="2:12">
      <c r="B20" s="86"/>
      <c r="C20" s="86"/>
      <c r="D20" s="85"/>
      <c r="E20" s="85"/>
      <c r="F20" s="85"/>
      <c r="G20" s="85"/>
      <c r="H20" s="85"/>
      <c r="I20" s="85"/>
    </row>
    <row r="21" spans="2:12">
      <c r="B21" s="86" t="s">
        <v>29</v>
      </c>
      <c r="C21" s="86"/>
      <c r="D21" s="85" t="s">
        <v>69</v>
      </c>
      <c r="E21" s="85"/>
      <c r="F21" s="85"/>
      <c r="G21" s="85"/>
      <c r="H21" s="85"/>
      <c r="I21" s="85"/>
    </row>
    <row r="22" spans="2:12">
      <c r="B22" s="86"/>
      <c r="C22" s="86"/>
      <c r="D22" s="85"/>
      <c r="E22" s="85"/>
      <c r="F22" s="85"/>
      <c r="G22" s="85"/>
      <c r="H22" s="85"/>
      <c r="I22" s="85"/>
    </row>
    <row r="23" spans="2:12">
      <c r="B23" s="87" t="s">
        <v>30</v>
      </c>
      <c r="C23" s="87"/>
      <c r="D23" s="85" t="s">
        <v>31</v>
      </c>
      <c r="E23" s="85"/>
      <c r="F23" s="85"/>
      <c r="G23" s="85"/>
      <c r="H23" s="85"/>
      <c r="I23" s="85"/>
    </row>
    <row r="24" spans="2:12">
      <c r="B24" s="87"/>
      <c r="C24" s="87"/>
      <c r="D24" s="85" t="s">
        <v>32</v>
      </c>
      <c r="E24" s="85"/>
      <c r="F24" s="85"/>
      <c r="G24" s="85"/>
      <c r="H24" s="85"/>
      <c r="I24" s="85"/>
    </row>
    <row r="25" spans="2:12">
      <c r="B25" s="87"/>
      <c r="C25" s="87"/>
      <c r="D25" s="85" t="s">
        <v>33</v>
      </c>
      <c r="E25" s="85"/>
      <c r="F25" s="85"/>
      <c r="G25" s="85"/>
      <c r="H25" s="85"/>
      <c r="I25" s="85"/>
    </row>
    <row r="26" spans="2:12">
      <c r="B26" s="87"/>
      <c r="C26" s="87"/>
      <c r="D26" s="85" t="s">
        <v>34</v>
      </c>
      <c r="E26" s="85"/>
      <c r="F26" s="85"/>
      <c r="G26" s="85"/>
      <c r="H26" s="85"/>
      <c r="I26" s="85"/>
    </row>
    <row r="27" spans="2:12" ht="99.6" customHeight="1">
      <c r="B27" s="62" t="s">
        <v>70</v>
      </c>
      <c r="C27" s="62"/>
      <c r="D27" s="77" t="s">
        <v>71</v>
      </c>
      <c r="E27" s="78"/>
      <c r="F27" s="79"/>
      <c r="G27" s="74" t="s">
        <v>72</v>
      </c>
      <c r="H27" s="78"/>
      <c r="I27" s="79"/>
      <c r="L27" s="11" t="s">
        <v>73</v>
      </c>
    </row>
    <row r="28" spans="2:12" ht="90.6" customHeight="1">
      <c r="B28" s="62"/>
      <c r="C28" s="62"/>
      <c r="D28" s="88" t="s">
        <v>74</v>
      </c>
      <c r="E28" s="89"/>
      <c r="F28" s="90"/>
      <c r="G28" s="74" t="s">
        <v>75</v>
      </c>
      <c r="H28" s="75"/>
      <c r="I28" s="76"/>
      <c r="L28" s="11" t="s">
        <v>76</v>
      </c>
    </row>
    <row r="29" spans="2:12" ht="75.599999999999994" customHeight="1">
      <c r="B29" s="62"/>
      <c r="C29" s="62"/>
      <c r="D29" s="77" t="s">
        <v>77</v>
      </c>
      <c r="E29" s="78"/>
      <c r="F29" s="79"/>
      <c r="G29" s="74" t="s">
        <v>78</v>
      </c>
      <c r="H29" s="81"/>
      <c r="I29" s="82"/>
      <c r="L29" s="11" t="s">
        <v>79</v>
      </c>
    </row>
    <row r="30" spans="2:12">
      <c r="B30" s="59" t="s">
        <v>46</v>
      </c>
      <c r="C30" s="59"/>
      <c r="D30" s="59"/>
      <c r="E30" s="59"/>
      <c r="F30" s="59"/>
      <c r="G30" s="59"/>
      <c r="H30" s="59"/>
      <c r="I30" s="59"/>
    </row>
    <row r="31" spans="2:12">
      <c r="B31" s="64" t="s">
        <v>47</v>
      </c>
      <c r="C31" s="64"/>
      <c r="D31" s="64"/>
      <c r="E31" s="64"/>
      <c r="F31" s="64"/>
      <c r="G31" s="64"/>
      <c r="H31" s="64"/>
      <c r="I31" s="64"/>
    </row>
    <row r="32" spans="2:12">
      <c r="B32" s="64"/>
      <c r="C32" s="64"/>
      <c r="D32" s="64"/>
      <c r="E32" s="64"/>
      <c r="F32" s="64"/>
      <c r="G32" s="64"/>
      <c r="H32" s="64"/>
      <c r="I32" s="64"/>
    </row>
    <row r="33" spans="2:9">
      <c r="B33" s="64"/>
      <c r="C33" s="64"/>
      <c r="D33" s="64"/>
      <c r="E33" s="64"/>
      <c r="F33" s="64"/>
      <c r="G33" s="64"/>
      <c r="H33" s="64"/>
      <c r="I33" s="64"/>
    </row>
    <row r="34" spans="2:9">
      <c r="B34" s="65" t="s">
        <v>80</v>
      </c>
      <c r="C34" s="65"/>
      <c r="D34" s="65"/>
      <c r="E34" s="65"/>
      <c r="F34" s="80" t="s">
        <v>49</v>
      </c>
      <c r="G34" s="80"/>
      <c r="H34" s="80"/>
      <c r="I34" s="80"/>
    </row>
    <row r="35" spans="2:9">
      <c r="B35" s="65"/>
      <c r="C35" s="65"/>
      <c r="D35" s="65"/>
      <c r="E35" s="65"/>
      <c r="F35" s="80"/>
      <c r="G35" s="80"/>
      <c r="H35" s="80"/>
      <c r="I35" s="80"/>
    </row>
    <row r="36" spans="2:9">
      <c r="B36" s="65"/>
      <c r="C36" s="65"/>
      <c r="D36" s="65"/>
      <c r="E36" s="65"/>
      <c r="F36" s="80"/>
      <c r="G36" s="80"/>
      <c r="H36" s="80"/>
      <c r="I36" s="80"/>
    </row>
    <row r="37" spans="2:9">
      <c r="B37" s="65"/>
      <c r="C37" s="65"/>
      <c r="D37" s="65"/>
      <c r="E37" s="65"/>
      <c r="F37" s="80"/>
      <c r="G37" s="80"/>
      <c r="H37" s="80"/>
      <c r="I37" s="80"/>
    </row>
    <row r="38" spans="2:9">
      <c r="B38" s="65"/>
      <c r="C38" s="65"/>
      <c r="D38" s="65"/>
      <c r="E38" s="65"/>
      <c r="F38" s="80"/>
      <c r="G38" s="80"/>
      <c r="H38" s="80"/>
      <c r="I38" s="80"/>
    </row>
    <row r="39" spans="2:9">
      <c r="B39" s="65"/>
      <c r="C39" s="65"/>
      <c r="D39" s="65"/>
      <c r="E39" s="65"/>
      <c r="F39" s="80"/>
      <c r="G39" s="80"/>
      <c r="H39" s="80"/>
      <c r="I39" s="80"/>
    </row>
    <row r="40" spans="2:9">
      <c r="B40" s="65"/>
      <c r="C40" s="65"/>
      <c r="D40" s="65"/>
      <c r="E40" s="65"/>
      <c r="F40" s="80"/>
      <c r="G40" s="80"/>
      <c r="H40" s="80"/>
      <c r="I40" s="80"/>
    </row>
    <row r="41" spans="2:9">
      <c r="B41" s="65"/>
      <c r="C41" s="65"/>
      <c r="D41" s="65"/>
      <c r="E41" s="65"/>
      <c r="F41" s="80"/>
      <c r="G41" s="80"/>
      <c r="H41" s="80"/>
      <c r="I41" s="80"/>
    </row>
    <row r="42" spans="2:9">
      <c r="B42" s="65"/>
      <c r="C42" s="65"/>
      <c r="D42" s="65"/>
      <c r="E42" s="65"/>
      <c r="F42" s="80"/>
      <c r="G42" s="80"/>
      <c r="H42" s="80"/>
      <c r="I42" s="80"/>
    </row>
    <row r="43" spans="2:9">
      <c r="B43" s="59" t="s">
        <v>50</v>
      </c>
      <c r="C43" s="59"/>
      <c r="D43" s="59"/>
      <c r="E43" s="59"/>
      <c r="F43" s="59"/>
      <c r="G43" s="59"/>
      <c r="H43" s="59"/>
      <c r="I43" s="59"/>
    </row>
    <row r="44" spans="2:9">
      <c r="B44" s="73" t="s">
        <v>81</v>
      </c>
      <c r="C44" s="73"/>
      <c r="D44" s="73"/>
      <c r="E44" s="73"/>
      <c r="F44" s="65" t="s">
        <v>82</v>
      </c>
      <c r="G44" s="65"/>
      <c r="H44" s="65"/>
      <c r="I44" s="65"/>
    </row>
    <row r="45" spans="2:9">
      <c r="B45" s="73"/>
      <c r="C45" s="73"/>
      <c r="D45" s="73"/>
      <c r="E45" s="73"/>
      <c r="F45" s="65"/>
      <c r="G45" s="65"/>
      <c r="H45" s="65"/>
      <c r="I45" s="65"/>
    </row>
    <row r="46" spans="2:9">
      <c r="B46" s="73"/>
      <c r="C46" s="73"/>
      <c r="D46" s="73"/>
      <c r="E46" s="73"/>
      <c r="F46" s="65"/>
      <c r="G46" s="65"/>
      <c r="H46" s="65"/>
      <c r="I46" s="65"/>
    </row>
    <row r="47" spans="2:9">
      <c r="B47" s="73"/>
      <c r="C47" s="73"/>
      <c r="D47" s="73"/>
      <c r="E47" s="73"/>
      <c r="F47" s="65"/>
      <c r="G47" s="65"/>
      <c r="H47" s="65"/>
      <c r="I47" s="65"/>
    </row>
    <row r="48" spans="2:9">
      <c r="B48" s="73"/>
      <c r="C48" s="73"/>
      <c r="D48" s="73"/>
      <c r="E48" s="73"/>
      <c r="F48" s="65"/>
      <c r="G48" s="65"/>
      <c r="H48" s="65"/>
      <c r="I48" s="65"/>
    </row>
    <row r="49" spans="2:9">
      <c r="B49" s="73"/>
      <c r="C49" s="73"/>
      <c r="D49" s="73"/>
      <c r="E49" s="73"/>
      <c r="F49" s="65"/>
      <c r="G49" s="65"/>
      <c r="H49" s="65"/>
      <c r="I49" s="65"/>
    </row>
    <row r="50" spans="2:9">
      <c r="B50" s="73"/>
      <c r="C50" s="73"/>
      <c r="D50" s="73"/>
      <c r="E50" s="73"/>
      <c r="F50" s="65"/>
      <c r="G50" s="65"/>
      <c r="H50" s="65"/>
      <c r="I50" s="65"/>
    </row>
    <row r="51" spans="2:9">
      <c r="B51" s="73"/>
      <c r="C51" s="73"/>
      <c r="D51" s="73"/>
      <c r="E51" s="73"/>
      <c r="F51" s="65"/>
      <c r="G51" s="65"/>
      <c r="H51" s="65"/>
      <c r="I51" s="65"/>
    </row>
    <row r="52" spans="2:9">
      <c r="B52" s="73"/>
      <c r="C52" s="73"/>
      <c r="D52" s="73"/>
      <c r="E52" s="73"/>
      <c r="F52" s="65"/>
      <c r="G52" s="65"/>
      <c r="H52" s="65"/>
      <c r="I52" s="65"/>
    </row>
    <row r="53" spans="2:9">
      <c r="B53" s="73"/>
      <c r="C53" s="73"/>
      <c r="D53" s="73"/>
      <c r="E53" s="73"/>
      <c r="F53" s="65"/>
      <c r="G53" s="65"/>
      <c r="H53" s="65"/>
      <c r="I53" s="65"/>
    </row>
    <row r="54" spans="2:9">
      <c r="B54" s="73"/>
      <c r="C54" s="73"/>
      <c r="D54" s="73"/>
      <c r="E54" s="73"/>
      <c r="F54" s="65"/>
      <c r="G54" s="65"/>
      <c r="H54" s="65"/>
      <c r="I54" s="65"/>
    </row>
    <row r="55" spans="2:9">
      <c r="B55" s="56" t="s">
        <v>83</v>
      </c>
      <c r="C55" s="56"/>
      <c r="D55" s="56"/>
      <c r="E55" s="56"/>
      <c r="F55" s="57" t="s">
        <v>84</v>
      </c>
      <c r="G55" s="57"/>
      <c r="H55" s="56" t="s">
        <v>54</v>
      </c>
      <c r="I55" s="5"/>
    </row>
    <row r="56" spans="2:9">
      <c r="B56" s="56"/>
      <c r="C56" s="56"/>
      <c r="D56" s="56"/>
      <c r="E56" s="56"/>
      <c r="F56" s="57"/>
      <c r="G56" s="57"/>
      <c r="H56" s="56"/>
      <c r="I56" s="5"/>
    </row>
    <row r="57" spans="2:9">
      <c r="B57" s="56"/>
      <c r="C57" s="56"/>
      <c r="D57" s="56"/>
      <c r="E57" s="56"/>
      <c r="F57" s="57"/>
      <c r="G57" s="57"/>
      <c r="H57" s="56"/>
      <c r="I57" s="5"/>
    </row>
    <row r="58" spans="2:9">
      <c r="B58" s="56"/>
      <c r="C58" s="56"/>
      <c r="D58" s="56"/>
      <c r="E58" s="56"/>
      <c r="F58" s="57"/>
      <c r="G58" s="57"/>
      <c r="H58" s="56"/>
      <c r="I58" s="5"/>
    </row>
    <row r="59" spans="2:9">
      <c r="B59" s="56"/>
      <c r="C59" s="56"/>
      <c r="D59" s="56"/>
      <c r="E59" s="56"/>
      <c r="F59" s="57"/>
      <c r="G59" s="57"/>
      <c r="H59" s="56"/>
      <c r="I59" s="5"/>
    </row>
    <row r="60" spans="2:9">
      <c r="B60" s="59" t="s">
        <v>55</v>
      </c>
      <c r="C60" s="59"/>
      <c r="D60" s="59"/>
      <c r="E60" s="59"/>
      <c r="F60" s="59"/>
      <c r="G60" s="59"/>
      <c r="H60" s="59"/>
      <c r="I60" s="59"/>
    </row>
    <row r="61" spans="2:9">
      <c r="B61" s="65" t="s">
        <v>56</v>
      </c>
      <c r="C61" s="65"/>
      <c r="D61" s="65"/>
      <c r="E61" s="65"/>
      <c r="F61" s="65" t="s">
        <v>57</v>
      </c>
      <c r="G61" s="65"/>
      <c r="H61" s="65"/>
      <c r="I61" s="65"/>
    </row>
    <row r="62" spans="2:9">
      <c r="B62" s="65"/>
      <c r="C62" s="65"/>
      <c r="D62" s="65"/>
      <c r="E62" s="65"/>
      <c r="F62" s="65"/>
      <c r="G62" s="65"/>
      <c r="H62" s="65"/>
      <c r="I62" s="65"/>
    </row>
    <row r="63" spans="2:9">
      <c r="B63" s="65"/>
      <c r="C63" s="65"/>
      <c r="D63" s="65"/>
      <c r="E63" s="65"/>
      <c r="F63" s="65"/>
      <c r="G63" s="65"/>
      <c r="H63" s="65"/>
      <c r="I63" s="65"/>
    </row>
    <row r="64" spans="2:9">
      <c r="B64" s="65"/>
      <c r="C64" s="65"/>
      <c r="D64" s="65"/>
      <c r="E64" s="65"/>
      <c r="F64" s="65"/>
      <c r="G64" s="65"/>
      <c r="H64" s="65"/>
      <c r="I64" s="65"/>
    </row>
    <row r="65" spans="2:9">
      <c r="B65" s="65"/>
      <c r="C65" s="65"/>
      <c r="D65" s="65"/>
      <c r="E65" s="65"/>
      <c r="F65" s="65"/>
      <c r="G65" s="65"/>
      <c r="H65" s="65"/>
      <c r="I65" s="65"/>
    </row>
    <row r="66" spans="2:9">
      <c r="B66" s="65"/>
      <c r="C66" s="65"/>
      <c r="D66" s="65"/>
      <c r="E66" s="65"/>
      <c r="F66" s="65"/>
      <c r="G66" s="65"/>
      <c r="H66" s="65"/>
      <c r="I66" s="65"/>
    </row>
    <row r="67" spans="2:9">
      <c r="B67" s="65"/>
      <c r="C67" s="65"/>
      <c r="D67" s="65"/>
      <c r="E67" s="65"/>
      <c r="F67" s="65"/>
      <c r="G67" s="65"/>
      <c r="H67" s="65"/>
      <c r="I67" s="65"/>
    </row>
    <row r="68" spans="2:9">
      <c r="B68" s="65"/>
      <c r="C68" s="65"/>
      <c r="D68" s="65"/>
      <c r="E68" s="65"/>
      <c r="F68" s="65"/>
      <c r="G68" s="65"/>
      <c r="H68" s="65"/>
      <c r="I68" s="65"/>
    </row>
    <row r="69" spans="2:9">
      <c r="B69" s="65"/>
      <c r="C69" s="65"/>
      <c r="D69" s="65"/>
      <c r="E69" s="65"/>
      <c r="F69" s="65"/>
      <c r="G69" s="65"/>
      <c r="H69" s="65"/>
      <c r="I69" s="65"/>
    </row>
    <row r="70" spans="2:9">
      <c r="B70" s="65"/>
      <c r="C70" s="65"/>
      <c r="D70" s="65"/>
      <c r="E70" s="65"/>
      <c r="F70" s="65"/>
      <c r="G70" s="65"/>
      <c r="H70" s="65"/>
      <c r="I70" s="65"/>
    </row>
    <row r="71" spans="2:9">
      <c r="B71" s="65"/>
      <c r="C71" s="65"/>
      <c r="D71" s="65"/>
      <c r="E71" s="65"/>
      <c r="F71" s="65"/>
      <c r="G71" s="65"/>
      <c r="H71" s="65"/>
      <c r="I71" s="65"/>
    </row>
    <row r="72" spans="2:9">
      <c r="B72" s="65"/>
      <c r="C72" s="65"/>
      <c r="D72" s="65"/>
      <c r="E72" s="65"/>
      <c r="F72" s="65"/>
      <c r="G72" s="65"/>
      <c r="H72" s="65"/>
      <c r="I72" s="65"/>
    </row>
    <row r="73" spans="2:9">
      <c r="B73" s="65"/>
      <c r="C73" s="65"/>
      <c r="D73" s="65"/>
      <c r="E73" s="65"/>
      <c r="F73" s="65"/>
      <c r="G73" s="65"/>
      <c r="H73" s="65"/>
      <c r="I73" s="65"/>
    </row>
    <row r="74" spans="2:9">
      <c r="B74" s="65"/>
      <c r="C74" s="65"/>
      <c r="D74" s="65"/>
      <c r="E74" s="65"/>
      <c r="F74" s="65"/>
      <c r="G74" s="65"/>
      <c r="H74" s="65"/>
      <c r="I74" s="65"/>
    </row>
    <row r="75" spans="2:9">
      <c r="B75" s="72"/>
      <c r="C75" s="72"/>
      <c r="D75" s="72"/>
      <c r="E75" s="72"/>
      <c r="F75" s="72"/>
      <c r="G75" s="72"/>
      <c r="H75" s="72"/>
      <c r="I75" s="72"/>
    </row>
    <row r="76" spans="2:9">
      <c r="B76" s="59" t="s">
        <v>58</v>
      </c>
      <c r="C76" s="59"/>
      <c r="D76" s="59"/>
      <c r="E76" s="59"/>
      <c r="F76" s="59"/>
      <c r="G76" s="59"/>
      <c r="H76" s="59"/>
      <c r="I76" s="5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59" t="s">
        <v>64</v>
      </c>
      <c r="H77" s="59"/>
      <c r="I77" s="59"/>
    </row>
    <row r="78" spans="2:9">
      <c r="B78" s="10"/>
      <c r="C78" s="10"/>
      <c r="D78" s="10"/>
      <c r="E78" s="10"/>
      <c r="F78" s="10"/>
      <c r="G78" s="64"/>
      <c r="H78" s="64"/>
      <c r="I78" s="64"/>
    </row>
    <row r="79" spans="2:9">
      <c r="B79" s="10"/>
      <c r="C79" s="10"/>
      <c r="D79" s="10"/>
      <c r="E79" s="10"/>
      <c r="F79" s="10"/>
      <c r="G79" s="64"/>
      <c r="H79" s="64"/>
      <c r="I79" s="64"/>
    </row>
    <row r="80" spans="2:9">
      <c r="B80" s="10"/>
      <c r="C80" s="10"/>
      <c r="D80" s="10"/>
      <c r="E80" s="10"/>
      <c r="F80" s="10"/>
      <c r="G80" s="64"/>
      <c r="H80" s="64"/>
      <c r="I80" s="64"/>
    </row>
    <row r="81" spans="2:9">
      <c r="B81" s="10"/>
      <c r="C81" s="10"/>
      <c r="D81" s="10"/>
      <c r="E81" s="10"/>
      <c r="F81" s="10"/>
      <c r="G81" s="64"/>
      <c r="H81" s="64"/>
      <c r="I81" s="64"/>
    </row>
    <row r="82" spans="2:9">
      <c r="B82" s="10"/>
      <c r="C82" s="10"/>
      <c r="D82" s="10"/>
      <c r="E82" s="10"/>
      <c r="F82" s="10"/>
      <c r="G82" s="64"/>
      <c r="H82" s="64"/>
      <c r="I82" s="64"/>
    </row>
    <row r="83" spans="2:9">
      <c r="B83" s="10"/>
      <c r="C83" s="10"/>
      <c r="D83" s="10"/>
      <c r="E83" s="10"/>
      <c r="F83" s="10"/>
      <c r="G83" s="64"/>
      <c r="H83" s="64"/>
      <c r="I83" s="64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2FAA-7448-415A-9188-F1A5055635C9}">
  <dimension ref="B2:H39"/>
  <sheetViews>
    <sheetView topLeftCell="E23" zoomScale="70" zoomScaleNormal="70" workbookViewId="0">
      <selection activeCell="F29" sqref="F29"/>
    </sheetView>
  </sheetViews>
  <sheetFormatPr defaultColWidth="11.42578125" defaultRowHeight="15"/>
  <cols>
    <col min="3" max="3" width="74" bestFit="1" customWidth="1"/>
    <col min="4" max="4" width="43.85546875" customWidth="1"/>
    <col min="5" max="7" width="16.28515625" customWidth="1"/>
    <col min="8" max="8" width="44.140625" customWidth="1"/>
    <col min="9" max="9" width="11.42578125" customWidth="1"/>
  </cols>
  <sheetData>
    <row r="2" spans="2:8" ht="15.75" thickBot="1"/>
    <row r="3" spans="2:8" ht="15.75" thickBot="1">
      <c r="H3" s="35" t="s">
        <v>85</v>
      </c>
    </row>
    <row r="4" spans="2:8" ht="17.25" thickBot="1">
      <c r="B4">
        <v>1</v>
      </c>
      <c r="C4" s="33" t="s">
        <v>6</v>
      </c>
      <c r="D4" s="40">
        <v>2026</v>
      </c>
      <c r="H4" s="36">
        <v>2020</v>
      </c>
    </row>
    <row r="5" spans="2:8" ht="17.25" thickBot="1">
      <c r="B5">
        <v>2</v>
      </c>
      <c r="C5" s="33" t="s">
        <v>7</v>
      </c>
      <c r="D5" s="40" t="s">
        <v>86</v>
      </c>
      <c r="H5" s="35" t="s">
        <v>87</v>
      </c>
    </row>
    <row r="6" spans="2:8" ht="17.25" thickBot="1">
      <c r="B6">
        <v>3</v>
      </c>
      <c r="C6" s="33" t="s">
        <v>8</v>
      </c>
      <c r="D6" s="40" t="s">
        <v>88</v>
      </c>
      <c r="H6" s="37" t="s">
        <v>89</v>
      </c>
    </row>
    <row r="7" spans="2:8" ht="17.25" thickBot="1">
      <c r="B7">
        <v>4</v>
      </c>
      <c r="C7" s="33" t="s">
        <v>9</v>
      </c>
      <c r="D7" s="5" t="str">
        <f>+H7</f>
        <v>Nuclear</v>
      </c>
      <c r="H7" s="37" t="s">
        <v>90</v>
      </c>
    </row>
    <row r="8" spans="2:8" ht="17.25" thickBot="1">
      <c r="B8">
        <v>5</v>
      </c>
      <c r="C8" s="33" t="s">
        <v>10</v>
      </c>
      <c r="D8" s="5" t="str">
        <f>+H8</f>
        <v>Ingeniería</v>
      </c>
      <c r="H8" s="37" t="s">
        <v>91</v>
      </c>
    </row>
    <row r="9" spans="2:8" ht="17.25" thickBot="1">
      <c r="B9">
        <v>6</v>
      </c>
      <c r="C9" s="33" t="s">
        <v>11</v>
      </c>
      <c r="D9" s="5" t="str">
        <f>+H9</f>
        <v>Programas de Ingeniería</v>
      </c>
      <c r="H9" s="35" t="s">
        <v>92</v>
      </c>
    </row>
    <row r="10" spans="2:8" ht="14.25" customHeight="1" thickBot="1">
      <c r="B10">
        <v>7</v>
      </c>
      <c r="C10" s="33" t="s">
        <v>93</v>
      </c>
      <c r="D10" s="49" t="str">
        <f>+H10</f>
        <v>Investigación de Operaciones</v>
      </c>
      <c r="H10" s="35" t="s">
        <v>94</v>
      </c>
    </row>
    <row r="11" spans="2:8" ht="17.25" thickBot="1">
      <c r="B11">
        <v>8</v>
      </c>
      <c r="C11" s="33" t="s">
        <v>13</v>
      </c>
      <c r="D11" s="5">
        <v>3</v>
      </c>
      <c r="H11" s="36">
        <v>3</v>
      </c>
    </row>
    <row r="12" spans="2:8" ht="17.25" thickBot="1">
      <c r="B12">
        <v>9</v>
      </c>
      <c r="C12" s="33" t="s">
        <v>14</v>
      </c>
      <c r="D12" s="5">
        <f t="shared" ref="D12:D19" si="0">+H12</f>
        <v>54</v>
      </c>
      <c r="H12" s="36">
        <v>54</v>
      </c>
    </row>
    <row r="13" spans="2:8" ht="17.25" thickBot="1">
      <c r="B13">
        <v>10</v>
      </c>
      <c r="C13" s="33" t="s">
        <v>15</v>
      </c>
      <c r="D13" s="5">
        <f t="shared" si="0"/>
        <v>90</v>
      </c>
      <c r="H13" s="36">
        <v>90</v>
      </c>
    </row>
    <row r="14" spans="2:8" ht="17.25" thickBot="1">
      <c r="B14">
        <v>11</v>
      </c>
      <c r="C14" s="33" t="s">
        <v>16</v>
      </c>
      <c r="D14" s="5">
        <f t="shared" si="0"/>
        <v>144</v>
      </c>
      <c r="H14" s="36">
        <v>144</v>
      </c>
    </row>
    <row r="15" spans="2:8" ht="17.25" thickBot="1">
      <c r="B15">
        <v>12</v>
      </c>
      <c r="C15" s="33" t="s">
        <v>95</v>
      </c>
      <c r="D15" s="5" t="str">
        <f t="shared" si="0"/>
        <v>Presencial</v>
      </c>
      <c r="E15" s="45" t="str">
        <f>IF(D15="Presencial","SI","")</f>
        <v>SI</v>
      </c>
      <c r="F15" s="45" t="str">
        <f>IF(D15="Virtual","SI","")</f>
        <v/>
      </c>
      <c r="H15" s="37" t="s">
        <v>19</v>
      </c>
    </row>
    <row r="16" spans="2:8" ht="17.25" thickBot="1">
      <c r="B16">
        <v>13</v>
      </c>
      <c r="C16" s="33" t="s">
        <v>96</v>
      </c>
      <c r="D16" s="5" t="str">
        <f t="shared" si="0"/>
        <v>Aprendizaje basado en la solución de problemas (George Pólya), que incluye planteamiento y comprensión del problema.</v>
      </c>
      <c r="H16" s="35" t="s">
        <v>97</v>
      </c>
    </row>
    <row r="17" spans="2:8" ht="17.25" thickBot="1">
      <c r="B17">
        <v>14</v>
      </c>
      <c r="C17" s="33" t="s">
        <v>26</v>
      </c>
      <c r="D17" s="5" t="str">
        <f t="shared" si="0"/>
        <v>Fortalecer la toma de decisiones gerenciales mediante herramientas cuantitativas, permitiendo al ingeniero diagnosticar problemas y seleccionar técnicas científicas para dar recomendaciones. +1</v>
      </c>
      <c r="H17" s="35" t="s">
        <v>98</v>
      </c>
    </row>
    <row r="18" spans="2:8" ht="17.25" thickBot="1">
      <c r="B18">
        <v>15</v>
      </c>
      <c r="C18" s="33" t="s">
        <v>27</v>
      </c>
      <c r="D18" s="5" t="str">
        <f t="shared" si="0"/>
        <v>El estudiante puede aplicar conocimientos y herramientas de modelos cuantitativos para el planteamiento de modelos y soluciones algorítmicas o informáticas ante fenómenos empresariales.</v>
      </c>
      <c r="H18" s="35" t="s">
        <v>99</v>
      </c>
    </row>
    <row r="19" spans="2:8" ht="17.25" thickBot="1">
      <c r="B19">
        <v>16</v>
      </c>
      <c r="C19" s="33" t="s">
        <v>100</v>
      </c>
      <c r="D19" s="5" t="str">
        <f t="shared" si="0"/>
        <v>No especificado explícitamente en el documento.</v>
      </c>
      <c r="H19" s="35" t="s">
        <v>101</v>
      </c>
    </row>
    <row r="20" spans="2:8" ht="17.25" thickBot="1">
      <c r="B20">
        <v>17</v>
      </c>
      <c r="C20" s="33" t="s">
        <v>102</v>
      </c>
      <c r="D20" s="5"/>
      <c r="H20" s="35" t="s">
        <v>103</v>
      </c>
    </row>
    <row r="21" spans="2:8" ht="17.25" thickBot="1">
      <c r="B21">
        <v>18</v>
      </c>
      <c r="C21" s="33" t="s">
        <v>104</v>
      </c>
      <c r="D21" s="5" t="str">
        <f>+H21</f>
        <v>Evaluación constante mediante trabajos en grupo (clase y extra-clase), consultas, quices y parciales al finalizar cada corte.</v>
      </c>
      <c r="H21" s="35" t="s">
        <v>105</v>
      </c>
    </row>
    <row r="22" spans="2:8" ht="17.25" thickBot="1">
      <c r="B22">
        <v>19</v>
      </c>
      <c r="C22" s="33" t="s">
        <v>106</v>
      </c>
      <c r="D22" s="5"/>
      <c r="H22" s="35" t="s">
        <v>107</v>
      </c>
    </row>
    <row r="23" spans="2:8" ht="130.5">
      <c r="B23">
        <v>20</v>
      </c>
      <c r="C23" s="53" t="s">
        <v>108</v>
      </c>
      <c r="D23" s="5" t="s">
        <v>109</v>
      </c>
      <c r="E23" s="34" t="str">
        <f>IF(D23="4.5 Semanas",H23,"")</f>
        <v/>
      </c>
      <c r="F23" s="34" t="str">
        <f>IF(D23="9 Semanas",H23,"")</f>
        <v>INTRODUCCIÓN A LA UNIDAD DE ESTUDIOS
PROGRAMACIÓN LINEAL.
MODELO SIMPLEX. 
TEORIA DE LA DUALIDAD Y ANALISIS DE SENSIBILIDAD
MODELOS DE TRANSPORTE Y ASIGNACION
MODELOS DE OPTIMIZACION DE REDES
MODELO DE TRANSBORDO.
MODELO PERT CPM
ANALISIS DE DECISIONES
CADENAS DE MARKOV Y SIMULACIÓN</v>
      </c>
      <c r="G23" s="34" t="str">
        <f>IF(D23="18 Semanas",H23,"")</f>
        <v/>
      </c>
      <c r="H23" s="54" t="s">
        <v>110</v>
      </c>
    </row>
    <row r="24" spans="2:8" ht="17.25" thickBot="1">
      <c r="B24">
        <v>21</v>
      </c>
      <c r="C24" s="33" t="s">
        <v>111</v>
      </c>
      <c r="D24" s="5"/>
      <c r="H24" s="35" t="s">
        <v>112</v>
      </c>
    </row>
    <row r="25" spans="2:8" ht="17.25" thickBot="1">
      <c r="B25">
        <v>22</v>
      </c>
      <c r="C25" s="33" t="s">
        <v>113</v>
      </c>
      <c r="D25" s="5" t="str">
        <f t="shared" ref="D25:D34" si="1">+H25</f>
        <v>No se detallan porcentajes por corte, solo se menciona la evaluación constante por actividades. +1</v>
      </c>
      <c r="H25" s="35" t="s">
        <v>114</v>
      </c>
    </row>
    <row r="26" spans="2:8" ht="17.25" thickBot="1">
      <c r="B26">
        <v>23</v>
      </c>
      <c r="C26" s="33" t="s">
        <v>52</v>
      </c>
      <c r="D26" s="5" t="str">
        <f t="shared" si="1"/>
        <v>Laboratorios con Excel (SOLVER), Aulas Virtuales y Clickers.</v>
      </c>
      <c r="H26" s="35" t="s">
        <v>115</v>
      </c>
    </row>
    <row r="27" spans="2:8" ht="17.25" thickBot="1">
      <c r="B27">
        <v>24</v>
      </c>
      <c r="C27" s="33" t="s">
        <v>116</v>
      </c>
      <c r="D27" s="5" t="str">
        <f t="shared" si="1"/>
        <v>Inglés.</v>
      </c>
      <c r="H27" s="37" t="s">
        <v>117</v>
      </c>
    </row>
    <row r="28" spans="2:8" ht="17.25" thickBot="1">
      <c r="B28">
        <v>25</v>
      </c>
      <c r="C28" s="33" t="s">
        <v>54</v>
      </c>
      <c r="D28" s="42">
        <f t="shared" si="1"/>
        <v>0.2</v>
      </c>
      <c r="H28" s="38">
        <v>0.2</v>
      </c>
    </row>
    <row r="29" spans="2:8" ht="163.5" customHeight="1">
      <c r="B29">
        <v>26</v>
      </c>
      <c r="C29" s="33" t="s">
        <v>56</v>
      </c>
      <c r="D29" s="46" t="str">
        <f>+H29</f>
        <v xml:space="preserve">
El texto guía:
- Hillier, F., &amp; Lieberman, G. (2010). Introducción a la investigación de operaciones. México: McGraw-Hill.
¨'-Schroeder, R. G., Goldstein, S. M., &amp; Rungtusanatham, M. J. (2011). Administración de operaciones: Conceptos y casos contemporáneos. México, DF [etc.]: McGraw-Hill.
-Taha, H. A., &amp; Navarro Salas, R. (2012). Investigación de operaciones. México D.F. : Pearson, 2012.
-Muñoz Castorena, R. V., Ochoa Hernández, M. B., &amp; Morales García, M. (2011). Investigación de operaciones. México, DF: McGraw-Hill.
-Albright, C., Winston, W. L., Zappe, C. J., &amp; Broadie, M. (2011). Data analysis and decision making / Christian Albright, Wayne L. Winston, Christopher J. Zappe; with cases by Mark Broadie … [et al.]. Mason,  
OH: South-Western/Cengage Learning.
Sánchez Acevedo, L. (2007). Modelos cuantitativos lineales: con escenarios en Excel . Bogotá: Universidad EAN.
 </v>
      </c>
      <c r="E29" s="47" t="str">
        <f>CONCATENATE("Bibliografía Obligatoria",": ",D29)</f>
        <v xml:space="preserve">Bibliografía Obligatoria: 
El texto guía:
- Hillier, F., &amp; Lieberman, G. (2010). Introducción a la investigación de operaciones. México: McGraw-Hill.
¨'-Schroeder, R. G., Goldstein, S. M., &amp; Rungtusanatham, M. J. (2011). Administración de operaciones: Conceptos y casos contemporáneos. México, DF [etc.]: McGraw-Hill.
-Taha, H. A., &amp; Navarro Salas, R. (2012). Investigación de operaciones. México D.F. : Pearson, 2012.
-Muñoz Castorena, R. V., Ochoa Hernández, M. B., &amp; Morales García, M. (2011). Investigación de operaciones. México, DF: McGraw-Hill.
-Albright, C., Winston, W. L., Zappe, C. J., &amp; Broadie, M. (2011). Data analysis and decision making / Christian Albright, Wayne L. Winston, Christopher J. Zappe; with cases by Mark Broadie … [et al.]. Mason,  
OH: South-Western/Cengage Learning.
Sánchez Acevedo, L. (2007). Modelos cuantitativos lineales: con escenarios en Excel . Bogotá: Universidad EAN.
 </v>
      </c>
      <c r="H29" s="54" t="s">
        <v>118</v>
      </c>
    </row>
    <row r="30" spans="2:8" ht="82.5" customHeight="1">
      <c r="B30">
        <v>27</v>
      </c>
      <c r="C30" s="33" t="s">
        <v>57</v>
      </c>
      <c r="D30" s="46" t="str">
        <f>+H30</f>
        <v xml:space="preserve">
1.Taha, H. A. (2012). Investigación de operaciones [Recurso electrónico] / Hamdy A. Taha. México: Pearson.
2.http://web.udl.es/usuaris/p4088280/teaching/grafos_modelos.pdf
3.http://www.ecoloxistesasturies.org/Temas/Transporte/Trans_modelo.htm</v>
      </c>
      <c r="E30" s="47" t="str">
        <f>CONCATENATE("Bibliografía Complementaria",": ",D30)</f>
        <v>Bibliografía Complementaria: 
1.Taha, H. A. (2012). Investigación de operaciones [Recurso electrónico] / Hamdy A. Taha. México: Pearson.
2.http://web.udl.es/usuaris/p4088280/teaching/grafos_modelos.pdf
3.http://www.ecoloxistesasturies.org/Temas/Transporte/Trans_modelo.htm</v>
      </c>
      <c r="H30" s="54" t="s">
        <v>119</v>
      </c>
    </row>
    <row r="31" spans="2:8" ht="17.25" thickBot="1">
      <c r="B31">
        <v>28</v>
      </c>
      <c r="C31" s="33" t="s">
        <v>120</v>
      </c>
      <c r="D31" s="5">
        <f t="shared" si="1"/>
        <v>2</v>
      </c>
      <c r="H31" s="36">
        <v>2</v>
      </c>
    </row>
    <row r="32" spans="2:8" ht="16.5">
      <c r="B32">
        <v>29</v>
      </c>
      <c r="C32" s="33" t="s">
        <v>60</v>
      </c>
      <c r="D32" s="44">
        <f t="shared" si="1"/>
        <v>46072</v>
      </c>
      <c r="H32" s="39">
        <v>46072</v>
      </c>
    </row>
    <row r="33" spans="2:8" ht="17.25" thickBot="1">
      <c r="B33">
        <v>30</v>
      </c>
      <c r="C33" s="33" t="s">
        <v>121</v>
      </c>
      <c r="D33" s="5" t="str">
        <f t="shared" si="1"/>
        <v>Rubén Acosta</v>
      </c>
      <c r="H33" s="37" t="s">
        <v>122</v>
      </c>
    </row>
    <row r="34" spans="2:8" ht="16.5">
      <c r="B34">
        <v>31</v>
      </c>
      <c r="C34" s="33" t="s">
        <v>62</v>
      </c>
      <c r="D34" s="5" t="str">
        <f t="shared" si="1"/>
        <v>Mauricio Bolívar</v>
      </c>
      <c r="H34" s="37" t="s">
        <v>123</v>
      </c>
    </row>
    <row r="35" spans="2:8" ht="17.25" thickBot="1">
      <c r="B35">
        <v>32</v>
      </c>
      <c r="C35" s="33" t="s">
        <v>63</v>
      </c>
      <c r="D35" s="34" t="s">
        <v>124</v>
      </c>
      <c r="H35" s="37" t="s">
        <v>125</v>
      </c>
    </row>
    <row r="36" spans="2:8" ht="17.25" thickBot="1">
      <c r="B36">
        <v>33</v>
      </c>
      <c r="C36" s="33" t="s">
        <v>64</v>
      </c>
      <c r="D36" s="5" t="str">
        <f>+H36</f>
        <v>Actualización de formato de syllabus</v>
      </c>
      <c r="H36" s="35" t="s">
        <v>126</v>
      </c>
    </row>
    <row r="37" spans="2:8" ht="15.75" thickBot="1">
      <c r="H37" s="37"/>
    </row>
    <row r="38" spans="2:8" ht="15.75" thickBot="1">
      <c r="H38" s="37"/>
    </row>
    <row r="39" spans="2:8" ht="15.75" thickBot="1">
      <c r="H39" s="3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2F58610-8BE9-400B-B5E3-930E48F074A0}">
          <x14:formula1>
            <xm:f>'Formato Syllabus_NV (2)'!$B$19:$I$19</xm:f>
          </x14:formula1>
          <xm:sqref>D23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2" zoomScaleNormal="100" workbookViewId="0">
      <selection activeCell="D13" sqref="D13:I13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4" style="11" customWidth="1"/>
    <col min="4" max="4" width="12.28515625" style="11" customWidth="1"/>
    <col min="5" max="5" width="10.140625" style="11" customWidth="1"/>
    <col min="6" max="6" width="10.85546875" style="11"/>
    <col min="7" max="7" width="12.2851562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66"/>
      <c r="C2" s="68" t="s">
        <v>0</v>
      </c>
      <c r="D2" s="68"/>
      <c r="E2" s="68"/>
      <c r="F2" s="68"/>
      <c r="G2" s="68"/>
      <c r="H2" s="68"/>
      <c r="I2" s="6" t="s">
        <v>127</v>
      </c>
    </row>
    <row r="3" spans="2:9" ht="20.25" customHeight="1">
      <c r="B3" s="67"/>
      <c r="C3" s="69"/>
      <c r="D3" s="69"/>
      <c r="E3" s="69"/>
      <c r="F3" s="69"/>
      <c r="G3" s="69"/>
      <c r="H3" s="69"/>
      <c r="I3" s="7" t="s">
        <v>2</v>
      </c>
    </row>
    <row r="4" spans="2:9" ht="21" customHeight="1" thickBot="1">
      <c r="B4" s="70" t="s">
        <v>3</v>
      </c>
      <c r="C4" s="71"/>
      <c r="D4" s="71"/>
      <c r="E4" s="71"/>
      <c r="F4" s="71"/>
      <c r="G4" s="71"/>
      <c r="H4" s="71"/>
      <c r="I4" s="8" t="s">
        <v>128</v>
      </c>
    </row>
    <row r="5" spans="2:9" ht="16.5" thickTop="1" thickBot="1">
      <c r="B5" s="95"/>
      <c r="C5" s="95"/>
      <c r="D5" s="95"/>
      <c r="E5" s="95"/>
      <c r="F5" s="95"/>
      <c r="G5" s="95"/>
      <c r="H5" s="95"/>
      <c r="I5" s="95"/>
    </row>
    <row r="6" spans="2:9">
      <c r="B6" s="96" t="s">
        <v>5</v>
      </c>
      <c r="C6" s="97"/>
      <c r="D6" s="97"/>
      <c r="E6" s="97"/>
      <c r="F6" s="97"/>
      <c r="G6" s="97"/>
      <c r="H6" s="97"/>
      <c r="I6" s="98"/>
    </row>
    <row r="7" spans="2:9" ht="60">
      <c r="B7" s="26" t="s">
        <v>6</v>
      </c>
      <c r="C7" s="1">
        <f>+Hoja1!D4</f>
        <v>2026</v>
      </c>
      <c r="D7" s="2" t="s">
        <v>7</v>
      </c>
      <c r="E7" s="48" t="str">
        <f>+Hoja1!D5</f>
        <v>PFPINIBOG001</v>
      </c>
      <c r="F7" s="2" t="s">
        <v>8</v>
      </c>
      <c r="G7" s="41" t="str">
        <f>+Hoja1!D6</f>
        <v>IFPN0035</v>
      </c>
      <c r="H7" s="2" t="s">
        <v>9</v>
      </c>
      <c r="I7" s="27" t="str">
        <f>+Hoja1!D7</f>
        <v>Nuclear</v>
      </c>
    </row>
    <row r="8" spans="2:9" ht="30">
      <c r="B8" s="26" t="s">
        <v>129</v>
      </c>
      <c r="C8" s="3" t="s">
        <v>19</v>
      </c>
      <c r="D8" s="2" t="str">
        <f>+Hoja1!E15</f>
        <v>SI</v>
      </c>
      <c r="E8" s="3" t="s">
        <v>20</v>
      </c>
      <c r="F8" s="2" t="str">
        <f>+Hoja1!F15</f>
        <v/>
      </c>
      <c r="G8" s="2" t="s">
        <v>130</v>
      </c>
      <c r="H8" s="93"/>
      <c r="I8" s="94"/>
    </row>
    <row r="9" spans="2:9" ht="45">
      <c r="B9" s="28" t="s">
        <v>131</v>
      </c>
      <c r="C9" s="25" t="s">
        <v>132</v>
      </c>
      <c r="D9" s="3" t="s">
        <v>65</v>
      </c>
      <c r="E9" s="91" t="str">
        <f>+Hoja1!D9</f>
        <v>Programas de Ingeniería</v>
      </c>
      <c r="F9" s="91"/>
      <c r="G9" s="2" t="s">
        <v>12</v>
      </c>
      <c r="H9" s="58" t="str">
        <f>+Hoja1!D10</f>
        <v>Investigación de Operaciones</v>
      </c>
      <c r="I9" s="92"/>
    </row>
    <row r="10" spans="2:9" ht="30.75" thickBot="1">
      <c r="B10" s="29" t="s">
        <v>13</v>
      </c>
      <c r="C10" s="31">
        <f>+Hoja1!D11</f>
        <v>3</v>
      </c>
      <c r="D10" s="30" t="s">
        <v>14</v>
      </c>
      <c r="E10" s="31">
        <f>+Hoja1!D12</f>
        <v>54</v>
      </c>
      <c r="F10" s="30" t="s">
        <v>15</v>
      </c>
      <c r="G10" s="31">
        <f>+Hoja1!D13</f>
        <v>90</v>
      </c>
      <c r="H10" s="30" t="s">
        <v>16</v>
      </c>
      <c r="I10" s="32">
        <f>E10+G10</f>
        <v>144</v>
      </c>
    </row>
    <row r="11" spans="2:9">
      <c r="B11" s="99" t="s">
        <v>133</v>
      </c>
      <c r="C11" s="100"/>
      <c r="D11" s="100"/>
      <c r="E11" s="100"/>
      <c r="F11" s="100"/>
      <c r="G11" s="100"/>
      <c r="H11" s="100"/>
      <c r="I11" s="101"/>
    </row>
    <row r="12" spans="2:9" ht="37.5" customHeight="1">
      <c r="B12" s="143" t="s">
        <v>134</v>
      </c>
      <c r="C12" s="61"/>
      <c r="D12" s="140" t="str">
        <f>+Hoja1!D17</f>
        <v>Fortalecer la toma de decisiones gerenciales mediante herramientas cuantitativas, permitiendo al ingeniero diagnosticar problemas y seleccionar técnicas científicas para dar recomendaciones. +1</v>
      </c>
      <c r="E12" s="141"/>
      <c r="F12" s="141"/>
      <c r="G12" s="141"/>
      <c r="H12" s="141"/>
      <c r="I12" s="142"/>
    </row>
    <row r="13" spans="2:9" ht="39.75" customHeight="1">
      <c r="B13" s="138" t="s">
        <v>135</v>
      </c>
      <c r="C13" s="139"/>
      <c r="D13" s="140" t="s">
        <v>136</v>
      </c>
      <c r="E13" s="141"/>
      <c r="F13" s="141"/>
      <c r="G13" s="141"/>
      <c r="H13" s="141"/>
      <c r="I13" s="142"/>
    </row>
    <row r="14" spans="2:9">
      <c r="B14" s="99" t="s">
        <v>137</v>
      </c>
      <c r="C14" s="100"/>
      <c r="D14" s="100"/>
      <c r="E14" s="100"/>
      <c r="F14" s="100"/>
      <c r="G14" s="100"/>
      <c r="H14" s="100"/>
      <c r="I14" s="101"/>
    </row>
    <row r="15" spans="2:9">
      <c r="B15" s="102" t="s">
        <v>138</v>
      </c>
      <c r="C15" s="64"/>
      <c r="D15" s="64"/>
      <c r="E15" s="64"/>
      <c r="F15" s="64"/>
      <c r="G15" s="64"/>
      <c r="H15" s="64"/>
      <c r="I15" s="103"/>
    </row>
    <row r="16" spans="2:9">
      <c r="B16" s="102"/>
      <c r="C16" s="64"/>
      <c r="D16" s="64"/>
      <c r="E16" s="64"/>
      <c r="F16" s="64"/>
      <c r="G16" s="64"/>
      <c r="H16" s="64"/>
      <c r="I16" s="103"/>
    </row>
    <row r="17" spans="2:9" ht="15.75" thickBot="1">
      <c r="B17" s="104"/>
      <c r="C17" s="105"/>
      <c r="D17" s="105"/>
      <c r="E17" s="105"/>
      <c r="F17" s="105"/>
      <c r="G17" s="105"/>
      <c r="H17" s="105"/>
      <c r="I17" s="106"/>
    </row>
    <row r="18" spans="2:9" ht="15.75" thickBot="1">
      <c r="B18" s="122" t="s">
        <v>139</v>
      </c>
      <c r="C18" s="123"/>
      <c r="D18" s="123"/>
      <c r="E18" s="123"/>
      <c r="F18" s="123"/>
      <c r="G18" s="123"/>
      <c r="H18" s="123"/>
      <c r="I18" s="124"/>
    </row>
    <row r="19" spans="2:9">
      <c r="B19" s="17" t="s">
        <v>140</v>
      </c>
      <c r="C19" s="18" t="s">
        <v>141</v>
      </c>
      <c r="D19" s="17" t="s">
        <v>142</v>
      </c>
      <c r="E19" s="127" t="s">
        <v>109</v>
      </c>
      <c r="F19" s="128"/>
      <c r="G19" s="19" t="s">
        <v>143</v>
      </c>
      <c r="H19" s="125" t="s">
        <v>144</v>
      </c>
      <c r="I19" s="126"/>
    </row>
    <row r="20" spans="2:9">
      <c r="B20" s="116" t="str">
        <f>+Hoja1!E23</f>
        <v/>
      </c>
      <c r="C20" s="117"/>
      <c r="D20" s="107" t="str">
        <f>+Hoja1!F23</f>
        <v>INTRODUCCIÓN A LA UNIDAD DE ESTUDIOS
PROGRAMACIÓN LINEAL.
MODELO SIMPLEX. 
TEORIA DE LA DUALIDAD Y ANALISIS DE SENSIBILIDAD
MODELOS DE TRANSPORTE Y ASIGNACION
MODELOS DE OPTIMIZACION DE REDES
MODELO DE TRANSBORDO.
MODELO PERT CPM
ANALISIS DE DECISIONES
CADENAS DE MARKOV Y SIMULACIÓN</v>
      </c>
      <c r="E20" s="108"/>
      <c r="F20" s="109"/>
      <c r="G20" s="129" t="str">
        <f>+Hoja1!G23</f>
        <v/>
      </c>
      <c r="H20" s="130"/>
      <c r="I20" s="131"/>
    </row>
    <row r="21" spans="2:9">
      <c r="B21" s="118"/>
      <c r="C21" s="119"/>
      <c r="D21" s="110"/>
      <c r="E21" s="111"/>
      <c r="F21" s="112"/>
      <c r="G21" s="132"/>
      <c r="H21" s="133"/>
      <c r="I21" s="134"/>
    </row>
    <row r="22" spans="2:9">
      <c r="B22" s="118"/>
      <c r="C22" s="119"/>
      <c r="D22" s="110"/>
      <c r="E22" s="111"/>
      <c r="F22" s="112"/>
      <c r="G22" s="132"/>
      <c r="H22" s="133"/>
      <c r="I22" s="134"/>
    </row>
    <row r="23" spans="2:9">
      <c r="B23" s="118"/>
      <c r="C23" s="119"/>
      <c r="D23" s="110"/>
      <c r="E23" s="111"/>
      <c r="F23" s="112"/>
      <c r="G23" s="132"/>
      <c r="H23" s="133"/>
      <c r="I23" s="134"/>
    </row>
    <row r="24" spans="2:9">
      <c r="B24" s="118"/>
      <c r="C24" s="119"/>
      <c r="D24" s="110"/>
      <c r="E24" s="111"/>
      <c r="F24" s="112"/>
      <c r="G24" s="132"/>
      <c r="H24" s="133"/>
      <c r="I24" s="134"/>
    </row>
    <row r="25" spans="2:9">
      <c r="B25" s="118"/>
      <c r="C25" s="119"/>
      <c r="D25" s="110"/>
      <c r="E25" s="111"/>
      <c r="F25" s="112"/>
      <c r="G25" s="132"/>
      <c r="H25" s="133"/>
      <c r="I25" s="134"/>
    </row>
    <row r="26" spans="2:9" ht="40.5" customHeight="1" thickBot="1">
      <c r="B26" s="120"/>
      <c r="C26" s="121"/>
      <c r="D26" s="113"/>
      <c r="E26" s="114"/>
      <c r="F26" s="115"/>
      <c r="G26" s="135"/>
      <c r="H26" s="136"/>
      <c r="I26" s="137"/>
    </row>
    <row r="27" spans="2:9" ht="15.75" thickBot="1">
      <c r="B27" s="147" t="s">
        <v>145</v>
      </c>
      <c r="C27" s="148"/>
      <c r="D27" s="148"/>
      <c r="E27" s="148"/>
      <c r="F27" s="148"/>
      <c r="G27" s="148"/>
      <c r="H27" s="148"/>
      <c r="I27" s="149"/>
    </row>
    <row r="28" spans="2:9" ht="14.45" customHeight="1">
      <c r="B28" s="159" t="str">
        <f>+Hoja1!D25</f>
        <v>No se detallan porcentajes por corte, solo se menciona la evaluación constante por actividades. +1</v>
      </c>
      <c r="C28" s="160"/>
      <c r="D28" s="160"/>
      <c r="E28" s="160"/>
      <c r="F28" s="160"/>
      <c r="G28" s="160"/>
      <c r="H28" s="160"/>
      <c r="I28" s="161"/>
    </row>
    <row r="29" spans="2:9">
      <c r="B29" s="162"/>
      <c r="C29" s="163"/>
      <c r="D29" s="163"/>
      <c r="E29" s="163"/>
      <c r="F29" s="163"/>
      <c r="G29" s="163"/>
      <c r="H29" s="163"/>
      <c r="I29" s="164"/>
    </row>
    <row r="30" spans="2:9">
      <c r="B30" s="162"/>
      <c r="C30" s="163"/>
      <c r="D30" s="163"/>
      <c r="E30" s="163"/>
      <c r="F30" s="163"/>
      <c r="G30" s="163"/>
      <c r="H30" s="163"/>
      <c r="I30" s="164"/>
    </row>
    <row r="31" spans="2:9">
      <c r="B31" s="162"/>
      <c r="C31" s="163"/>
      <c r="D31" s="163"/>
      <c r="E31" s="163"/>
      <c r="F31" s="163"/>
      <c r="G31" s="163"/>
      <c r="H31" s="163"/>
      <c r="I31" s="164"/>
    </row>
    <row r="32" spans="2:9" ht="15.75" thickBot="1">
      <c r="B32" s="165"/>
      <c r="C32" s="166"/>
      <c r="D32" s="166"/>
      <c r="E32" s="166"/>
      <c r="F32" s="166"/>
      <c r="G32" s="166"/>
      <c r="H32" s="166"/>
      <c r="I32" s="167"/>
    </row>
    <row r="33" spans="2:9" ht="34.5" customHeight="1" thickBot="1">
      <c r="B33" s="153" t="s">
        <v>146</v>
      </c>
      <c r="C33" s="154"/>
      <c r="D33" s="154"/>
      <c r="E33" s="155"/>
      <c r="F33" s="156" t="str">
        <f>+Hoja1!D26</f>
        <v>Laboratorios con Excel (SOLVER), Aulas Virtuales y Clickers.</v>
      </c>
      <c r="G33" s="157"/>
      <c r="H33" s="157"/>
      <c r="I33" s="158"/>
    </row>
    <row r="34" spans="2:9" ht="15.75" thickBot="1">
      <c r="B34" s="150" t="s">
        <v>147</v>
      </c>
      <c r="C34" s="151"/>
      <c r="D34" s="151"/>
      <c r="E34" s="151"/>
      <c r="F34" s="152" t="s">
        <v>84</v>
      </c>
      <c r="G34" s="152"/>
      <c r="H34" s="20" t="s">
        <v>54</v>
      </c>
      <c r="I34" s="43">
        <f>+Hoja1!D28</f>
        <v>0.2</v>
      </c>
    </row>
    <row r="35" spans="2:9">
      <c r="B35" s="99" t="s">
        <v>148</v>
      </c>
      <c r="C35" s="100"/>
      <c r="D35" s="100"/>
      <c r="E35" s="100"/>
      <c r="F35" s="100"/>
      <c r="G35" s="100"/>
      <c r="H35" s="100"/>
      <c r="I35" s="101"/>
    </row>
    <row r="36" spans="2:9" ht="14.45" customHeight="1">
      <c r="B36" s="168" t="str">
        <f>+Hoja1!E29</f>
        <v xml:space="preserve">Bibliografía Obligatoria: 
El texto guía:
- Hillier, F., &amp; Lieberman, G. (2010). Introducción a la investigación de operaciones. México: McGraw-Hill.
¨'-Schroeder, R. G., Goldstein, S. M., &amp; Rungtusanatham, M. J. (2011). Administración de operaciones: Conceptos y casos contemporáneos. México, DF [etc.]: McGraw-Hill.
-Taha, H. A., &amp; Navarro Salas, R. (2012). Investigación de operaciones. México D.F. : Pearson, 2012.
-Muñoz Castorena, R. V., Ochoa Hernández, M. B., &amp; Morales García, M. (2011). Investigación de operaciones. México, DF: McGraw-Hill.
-Albright, C., Winston, W. L., Zappe, C. J., &amp; Broadie, M. (2011). Data analysis and decision making / Christian Albright, Wayne L. Winston, Christopher J. Zappe; with cases by Mark Broadie … [et al.]. Mason,  
OH: South-Western/Cengage Learning.
Sánchez Acevedo, L. (2007). Modelos cuantitativos lineales: con escenarios en Excel . Bogotá: Universidad EAN.
 </v>
      </c>
      <c r="C36" s="169"/>
      <c r="D36" s="169"/>
      <c r="E36" s="170"/>
      <c r="F36" s="177" t="str">
        <f>+Hoja1!E30</f>
        <v>Bibliografía Complementaria: 
1.Taha, H. A. (2012). Investigación de operaciones [Recurso electrónico] / Hamdy A. Taha. México: Pearson.
2.http://web.udl.es/usuaris/p4088280/teaching/grafos_modelos.pdf
3.http://www.ecoloxistesasturies.org/Temas/Transporte/Trans_modelo.htm</v>
      </c>
      <c r="G36" s="169"/>
      <c r="H36" s="169"/>
      <c r="I36" s="178"/>
    </row>
    <row r="37" spans="2:9">
      <c r="B37" s="171"/>
      <c r="C37" s="172"/>
      <c r="D37" s="172"/>
      <c r="E37" s="173"/>
      <c r="F37" s="179"/>
      <c r="G37" s="172"/>
      <c r="H37" s="172"/>
      <c r="I37" s="180"/>
    </row>
    <row r="38" spans="2:9">
      <c r="B38" s="171"/>
      <c r="C38" s="172"/>
      <c r="D38" s="172"/>
      <c r="E38" s="173"/>
      <c r="F38" s="179"/>
      <c r="G38" s="172"/>
      <c r="H38" s="172"/>
      <c r="I38" s="180"/>
    </row>
    <row r="39" spans="2:9">
      <c r="B39" s="171"/>
      <c r="C39" s="172"/>
      <c r="D39" s="172"/>
      <c r="E39" s="173"/>
      <c r="F39" s="179"/>
      <c r="G39" s="172"/>
      <c r="H39" s="172"/>
      <c r="I39" s="180"/>
    </row>
    <row r="40" spans="2:9">
      <c r="B40" s="171"/>
      <c r="C40" s="172"/>
      <c r="D40" s="172"/>
      <c r="E40" s="173"/>
      <c r="F40" s="179"/>
      <c r="G40" s="172"/>
      <c r="H40" s="172"/>
      <c r="I40" s="180"/>
    </row>
    <row r="41" spans="2:9">
      <c r="B41" s="171"/>
      <c r="C41" s="172"/>
      <c r="D41" s="172"/>
      <c r="E41" s="173"/>
      <c r="F41" s="179"/>
      <c r="G41" s="172"/>
      <c r="H41" s="172"/>
      <c r="I41" s="180"/>
    </row>
    <row r="42" spans="2:9" ht="15.75" thickBot="1">
      <c r="B42" s="174"/>
      <c r="C42" s="175"/>
      <c r="D42" s="175"/>
      <c r="E42" s="176"/>
      <c r="F42" s="181"/>
      <c r="G42" s="175"/>
      <c r="H42" s="175"/>
      <c r="I42" s="182"/>
    </row>
    <row r="43" spans="2:9">
      <c r="B43" s="99" t="s">
        <v>149</v>
      </c>
      <c r="C43" s="100"/>
      <c r="D43" s="100"/>
      <c r="E43" s="100"/>
      <c r="F43" s="100"/>
      <c r="G43" s="100"/>
      <c r="H43" s="100"/>
      <c r="I43" s="101"/>
    </row>
    <row r="44" spans="2:9">
      <c r="B44" s="21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59" t="s">
        <v>64</v>
      </c>
      <c r="H44" s="59"/>
      <c r="I44" s="144"/>
    </row>
    <row r="45" spans="2:9" ht="24.75">
      <c r="B45" s="50">
        <v>2</v>
      </c>
      <c r="C45" s="51">
        <f>+Hoja1!D32</f>
        <v>46072</v>
      </c>
      <c r="D45" s="52" t="str">
        <f>+Hoja1!D33</f>
        <v>Rubén Acosta</v>
      </c>
      <c r="E45" s="52" t="str">
        <f>+Hoja1!D34</f>
        <v>Mauricio Bolívar</v>
      </c>
      <c r="F45" s="52" t="str">
        <f>+Hoja1!D35</f>
        <v>Jose Divitt Velosa</v>
      </c>
      <c r="G45" s="145" t="str">
        <f>+Hoja1!D36</f>
        <v>Actualización de formato de syllabus</v>
      </c>
      <c r="H45" s="145"/>
      <c r="I45" s="146"/>
    </row>
    <row r="46" spans="2:9">
      <c r="B46" s="22"/>
      <c r="C46" s="10"/>
      <c r="D46" s="10"/>
      <c r="E46" s="10"/>
      <c r="F46" s="10"/>
      <c r="G46" s="64"/>
      <c r="H46" s="64"/>
      <c r="I46" s="103"/>
    </row>
    <row r="47" spans="2:9">
      <c r="B47" s="22"/>
      <c r="C47" s="10"/>
      <c r="D47" s="10"/>
      <c r="E47" s="10"/>
      <c r="F47" s="10"/>
      <c r="G47" s="64"/>
      <c r="H47" s="64"/>
      <c r="I47" s="103"/>
    </row>
    <row r="48" spans="2:9">
      <c r="B48" s="22"/>
      <c r="C48" s="10"/>
      <c r="D48" s="10"/>
      <c r="E48" s="10"/>
      <c r="F48" s="10"/>
      <c r="G48" s="64"/>
      <c r="H48" s="64"/>
      <c r="I48" s="103"/>
    </row>
    <row r="49" spans="2:9">
      <c r="B49" s="22"/>
      <c r="C49" s="10"/>
      <c r="D49" s="10"/>
      <c r="E49" s="10"/>
      <c r="F49" s="10"/>
      <c r="G49" s="64"/>
      <c r="H49" s="64"/>
      <c r="I49" s="103"/>
    </row>
    <row r="50" spans="2:9" ht="15.75" thickBot="1">
      <c r="B50" s="23"/>
      <c r="C50" s="24"/>
      <c r="D50" s="24"/>
      <c r="E50" s="24"/>
      <c r="F50" s="24"/>
      <c r="G50" s="183"/>
      <c r="H50" s="183"/>
      <c r="I50" s="184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90</v>
      </c>
      <c r="B1" s="11" t="s">
        <v>150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151</v>
      </c>
    </row>
    <row r="2" spans="1:8">
      <c r="A2" s="11" t="s">
        <v>152</v>
      </c>
      <c r="B2" s="11" t="s">
        <v>153</v>
      </c>
      <c r="C2" s="11">
        <v>3</v>
      </c>
      <c r="D2" s="11">
        <v>54</v>
      </c>
      <c r="E2" s="11">
        <v>90</v>
      </c>
      <c r="F2" s="11" t="s">
        <v>154</v>
      </c>
      <c r="G2" s="13">
        <v>0.2</v>
      </c>
      <c r="H2" s="11" t="s">
        <v>132</v>
      </c>
    </row>
    <row r="3" spans="1:8">
      <c r="A3" s="11" t="s">
        <v>155</v>
      </c>
      <c r="B3" s="11" t="s">
        <v>156</v>
      </c>
      <c r="C3" s="11">
        <v>4</v>
      </c>
      <c r="D3" s="11">
        <v>72</v>
      </c>
      <c r="E3" s="11">
        <v>120</v>
      </c>
      <c r="F3" s="11" t="s">
        <v>157</v>
      </c>
      <c r="G3" s="13">
        <v>0.3</v>
      </c>
    </row>
    <row r="4" spans="1:8">
      <c r="A4" s="11" t="s">
        <v>158</v>
      </c>
      <c r="B4" s="11" t="s">
        <v>159</v>
      </c>
      <c r="C4" s="11">
        <v>5</v>
      </c>
      <c r="D4" s="11">
        <v>90</v>
      </c>
      <c r="E4" s="11">
        <v>102</v>
      </c>
      <c r="F4" s="11" t="s">
        <v>160</v>
      </c>
      <c r="G4" s="13">
        <v>0.4</v>
      </c>
    </row>
    <row r="5" spans="1:8">
      <c r="A5" s="11" t="s">
        <v>161</v>
      </c>
      <c r="B5" s="11" t="s">
        <v>162</v>
      </c>
      <c r="C5" s="11">
        <v>6</v>
      </c>
      <c r="D5" s="11">
        <v>90</v>
      </c>
      <c r="E5" s="11">
        <v>150</v>
      </c>
      <c r="F5" s="11" t="s">
        <v>163</v>
      </c>
      <c r="G5" s="13">
        <v>0.5</v>
      </c>
    </row>
    <row r="6" spans="1:8">
      <c r="B6" s="11" t="s">
        <v>164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165</v>
      </c>
      <c r="D7" s="11">
        <v>144</v>
      </c>
      <c r="E7" s="11">
        <v>240</v>
      </c>
      <c r="G7" s="13">
        <v>0.7</v>
      </c>
    </row>
    <row r="8" spans="1:8">
      <c r="B8" s="11" t="s">
        <v>166</v>
      </c>
      <c r="D8" s="11">
        <v>32</v>
      </c>
      <c r="E8" s="11">
        <v>64</v>
      </c>
      <c r="G8" s="13">
        <v>0.8</v>
      </c>
    </row>
    <row r="9" spans="1:8">
      <c r="B9" s="11" t="s">
        <v>167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EDWARD DIVITT VELOSA GARCIA</cp:lastModifiedBy>
  <cp:revision/>
  <dcterms:created xsi:type="dcterms:W3CDTF">2025-08-27T15:39:23Z</dcterms:created>
  <dcterms:modified xsi:type="dcterms:W3CDTF">2026-02-21T16:18:05Z</dcterms:modified>
  <cp:category/>
  <cp:contentStatus/>
</cp:coreProperties>
</file>