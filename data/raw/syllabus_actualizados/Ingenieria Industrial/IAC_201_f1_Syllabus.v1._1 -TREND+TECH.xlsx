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3" documentId="13_ncr:1_{B3BAF712-EB34-4151-929F-DC8517D50B6D}" xr6:coauthVersionLast="47" xr6:coauthVersionMax="47" xr10:uidLastSave="{C3AECC42-7512-4025-811D-139151B294F4}"/>
  <bookViews>
    <workbookView xWindow="-120" yWindow="-120" windowWidth="20730" windowHeight="11040" firstSheet="2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D30" i="5" l="1"/>
  <c r="E30" i="5" s="1"/>
  <c r="F36" i="4" s="1"/>
  <c r="D29" i="5"/>
  <c r="E29" i="5" s="1"/>
  <c r="B36" i="4" s="1"/>
  <c r="D36" i="5"/>
  <c r="G45" i="4" s="1"/>
  <c r="F45" i="4"/>
  <c r="B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<sst xmlns="http://schemas.openxmlformats.org/spreadsheetml/2006/main" count="266" uniqueCount="165">
  <si>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</si>
  <si>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</si>
  <si>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</si>
  <si>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</si>
  <si>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</si>
  <si>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</si>
  <si>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</si>
  <si>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</si>
  <si>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</si>
  <si>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</si>
  <si>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</si>
  <si>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</si>
  <si>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</si>
  <si>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</si>
  <si>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</si>
  <si>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</si>
  <si>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</si>
  <si>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</si>
  <si>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</si>
  <si>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</si>
  <si>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</si>
  <si>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</si>
  <si>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</si>
  <si>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</si>
  <si>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</si>
  <si>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</si>
  <si>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</si>
  <si>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</si>
  <si>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</si>
  <si>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</si>
  <si>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</si>
  <si>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</si>
  <si>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</si>
  <si>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</si>
  <si>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</si>
  <si>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</si>
  <si>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</si>
  <si>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</si>
  <si>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</si>
  <si>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</si>
  <si>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</si>
  <si>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</si>
  <si>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</si>
  <si>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</si>
  <si>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</si>
  <si>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</si>
  <si>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</si>
  <si>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</si>
  <si>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</si>
  <si>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</si>
  <si>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</si>
  <si>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</si>
  <si>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</si>
  <si>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</si>
  <si>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</si>
  <si>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</si>
  <si>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</si>
  <si>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</si>
  <si>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</si>
  <si>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</si>
  <si>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</si>
  <si>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</si>
  <si>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</si>
  <si>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</si>
  <si>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</si>
  <si>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</si>
  <si>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</si>
  <si>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</si>
  <si>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</si>
  <si>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</si>
  <si>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</si>
  <si>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</si>
  <si>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</si>
  <si>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</si>
  <si>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</si>
  <si>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</si>
  <si>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</si>
  <si>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</si>
  <si>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</si>
  <si>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</si>
  <si>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</si>
  <si>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</si>
  <si>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</si>
  <si>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</si>
  <si>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</si>
  <si>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</si>
  <si>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Todos los programas de pregrado virtual</t>
  </si>
  <si>
    <t>No especificado en el documento.</t>
  </si>
  <si>
    <t>PFVINIBOG002</t>
  </si>
  <si>
    <t>FFPO0006</t>
  </si>
  <si>
    <t>Transversal</t>
  </si>
  <si>
    <t>Facultad de Ingeniería</t>
  </si>
  <si>
    <t>Nombre Unidad de estudios</t>
  </si>
  <si>
    <t>TREND+TECH</t>
  </si>
  <si>
    <t>Modalidad (Presencial / Virtual)</t>
  </si>
  <si>
    <t>Metodología (PAT / In Situ / Híbrida)</t>
  </si>
  <si>
    <t>Aprendizaje basado en casos de estudio, problemas y proyectos</t>
  </si>
  <si>
    <t>Desarrollar habilidades esenciales enfocadas en tendencias tecnológicas y diseño centrado en el usuario para fomentar el pensamiento crítico, la creatividad y la adaptación a entornos cambiantes, integrando IA y automatización.</t>
  </si>
  <si>
    <t>No definida explícitamente (se mencionan competencias transversales).</t>
  </si>
  <si>
    <t>Resultado de Aprendizaje de Programa</t>
  </si>
  <si>
    <t>No definido explícitamente.</t>
  </si>
  <si>
    <t>Resultado de Aprendizaje de la Unidad de Estudio</t>
  </si>
  <si>
    <t>Identificar y analizar tendencias tecnológicas emergentes, aplicar diseño centrado en el usuario y demostrar creatividad en la resolución de problemas complejos.</t>
  </si>
  <si>
    <t>Criterios de evaluación (1, 2, 3, 4)</t>
  </si>
  <si>
    <t>1. Abordar problemas mediante soluciones tecnológicas innovadoras. 2. Investigar tendencias con impacto profesional. 3. Comprender nuevas tecnologías (IA, robótica). 4. Desarrollar prototipos prácticos.+1</t>
  </si>
  <si>
    <t>Competencias del modelo educativo (EM, SH, IN, COM, SO, AA, SE, COL, DI)</t>
  </si>
  <si>
    <t>IN (Investigativas), CO (Comunicativas), SO (Sostenibilidad), AP (Aprendizaje Autónomo), COL (Colaborativas), DI (Digitales).</t>
  </si>
  <si>
    <t>Contenidos de la Unidad de estudio</t>
  </si>
  <si>
    <t>9 Semanas</t>
  </si>
  <si>
    <t>Introducción a nuevas tecnologías, resolución de problemas, identificación de tendencias, investigación y análisis, síntesis, generación de opciones, concreción de idea, prueba y mejora.</t>
  </si>
  <si>
    <t>Estrategias Pedagógicas</t>
  </si>
  <si>
    <t>Lecturas sugeridas, herramientas de IA, herramientas de ideación, planeación, adquisición y manejo de datos, prototipado (RV, RA, 3D), simulación y colaboración.+1</t>
  </si>
  <si>
    <t>Esquema de Calificación</t>
  </si>
  <si>
    <t>Primer Corte (40%), Segundo Corte (40%), Proyecto Final (20%).</t>
  </si>
  <si>
    <t>Herramientas en línea, equipos y espacios en el FABLAB de la universidad.</t>
  </si>
  <si>
    <t>Componente de Lengua Extranjera</t>
  </si>
  <si>
    <t>Taulli (2019) sobre IA; Lahoz-Beltra (2004) sobre Bioinformática; George (2020) sobre Lean Six Sigma; Sharda et al. (2021) sobre Analytics e IA.</t>
  </si>
  <si>
    <t>Coeckelbergh (2021) sobre Ética de la IA.</t>
  </si>
  <si>
    <t>Número de versión</t>
  </si>
  <si>
    <t>Elaboró</t>
  </si>
  <si>
    <t>José Divitt Velosa</t>
  </si>
  <si>
    <t>Jose Divitt Velosa</t>
  </si>
  <si>
    <t>Jeffrey León</t>
  </si>
  <si>
    <t>Ajuste de temáticas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</si>
  <si>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</si>
  <si>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</si>
  <si>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</si>
  <si>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</si>
  <si>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</si>
  <si>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</si>
  <si>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</si>
  <si>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</si>
  <si>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</si>
  <si>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Desarrolla  procesos de optimización para mejorar la productividad de las empresas a través  de herramientas de investigación de operaciones, probabilidad, estadística, economía de la ingeniería y factores humanos.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</si>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</sst>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9" fillId="0" borderId="61" xfId="0" applyFont="1" applyBorder="1" applyAlignment="1">
      <alignment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</v>
      </c>
    </row>
    <row r="3" spans="2:9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9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4</v>
      </c>
    </row>
    <row r="5" spans="2:9" ht="15.75" thickTop="1">
      <c r="B5" s="63"/>
      <c r="C5" s="63"/>
      <c r="D5" s="63"/>
      <c r="E5" s="63"/>
      <c r="F5" s="63"/>
      <c r="G5" s="63"/>
      <c r="H5" s="63"/>
      <c r="I5" s="63"/>
    </row>
    <row r="6" spans="2:9">
      <c r="B6" s="63" t="s">
        <v>5</v>
      </c>
      <c r="C6" s="63"/>
      <c r="D6" s="63"/>
      <c r="E6" s="63"/>
      <c r="F6" s="63"/>
      <c r="G6" s="63"/>
      <c r="H6" s="63"/>
      <c r="I6" s="63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0"/>
      <c r="F8" s="70"/>
      <c r="G8" s="2" t="s">
        <v>12</v>
      </c>
      <c r="H8" s="70"/>
      <c r="I8" s="7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69" t="s">
        <v>17</v>
      </c>
      <c r="C10" s="53"/>
      <c r="D10" s="53"/>
      <c r="E10" s="53"/>
      <c r="F10" s="53"/>
      <c r="G10" s="53"/>
      <c r="H10" s="53"/>
      <c r="I10" s="53"/>
    </row>
    <row r="11" spans="2:9">
      <c r="B11" s="69" t="s">
        <v>18</v>
      </c>
      <c r="C11" s="69"/>
      <c r="D11" s="63" t="s">
        <v>19</v>
      </c>
      <c r="E11" s="64"/>
      <c r="F11" s="64"/>
      <c r="G11" s="63" t="s">
        <v>20</v>
      </c>
      <c r="H11" s="64"/>
      <c r="I11" s="64"/>
    </row>
    <row r="12" spans="2:9">
      <c r="B12" s="69"/>
      <c r="C12" s="69"/>
      <c r="D12" s="63"/>
      <c r="E12" s="64"/>
      <c r="F12" s="64"/>
      <c r="G12" s="63"/>
      <c r="H12" s="64"/>
      <c r="I12" s="64"/>
    </row>
    <row r="13" spans="2:9">
      <c r="B13" s="53" t="s">
        <v>21</v>
      </c>
      <c r="C13" s="53"/>
      <c r="D13" s="53"/>
      <c r="E13" s="53"/>
      <c r="F13" s="53"/>
      <c r="G13" s="53"/>
      <c r="H13" s="53"/>
      <c r="I13" s="53"/>
    </row>
    <row r="14" spans="2:9">
      <c r="B14" s="3" t="s">
        <v>22</v>
      </c>
      <c r="C14" s="70"/>
      <c r="D14" s="70"/>
      <c r="E14" s="3" t="s">
        <v>23</v>
      </c>
      <c r="F14" s="1"/>
      <c r="G14" s="3" t="s">
        <v>24</v>
      </c>
      <c r="H14" s="70"/>
      <c r="I14" s="70"/>
    </row>
    <row r="15" spans="2:9">
      <c r="B15" s="53" t="s">
        <v>25</v>
      </c>
      <c r="C15" s="53"/>
      <c r="D15" s="53"/>
      <c r="E15" s="53"/>
      <c r="F15" s="53"/>
      <c r="G15" s="53"/>
      <c r="H15" s="53"/>
      <c r="I15" s="53"/>
    </row>
    <row r="16" spans="2:9">
      <c r="B16" s="69" t="s">
        <v>26</v>
      </c>
      <c r="C16" s="69"/>
      <c r="D16" s="64"/>
      <c r="E16" s="64"/>
      <c r="F16" s="64"/>
      <c r="G16" s="64"/>
      <c r="H16" s="64"/>
      <c r="I16" s="64"/>
    </row>
    <row r="17" spans="2:9">
      <c r="B17" s="69"/>
      <c r="C17" s="69"/>
      <c r="D17" s="64"/>
      <c r="E17" s="64"/>
      <c r="F17" s="64"/>
      <c r="G17" s="64"/>
      <c r="H17" s="64"/>
      <c r="I17" s="64"/>
    </row>
    <row r="18" spans="2:9">
      <c r="B18" s="67" t="s">
        <v>27</v>
      </c>
      <c r="C18" s="68"/>
      <c r="D18" s="64"/>
      <c r="E18" s="64"/>
      <c r="F18" s="64"/>
      <c r="G18" s="64"/>
      <c r="H18" s="64"/>
      <c r="I18" s="64"/>
    </row>
    <row r="19" spans="2:9">
      <c r="B19" s="69" t="s">
        <v>28</v>
      </c>
      <c r="C19" s="69"/>
      <c r="D19" s="64"/>
      <c r="E19" s="64"/>
      <c r="F19" s="64"/>
      <c r="G19" s="64"/>
      <c r="H19" s="64"/>
      <c r="I19" s="64"/>
    </row>
    <row r="20" spans="2:9">
      <c r="B20" s="69"/>
      <c r="C20" s="69"/>
      <c r="D20" s="64"/>
      <c r="E20" s="64"/>
      <c r="F20" s="64"/>
      <c r="G20" s="64"/>
      <c r="H20" s="64"/>
      <c r="I20" s="64"/>
    </row>
    <row r="21" spans="2:9">
      <c r="B21" s="69" t="s">
        <v>29</v>
      </c>
      <c r="C21" s="69"/>
      <c r="D21" s="64"/>
      <c r="E21" s="64"/>
      <c r="F21" s="64"/>
      <c r="G21" s="64"/>
      <c r="H21" s="64"/>
      <c r="I21" s="64"/>
    </row>
    <row r="22" spans="2:9">
      <c r="B22" s="69"/>
      <c r="C22" s="69"/>
      <c r="D22" s="64"/>
      <c r="E22" s="64"/>
      <c r="F22" s="64"/>
      <c r="G22" s="64"/>
      <c r="H22" s="64"/>
      <c r="I22" s="64"/>
    </row>
    <row r="23" spans="2:9">
      <c r="B23" s="63" t="s">
        <v>30</v>
      </c>
      <c r="C23" s="63"/>
      <c r="D23" s="64" t="s">
        <v>31</v>
      </c>
      <c r="E23" s="64"/>
      <c r="F23" s="64"/>
      <c r="G23" s="64"/>
      <c r="H23" s="64"/>
      <c r="I23" s="64"/>
    </row>
    <row r="24" spans="2:9">
      <c r="B24" s="63"/>
      <c r="C24" s="63"/>
      <c r="D24" s="64" t="s">
        <v>32</v>
      </c>
      <c r="E24" s="64"/>
      <c r="F24" s="64"/>
      <c r="G24" s="64"/>
      <c r="H24" s="64"/>
      <c r="I24" s="64"/>
    </row>
    <row r="25" spans="2:9">
      <c r="B25" s="63"/>
      <c r="C25" s="63"/>
      <c r="D25" s="64" t="s">
        <v>33</v>
      </c>
      <c r="E25" s="64"/>
      <c r="F25" s="64"/>
      <c r="G25" s="64"/>
      <c r="H25" s="64"/>
      <c r="I25" s="64"/>
    </row>
    <row r="26" spans="2:9">
      <c r="B26" s="63"/>
      <c r="C26" s="63"/>
      <c r="D26" s="64" t="s">
        <v>34</v>
      </c>
      <c r="E26" s="64"/>
      <c r="F26" s="64"/>
      <c r="G26" s="64"/>
      <c r="H26" s="64"/>
      <c r="I26" s="64"/>
    </row>
    <row r="27" spans="2:9">
      <c r="B27" s="65" t="s">
        <v>35</v>
      </c>
      <c r="C27" s="6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5"/>
      <c r="C28" s="6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5"/>
      <c r="C29" s="6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6" t="s">
        <v>45</v>
      </c>
      <c r="C30" s="66"/>
      <c r="D30" s="66"/>
      <c r="E30" s="66"/>
      <c r="F30" s="66"/>
      <c r="G30" s="66"/>
      <c r="H30" s="66"/>
      <c r="I30" s="66"/>
    </row>
    <row r="31" spans="2:9">
      <c r="B31" s="66"/>
      <c r="C31" s="66"/>
      <c r="D31" s="66"/>
      <c r="E31" s="66"/>
      <c r="F31" s="66"/>
      <c r="G31" s="66"/>
      <c r="H31" s="66"/>
      <c r="I31" s="66"/>
    </row>
    <row r="32" spans="2:9">
      <c r="B32" s="66"/>
      <c r="C32" s="66"/>
      <c r="D32" s="66"/>
      <c r="E32" s="66"/>
      <c r="F32" s="66"/>
      <c r="G32" s="66"/>
      <c r="H32" s="66"/>
      <c r="I32" s="66"/>
    </row>
    <row r="33" spans="2:9">
      <c r="B33" s="66"/>
      <c r="C33" s="66"/>
      <c r="D33" s="66"/>
      <c r="E33" s="66"/>
      <c r="F33" s="66"/>
      <c r="G33" s="66"/>
      <c r="H33" s="66"/>
      <c r="I33" s="66"/>
    </row>
    <row r="34" spans="2:9">
      <c r="B34" s="66"/>
      <c r="C34" s="66"/>
      <c r="D34" s="66"/>
      <c r="E34" s="66"/>
      <c r="F34" s="66"/>
      <c r="G34" s="66"/>
      <c r="H34" s="66"/>
      <c r="I34" s="66"/>
    </row>
    <row r="35" spans="2:9">
      <c r="B35" s="53" t="s">
        <v>46</v>
      </c>
      <c r="C35" s="53"/>
      <c r="D35" s="53"/>
      <c r="E35" s="53"/>
      <c r="F35" s="53"/>
      <c r="G35" s="53"/>
      <c r="H35" s="53"/>
      <c r="I35" s="53"/>
    </row>
    <row r="36" spans="2:9">
      <c r="B36" s="52" t="s">
        <v>47</v>
      </c>
      <c r="C36" s="52"/>
      <c r="D36" s="52"/>
      <c r="E36" s="52"/>
      <c r="F36" s="52"/>
      <c r="G36" s="52"/>
      <c r="H36" s="52"/>
      <c r="I36" s="52"/>
    </row>
    <row r="37" spans="2:9">
      <c r="B37" s="52"/>
      <c r="C37" s="52"/>
      <c r="D37" s="52"/>
      <c r="E37" s="52"/>
      <c r="F37" s="52"/>
      <c r="G37" s="52"/>
      <c r="H37" s="52"/>
      <c r="I37" s="52"/>
    </row>
    <row r="38" spans="2:9">
      <c r="B38" s="52"/>
      <c r="C38" s="52"/>
      <c r="D38" s="52"/>
      <c r="E38" s="52"/>
      <c r="F38" s="52"/>
      <c r="G38" s="52"/>
      <c r="H38" s="52"/>
      <c r="I38" s="52"/>
    </row>
    <row r="39" spans="2:9">
      <c r="B39" s="60" t="s">
        <v>48</v>
      </c>
      <c r="C39" s="60"/>
      <c r="D39" s="60"/>
      <c r="E39" s="60"/>
      <c r="F39" s="60" t="s">
        <v>49</v>
      </c>
      <c r="G39" s="60"/>
      <c r="H39" s="60"/>
      <c r="I39" s="60"/>
    </row>
    <row r="40" spans="2:9">
      <c r="B40" s="60"/>
      <c r="C40" s="60"/>
      <c r="D40" s="60"/>
      <c r="E40" s="60"/>
      <c r="F40" s="60"/>
      <c r="G40" s="60"/>
      <c r="H40" s="60"/>
      <c r="I40" s="60"/>
    </row>
    <row r="41" spans="2:9">
      <c r="B41" s="60"/>
      <c r="C41" s="60"/>
      <c r="D41" s="60"/>
      <c r="E41" s="60"/>
      <c r="F41" s="60"/>
      <c r="G41" s="60"/>
      <c r="H41" s="60"/>
      <c r="I41" s="60"/>
    </row>
    <row r="42" spans="2:9">
      <c r="B42" s="60"/>
      <c r="C42" s="60"/>
      <c r="D42" s="60"/>
      <c r="E42" s="60"/>
      <c r="F42" s="60"/>
      <c r="G42" s="60"/>
      <c r="H42" s="60"/>
      <c r="I42" s="60"/>
    </row>
    <row r="43" spans="2:9">
      <c r="B43" s="60"/>
      <c r="C43" s="60"/>
      <c r="D43" s="60"/>
      <c r="E43" s="60"/>
      <c r="F43" s="60"/>
      <c r="G43" s="60"/>
      <c r="H43" s="60"/>
      <c r="I43" s="60"/>
    </row>
    <row r="44" spans="2:9">
      <c r="B44" s="60"/>
      <c r="C44" s="60"/>
      <c r="D44" s="60"/>
      <c r="E44" s="60"/>
      <c r="F44" s="60"/>
      <c r="G44" s="60"/>
      <c r="H44" s="60"/>
      <c r="I44" s="60"/>
    </row>
    <row r="45" spans="2:9">
      <c r="B45" s="60"/>
      <c r="C45" s="60"/>
      <c r="D45" s="60"/>
      <c r="E45" s="60"/>
      <c r="F45" s="60"/>
      <c r="G45" s="60"/>
      <c r="H45" s="60"/>
      <c r="I45" s="60"/>
    </row>
    <row r="46" spans="2:9">
      <c r="B46" s="60"/>
      <c r="C46" s="60"/>
      <c r="D46" s="60"/>
      <c r="E46" s="60"/>
      <c r="F46" s="60"/>
      <c r="G46" s="60"/>
      <c r="H46" s="60"/>
      <c r="I46" s="60"/>
    </row>
    <row r="47" spans="2:9">
      <c r="B47" s="60"/>
      <c r="C47" s="60"/>
      <c r="D47" s="60"/>
      <c r="E47" s="60"/>
      <c r="F47" s="60"/>
      <c r="G47" s="60"/>
      <c r="H47" s="60"/>
      <c r="I47" s="60"/>
    </row>
    <row r="48" spans="2:9">
      <c r="B48" s="53" t="s">
        <v>50</v>
      </c>
      <c r="C48" s="53"/>
      <c r="D48" s="53"/>
      <c r="E48" s="53"/>
      <c r="F48" s="53"/>
      <c r="G48" s="53"/>
      <c r="H48" s="53"/>
      <c r="I48" s="53"/>
    </row>
    <row r="49" spans="2:9">
      <c r="B49" s="62" t="s">
        <v>51</v>
      </c>
      <c r="C49" s="62"/>
      <c r="D49" s="62"/>
      <c r="E49" s="62"/>
      <c r="F49" s="60" t="s">
        <v>52</v>
      </c>
      <c r="G49" s="60"/>
      <c r="H49" s="60"/>
      <c r="I49" s="60"/>
    </row>
    <row r="50" spans="2:9">
      <c r="B50" s="62"/>
      <c r="C50" s="62"/>
      <c r="D50" s="62"/>
      <c r="E50" s="62"/>
      <c r="F50" s="60"/>
      <c r="G50" s="60"/>
      <c r="H50" s="60"/>
      <c r="I50" s="60"/>
    </row>
    <row r="51" spans="2:9">
      <c r="B51" s="62"/>
      <c r="C51" s="62"/>
      <c r="D51" s="62"/>
      <c r="E51" s="62"/>
      <c r="F51" s="60"/>
      <c r="G51" s="60"/>
      <c r="H51" s="60"/>
      <c r="I51" s="60"/>
    </row>
    <row r="52" spans="2:9">
      <c r="B52" s="62"/>
      <c r="C52" s="62"/>
      <c r="D52" s="62"/>
      <c r="E52" s="62"/>
      <c r="F52" s="60"/>
      <c r="G52" s="60"/>
      <c r="H52" s="60"/>
      <c r="I52" s="60"/>
    </row>
    <row r="53" spans="2:9">
      <c r="B53" s="62"/>
      <c r="C53" s="62"/>
      <c r="D53" s="62"/>
      <c r="E53" s="62"/>
      <c r="F53" s="60"/>
      <c r="G53" s="60"/>
      <c r="H53" s="60"/>
      <c r="I53" s="60"/>
    </row>
    <row r="54" spans="2:9">
      <c r="B54" s="62"/>
      <c r="C54" s="62"/>
      <c r="D54" s="62"/>
      <c r="E54" s="62"/>
      <c r="F54" s="60"/>
      <c r="G54" s="60"/>
      <c r="H54" s="60"/>
      <c r="I54" s="60"/>
    </row>
    <row r="55" spans="2:9">
      <c r="B55" s="62"/>
      <c r="C55" s="62"/>
      <c r="D55" s="62"/>
      <c r="E55" s="62"/>
      <c r="F55" s="60"/>
      <c r="G55" s="60"/>
      <c r="H55" s="60"/>
      <c r="I55" s="60"/>
    </row>
    <row r="56" spans="2:9">
      <c r="B56" s="62"/>
      <c r="C56" s="62"/>
      <c r="D56" s="62"/>
      <c r="E56" s="62"/>
      <c r="F56" s="60"/>
      <c r="G56" s="60"/>
      <c r="H56" s="60"/>
      <c r="I56" s="60"/>
    </row>
    <row r="57" spans="2:9">
      <c r="B57" s="62"/>
      <c r="C57" s="62"/>
      <c r="D57" s="62"/>
      <c r="E57" s="62"/>
      <c r="F57" s="60"/>
      <c r="G57" s="60"/>
      <c r="H57" s="60"/>
      <c r="I57" s="60"/>
    </row>
    <row r="58" spans="2:9">
      <c r="B58" s="62"/>
      <c r="C58" s="62"/>
      <c r="D58" s="62"/>
      <c r="E58" s="62"/>
      <c r="F58" s="60"/>
      <c r="G58" s="60"/>
      <c r="H58" s="60"/>
      <c r="I58" s="60"/>
    </row>
    <row r="59" spans="2:9">
      <c r="B59" s="62"/>
      <c r="C59" s="62"/>
      <c r="D59" s="62"/>
      <c r="E59" s="62"/>
      <c r="F59" s="60"/>
      <c r="G59" s="60"/>
      <c r="H59" s="60"/>
      <c r="I59" s="60"/>
    </row>
    <row r="60" spans="2:9">
      <c r="B60" s="63" t="s">
        <v>53</v>
      </c>
      <c r="C60" s="63"/>
      <c r="D60" s="63"/>
      <c r="E60" s="63"/>
      <c r="F60" s="64"/>
      <c r="G60" s="64"/>
      <c r="H60" s="63" t="s">
        <v>54</v>
      </c>
      <c r="I60" s="5"/>
    </row>
    <row r="61" spans="2:9">
      <c r="B61" s="63"/>
      <c r="C61" s="63"/>
      <c r="D61" s="63"/>
      <c r="E61" s="63"/>
      <c r="F61" s="64"/>
      <c r="G61" s="64"/>
      <c r="H61" s="63"/>
      <c r="I61" s="5"/>
    </row>
    <row r="62" spans="2:9">
      <c r="B62" s="63"/>
      <c r="C62" s="63"/>
      <c r="D62" s="63"/>
      <c r="E62" s="63"/>
      <c r="F62" s="64"/>
      <c r="G62" s="64"/>
      <c r="H62" s="63"/>
      <c r="I62" s="5"/>
    </row>
    <row r="63" spans="2:9">
      <c r="B63" s="63"/>
      <c r="C63" s="63"/>
      <c r="D63" s="63"/>
      <c r="E63" s="63"/>
      <c r="F63" s="64"/>
      <c r="G63" s="64"/>
      <c r="H63" s="63"/>
      <c r="I63" s="5"/>
    </row>
    <row r="64" spans="2:9">
      <c r="B64" s="63"/>
      <c r="C64" s="63"/>
      <c r="D64" s="63"/>
      <c r="E64" s="63"/>
      <c r="F64" s="64"/>
      <c r="G64" s="64"/>
      <c r="H64" s="63"/>
      <c r="I64" s="5"/>
    </row>
    <row r="65" spans="2:9">
      <c r="B65" s="53" t="s">
        <v>55</v>
      </c>
      <c r="C65" s="53"/>
      <c r="D65" s="53"/>
      <c r="E65" s="53"/>
      <c r="F65" s="53"/>
      <c r="G65" s="53"/>
      <c r="H65" s="53"/>
      <c r="I65" s="53"/>
    </row>
    <row r="66" spans="2:9">
      <c r="B66" s="60" t="s">
        <v>56</v>
      </c>
      <c r="C66" s="60"/>
      <c r="D66" s="60"/>
      <c r="E66" s="60"/>
      <c r="F66" s="60" t="s">
        <v>57</v>
      </c>
      <c r="G66" s="60"/>
      <c r="H66" s="60"/>
      <c r="I66" s="60"/>
    </row>
    <row r="67" spans="2:9">
      <c r="B67" s="60"/>
      <c r="C67" s="60"/>
      <c r="D67" s="60"/>
      <c r="E67" s="60"/>
      <c r="F67" s="60"/>
      <c r="G67" s="60"/>
      <c r="H67" s="60"/>
      <c r="I67" s="60"/>
    </row>
    <row r="68" spans="2:9">
      <c r="B68" s="60"/>
      <c r="C68" s="60"/>
      <c r="D68" s="60"/>
      <c r="E68" s="60"/>
      <c r="F68" s="60"/>
      <c r="G68" s="60"/>
      <c r="H68" s="60"/>
      <c r="I68" s="60"/>
    </row>
    <row r="69" spans="2:9">
      <c r="B69" s="60"/>
      <c r="C69" s="60"/>
      <c r="D69" s="60"/>
      <c r="E69" s="60"/>
      <c r="F69" s="60"/>
      <c r="G69" s="60"/>
      <c r="H69" s="60"/>
      <c r="I69" s="60"/>
    </row>
    <row r="70" spans="2:9">
      <c r="B70" s="60"/>
      <c r="C70" s="60"/>
      <c r="D70" s="60"/>
      <c r="E70" s="60"/>
      <c r="F70" s="60"/>
      <c r="G70" s="60"/>
      <c r="H70" s="60"/>
      <c r="I70" s="60"/>
    </row>
    <row r="71" spans="2:9">
      <c r="B71" s="60"/>
      <c r="C71" s="60"/>
      <c r="D71" s="60"/>
      <c r="E71" s="60"/>
      <c r="F71" s="60"/>
      <c r="G71" s="60"/>
      <c r="H71" s="60"/>
      <c r="I71" s="60"/>
    </row>
    <row r="72" spans="2:9">
      <c r="B72" s="60"/>
      <c r="C72" s="60"/>
      <c r="D72" s="60"/>
      <c r="E72" s="60"/>
      <c r="F72" s="60"/>
      <c r="G72" s="60"/>
      <c r="H72" s="60"/>
      <c r="I72" s="60"/>
    </row>
    <row r="73" spans="2:9">
      <c r="B73" s="60"/>
      <c r="C73" s="60"/>
      <c r="D73" s="60"/>
      <c r="E73" s="60"/>
      <c r="F73" s="60"/>
      <c r="G73" s="60"/>
      <c r="H73" s="60"/>
      <c r="I73" s="60"/>
    </row>
    <row r="74" spans="2:9">
      <c r="B74" s="60"/>
      <c r="C74" s="60"/>
      <c r="D74" s="60"/>
      <c r="E74" s="60"/>
      <c r="F74" s="60"/>
      <c r="G74" s="60"/>
      <c r="H74" s="60"/>
      <c r="I74" s="60"/>
    </row>
    <row r="75" spans="2:9">
      <c r="B75" s="60"/>
      <c r="C75" s="60"/>
      <c r="D75" s="60"/>
      <c r="E75" s="60"/>
      <c r="F75" s="60"/>
      <c r="G75" s="60"/>
      <c r="H75" s="60"/>
      <c r="I75" s="60"/>
    </row>
    <row r="76" spans="2:9">
      <c r="B76" s="60"/>
      <c r="C76" s="60"/>
      <c r="D76" s="60"/>
      <c r="E76" s="60"/>
      <c r="F76" s="60"/>
      <c r="G76" s="60"/>
      <c r="H76" s="60"/>
      <c r="I76" s="60"/>
    </row>
    <row r="77" spans="2:9">
      <c r="B77" s="60"/>
      <c r="C77" s="60"/>
      <c r="D77" s="60"/>
      <c r="E77" s="60"/>
      <c r="F77" s="60"/>
      <c r="G77" s="60"/>
      <c r="H77" s="60"/>
      <c r="I77" s="60"/>
    </row>
    <row r="78" spans="2:9">
      <c r="B78" s="60"/>
      <c r="C78" s="60"/>
      <c r="D78" s="60"/>
      <c r="E78" s="60"/>
      <c r="F78" s="60"/>
      <c r="G78" s="60"/>
      <c r="H78" s="60"/>
      <c r="I78" s="60"/>
    </row>
    <row r="79" spans="2:9">
      <c r="B79" s="60"/>
      <c r="C79" s="60"/>
      <c r="D79" s="60"/>
      <c r="E79" s="60"/>
      <c r="F79" s="60"/>
      <c r="G79" s="60"/>
      <c r="H79" s="60"/>
      <c r="I79" s="60"/>
    </row>
    <row r="80" spans="2:9">
      <c r="B80" s="61"/>
      <c r="C80" s="61"/>
      <c r="D80" s="61"/>
      <c r="E80" s="61"/>
      <c r="F80" s="61"/>
      <c r="G80" s="61"/>
      <c r="H80" s="61"/>
      <c r="I80" s="61"/>
    </row>
    <row r="81" spans="2:9">
      <c r="B81" s="53" t="s">
        <v>58</v>
      </c>
      <c r="C81" s="53"/>
      <c r="D81" s="53"/>
      <c r="E81" s="53"/>
      <c r="F81" s="53"/>
      <c r="G81" s="53"/>
      <c r="H81" s="53"/>
      <c r="I81" s="5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3" t="s">
        <v>64</v>
      </c>
      <c r="H82" s="53"/>
      <c r="I82" s="53"/>
    </row>
    <row r="83" spans="2:9">
      <c r="B83" s="10"/>
      <c r="C83" s="10"/>
      <c r="D83" s="10"/>
      <c r="E83" s="10"/>
      <c r="F83" s="10"/>
      <c r="G83" s="52"/>
      <c r="H83" s="52"/>
      <c r="I83" s="52"/>
    </row>
    <row r="84" spans="2:9">
      <c r="B84" s="10"/>
      <c r="C84" s="10"/>
      <c r="D84" s="10"/>
      <c r="E84" s="10"/>
      <c r="F84" s="10"/>
      <c r="G84" s="52"/>
      <c r="H84" s="52"/>
      <c r="I84" s="52"/>
    </row>
    <row r="85" spans="2:9">
      <c r="B85" s="10"/>
      <c r="C85" s="10"/>
      <c r="D85" s="10"/>
      <c r="E85" s="10"/>
      <c r="F85" s="10"/>
      <c r="G85" s="52"/>
      <c r="H85" s="52"/>
      <c r="I85" s="52"/>
    </row>
    <row r="86" spans="2:9">
      <c r="B86" s="10"/>
      <c r="C86" s="10"/>
      <c r="D86" s="10"/>
      <c r="E86" s="10"/>
      <c r="F86" s="10"/>
      <c r="G86" s="52"/>
      <c r="H86" s="52"/>
      <c r="I86" s="52"/>
    </row>
    <row r="87" spans="2:9">
      <c r="B87" s="10"/>
      <c r="C87" s="10"/>
      <c r="D87" s="10"/>
      <c r="E87" s="10"/>
      <c r="F87" s="10"/>
      <c r="G87" s="52"/>
      <c r="H87" s="52"/>
      <c r="I87" s="52"/>
    </row>
    <row r="88" spans="2:9">
      <c r="B88" s="10"/>
      <c r="C88" s="10"/>
      <c r="D88" s="10"/>
      <c r="E88" s="10"/>
      <c r="F88" s="10"/>
      <c r="G88" s="52"/>
      <c r="H88" s="52"/>
      <c r="I88" s="52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</v>
      </c>
    </row>
    <row r="3" spans="2:11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11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4</v>
      </c>
    </row>
    <row r="5" spans="2:11" ht="15.75" thickTop="1">
      <c r="B5" s="63"/>
      <c r="C5" s="63"/>
      <c r="D5" s="63"/>
      <c r="E5" s="63"/>
      <c r="F5" s="63"/>
      <c r="G5" s="63"/>
      <c r="H5" s="63"/>
      <c r="I5" s="63"/>
    </row>
    <row r="6" spans="2:11">
      <c r="B6" s="63" t="s">
        <v>5</v>
      </c>
      <c r="C6" s="63"/>
      <c r="D6" s="63"/>
      <c r="E6" s="63"/>
      <c r="F6" s="63"/>
      <c r="G6" s="63"/>
      <c r="H6" s="63"/>
      <c r="I6" s="63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0"/>
      <c r="F8" s="70"/>
      <c r="G8" s="2" t="s">
        <v>12</v>
      </c>
      <c r="H8" s="70"/>
      <c r="I8" s="7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69" t="s">
        <v>17</v>
      </c>
      <c r="C10" s="53"/>
      <c r="D10" s="53"/>
      <c r="E10" s="53"/>
      <c r="F10" s="53"/>
      <c r="G10" s="53"/>
      <c r="H10" s="53"/>
      <c r="I10" s="53"/>
    </row>
    <row r="11" spans="2:11">
      <c r="B11" s="69" t="s">
        <v>18</v>
      </c>
      <c r="C11" s="69"/>
      <c r="D11" s="63" t="s">
        <v>19</v>
      </c>
      <c r="E11" s="64"/>
      <c r="F11" s="64"/>
      <c r="G11" s="63" t="s">
        <v>20</v>
      </c>
      <c r="H11" s="64"/>
      <c r="I11" s="64"/>
    </row>
    <row r="12" spans="2:11">
      <c r="B12" s="69"/>
      <c r="C12" s="69"/>
      <c r="D12" s="63"/>
      <c r="E12" s="64"/>
      <c r="F12" s="64"/>
      <c r="G12" s="63"/>
      <c r="H12" s="64"/>
      <c r="I12" s="64"/>
    </row>
    <row r="13" spans="2:11">
      <c r="B13" s="53" t="s">
        <v>21</v>
      </c>
      <c r="C13" s="53"/>
      <c r="D13" s="53"/>
      <c r="E13" s="53"/>
      <c r="F13" s="53"/>
      <c r="G13" s="53"/>
      <c r="H13" s="53"/>
      <c r="I13" s="53"/>
    </row>
    <row r="14" spans="2:11">
      <c r="B14" s="3" t="s">
        <v>22</v>
      </c>
      <c r="C14" s="70"/>
      <c r="D14" s="70"/>
      <c r="E14" s="3" t="s">
        <v>23</v>
      </c>
      <c r="F14" s="1"/>
      <c r="G14" s="3" t="s">
        <v>24</v>
      </c>
      <c r="H14" s="70"/>
      <c r="I14" s="70"/>
    </row>
    <row r="15" spans="2:11">
      <c r="B15" s="53" t="s">
        <v>25</v>
      </c>
      <c r="C15" s="53"/>
      <c r="D15" s="53"/>
      <c r="E15" s="53"/>
      <c r="F15" s="53"/>
      <c r="G15" s="53"/>
      <c r="H15" s="53"/>
      <c r="I15" s="53"/>
    </row>
    <row r="16" spans="2:11">
      <c r="B16" s="69" t="s">
        <v>26</v>
      </c>
      <c r="C16" s="69"/>
      <c r="D16" s="64" t="s">
        <v>68</v>
      </c>
      <c r="E16" s="64"/>
      <c r="F16" s="64"/>
      <c r="G16" s="64"/>
      <c r="H16" s="64"/>
      <c r="I16" s="64"/>
    </row>
    <row r="17" spans="2:12">
      <c r="B17" s="69"/>
      <c r="C17" s="69"/>
      <c r="D17" s="64"/>
      <c r="E17" s="64"/>
      <c r="F17" s="64"/>
      <c r="G17" s="64"/>
      <c r="H17" s="64"/>
      <c r="I17" s="64"/>
    </row>
    <row r="18" spans="2:12">
      <c r="B18" s="74" t="s">
        <v>27</v>
      </c>
      <c r="C18" s="75"/>
      <c r="D18" s="76"/>
      <c r="E18" s="76"/>
      <c r="F18" s="76"/>
      <c r="G18" s="76"/>
      <c r="H18" s="76"/>
      <c r="I18" s="76"/>
    </row>
    <row r="19" spans="2:12">
      <c r="B19" s="77" t="s">
        <v>28</v>
      </c>
      <c r="C19" s="77"/>
      <c r="D19" s="76"/>
      <c r="E19" s="76"/>
      <c r="F19" s="76"/>
      <c r="G19" s="76"/>
      <c r="H19" s="76"/>
      <c r="I19" s="76"/>
    </row>
    <row r="20" spans="2:12">
      <c r="B20" s="77"/>
      <c r="C20" s="77"/>
      <c r="D20" s="76"/>
      <c r="E20" s="76"/>
      <c r="F20" s="76"/>
      <c r="G20" s="76"/>
      <c r="H20" s="76"/>
      <c r="I20" s="76"/>
    </row>
    <row r="21" spans="2:12">
      <c r="B21" s="77" t="s">
        <v>29</v>
      </c>
      <c r="C21" s="77"/>
      <c r="D21" s="76" t="s">
        <v>69</v>
      </c>
      <c r="E21" s="76"/>
      <c r="F21" s="76"/>
      <c r="G21" s="76"/>
      <c r="H21" s="76"/>
      <c r="I21" s="76"/>
    </row>
    <row r="22" spans="2:12">
      <c r="B22" s="77"/>
      <c r="C22" s="77"/>
      <c r="D22" s="76"/>
      <c r="E22" s="76"/>
      <c r="F22" s="76"/>
      <c r="G22" s="76"/>
      <c r="H22" s="76"/>
      <c r="I22" s="76"/>
    </row>
    <row r="23" spans="2:12">
      <c r="B23" s="78" t="s">
        <v>30</v>
      </c>
      <c r="C23" s="78"/>
      <c r="D23" s="76" t="s">
        <v>31</v>
      </c>
      <c r="E23" s="76"/>
      <c r="F23" s="76"/>
      <c r="G23" s="76"/>
      <c r="H23" s="76"/>
      <c r="I23" s="76"/>
    </row>
    <row r="24" spans="2:12">
      <c r="B24" s="78"/>
      <c r="C24" s="78"/>
      <c r="D24" s="76" t="s">
        <v>32</v>
      </c>
      <c r="E24" s="76"/>
      <c r="F24" s="76"/>
      <c r="G24" s="76"/>
      <c r="H24" s="76"/>
      <c r="I24" s="76"/>
    </row>
    <row r="25" spans="2:12">
      <c r="B25" s="78"/>
      <c r="C25" s="78"/>
      <c r="D25" s="76" t="s">
        <v>33</v>
      </c>
      <c r="E25" s="76"/>
      <c r="F25" s="76"/>
      <c r="G25" s="76"/>
      <c r="H25" s="76"/>
      <c r="I25" s="76"/>
    </row>
    <row r="26" spans="2:12">
      <c r="B26" s="78"/>
      <c r="C26" s="78"/>
      <c r="D26" s="76" t="s">
        <v>34</v>
      </c>
      <c r="E26" s="76"/>
      <c r="F26" s="76"/>
      <c r="G26" s="76"/>
      <c r="H26" s="76"/>
      <c r="I26" s="76"/>
    </row>
    <row r="27" spans="2:12" ht="99.6" customHeight="1">
      <c r="B27" s="65" t="s">
        <v>70</v>
      </c>
      <c r="C27" s="65"/>
      <c r="D27" s="79" t="s">
        <v>71</v>
      </c>
      <c r="E27" s="80"/>
      <c r="F27" s="81"/>
      <c r="G27" s="71" t="s">
        <v>72</v>
      </c>
      <c r="H27" s="80"/>
      <c r="I27" s="81"/>
      <c r="L27" s="11" t="s">
        <v>73</v>
      </c>
    </row>
    <row r="28" spans="2:12" ht="90.6" customHeight="1">
      <c r="B28" s="65"/>
      <c r="C28" s="65"/>
      <c r="D28" s="82" t="s">
        <v>74</v>
      </c>
      <c r="E28" s="83"/>
      <c r="F28" s="84"/>
      <c r="G28" s="71" t="s">
        <v>75</v>
      </c>
      <c r="H28" s="86"/>
      <c r="I28" s="87"/>
      <c r="L28" s="11" t="s">
        <v>76</v>
      </c>
    </row>
    <row r="29" spans="2:12" ht="75.599999999999994" customHeight="1">
      <c r="B29" s="65"/>
      <c r="C29" s="65"/>
      <c r="D29" s="79" t="s">
        <v>77</v>
      </c>
      <c r="E29" s="80"/>
      <c r="F29" s="81"/>
      <c r="G29" s="71" t="s">
        <v>78</v>
      </c>
      <c r="H29" s="72"/>
      <c r="I29" s="73"/>
      <c r="L29" s="11" t="s">
        <v>79</v>
      </c>
    </row>
    <row r="30" spans="2:12">
      <c r="B30" s="53" t="s">
        <v>46</v>
      </c>
      <c r="C30" s="53"/>
      <c r="D30" s="53"/>
      <c r="E30" s="53"/>
      <c r="F30" s="53"/>
      <c r="G30" s="53"/>
      <c r="H30" s="53"/>
      <c r="I30" s="53"/>
    </row>
    <row r="31" spans="2:12">
      <c r="B31" s="52" t="s">
        <v>47</v>
      </c>
      <c r="C31" s="52"/>
      <c r="D31" s="52"/>
      <c r="E31" s="52"/>
      <c r="F31" s="52"/>
      <c r="G31" s="52"/>
      <c r="H31" s="52"/>
      <c r="I31" s="52"/>
    </row>
    <row r="32" spans="2:12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60" t="s">
        <v>80</v>
      </c>
      <c r="C34" s="60"/>
      <c r="D34" s="60"/>
      <c r="E34" s="60"/>
      <c r="F34" s="85" t="s">
        <v>49</v>
      </c>
      <c r="G34" s="85"/>
      <c r="H34" s="85"/>
      <c r="I34" s="85"/>
    </row>
    <row r="35" spans="2:9">
      <c r="B35" s="60"/>
      <c r="C35" s="60"/>
      <c r="D35" s="60"/>
      <c r="E35" s="60"/>
      <c r="F35" s="85"/>
      <c r="G35" s="85"/>
      <c r="H35" s="85"/>
      <c r="I35" s="85"/>
    </row>
    <row r="36" spans="2:9">
      <c r="B36" s="60"/>
      <c r="C36" s="60"/>
      <c r="D36" s="60"/>
      <c r="E36" s="60"/>
      <c r="F36" s="85"/>
      <c r="G36" s="85"/>
      <c r="H36" s="85"/>
      <c r="I36" s="85"/>
    </row>
    <row r="37" spans="2:9">
      <c r="B37" s="60"/>
      <c r="C37" s="60"/>
      <c r="D37" s="60"/>
      <c r="E37" s="60"/>
      <c r="F37" s="85"/>
      <c r="G37" s="85"/>
      <c r="H37" s="85"/>
      <c r="I37" s="85"/>
    </row>
    <row r="38" spans="2:9">
      <c r="B38" s="60"/>
      <c r="C38" s="60"/>
      <c r="D38" s="60"/>
      <c r="E38" s="60"/>
      <c r="F38" s="85"/>
      <c r="G38" s="85"/>
      <c r="H38" s="85"/>
      <c r="I38" s="85"/>
    </row>
    <row r="39" spans="2:9">
      <c r="B39" s="60"/>
      <c r="C39" s="60"/>
      <c r="D39" s="60"/>
      <c r="E39" s="60"/>
      <c r="F39" s="85"/>
      <c r="G39" s="85"/>
      <c r="H39" s="85"/>
      <c r="I39" s="85"/>
    </row>
    <row r="40" spans="2:9">
      <c r="B40" s="60"/>
      <c r="C40" s="60"/>
      <c r="D40" s="60"/>
      <c r="E40" s="60"/>
      <c r="F40" s="85"/>
      <c r="G40" s="85"/>
      <c r="H40" s="85"/>
      <c r="I40" s="85"/>
    </row>
    <row r="41" spans="2:9">
      <c r="B41" s="60"/>
      <c r="C41" s="60"/>
      <c r="D41" s="60"/>
      <c r="E41" s="60"/>
      <c r="F41" s="85"/>
      <c r="G41" s="85"/>
      <c r="H41" s="85"/>
      <c r="I41" s="85"/>
    </row>
    <row r="42" spans="2:9">
      <c r="B42" s="60"/>
      <c r="C42" s="60"/>
      <c r="D42" s="60"/>
      <c r="E42" s="60"/>
      <c r="F42" s="85"/>
      <c r="G42" s="85"/>
      <c r="H42" s="85"/>
      <c r="I42" s="85"/>
    </row>
    <row r="43" spans="2:9">
      <c r="B43" s="53" t="s">
        <v>50</v>
      </c>
      <c r="C43" s="53"/>
      <c r="D43" s="53"/>
      <c r="E43" s="53"/>
      <c r="F43" s="53"/>
      <c r="G43" s="53"/>
      <c r="H43" s="53"/>
      <c r="I43" s="53"/>
    </row>
    <row r="44" spans="2:9">
      <c r="B44" s="62" t="s">
        <v>81</v>
      </c>
      <c r="C44" s="62"/>
      <c r="D44" s="62"/>
      <c r="E44" s="62"/>
      <c r="F44" s="60" t="s">
        <v>82</v>
      </c>
      <c r="G44" s="60"/>
      <c r="H44" s="60"/>
      <c r="I44" s="60"/>
    </row>
    <row r="45" spans="2:9">
      <c r="B45" s="62"/>
      <c r="C45" s="62"/>
      <c r="D45" s="62"/>
      <c r="E45" s="62"/>
      <c r="F45" s="60"/>
      <c r="G45" s="60"/>
      <c r="H45" s="60"/>
      <c r="I45" s="60"/>
    </row>
    <row r="46" spans="2:9">
      <c r="B46" s="62"/>
      <c r="C46" s="62"/>
      <c r="D46" s="62"/>
      <c r="E46" s="62"/>
      <c r="F46" s="60"/>
      <c r="G46" s="60"/>
      <c r="H46" s="60"/>
      <c r="I46" s="60"/>
    </row>
    <row r="47" spans="2:9">
      <c r="B47" s="62"/>
      <c r="C47" s="62"/>
      <c r="D47" s="62"/>
      <c r="E47" s="62"/>
      <c r="F47" s="60"/>
      <c r="G47" s="60"/>
      <c r="H47" s="60"/>
      <c r="I47" s="60"/>
    </row>
    <row r="48" spans="2:9">
      <c r="B48" s="62"/>
      <c r="C48" s="62"/>
      <c r="D48" s="62"/>
      <c r="E48" s="62"/>
      <c r="F48" s="60"/>
      <c r="G48" s="60"/>
      <c r="H48" s="60"/>
      <c r="I48" s="60"/>
    </row>
    <row r="49" spans="2:9">
      <c r="B49" s="62"/>
      <c r="C49" s="62"/>
      <c r="D49" s="62"/>
      <c r="E49" s="62"/>
      <c r="F49" s="60"/>
      <c r="G49" s="60"/>
      <c r="H49" s="60"/>
      <c r="I49" s="60"/>
    </row>
    <row r="50" spans="2:9">
      <c r="B50" s="62"/>
      <c r="C50" s="62"/>
      <c r="D50" s="62"/>
      <c r="E50" s="62"/>
      <c r="F50" s="60"/>
      <c r="G50" s="60"/>
      <c r="H50" s="60"/>
      <c r="I50" s="60"/>
    </row>
    <row r="51" spans="2:9">
      <c r="B51" s="62"/>
      <c r="C51" s="62"/>
      <c r="D51" s="62"/>
      <c r="E51" s="62"/>
      <c r="F51" s="60"/>
      <c r="G51" s="60"/>
      <c r="H51" s="60"/>
      <c r="I51" s="60"/>
    </row>
    <row r="52" spans="2:9">
      <c r="B52" s="62"/>
      <c r="C52" s="62"/>
      <c r="D52" s="62"/>
      <c r="E52" s="62"/>
      <c r="F52" s="60"/>
      <c r="G52" s="60"/>
      <c r="H52" s="60"/>
      <c r="I52" s="60"/>
    </row>
    <row r="53" spans="2:9">
      <c r="B53" s="62"/>
      <c r="C53" s="62"/>
      <c r="D53" s="62"/>
      <c r="E53" s="62"/>
      <c r="F53" s="60"/>
      <c r="G53" s="60"/>
      <c r="H53" s="60"/>
      <c r="I53" s="60"/>
    </row>
    <row r="54" spans="2:9">
      <c r="B54" s="62"/>
      <c r="C54" s="62"/>
      <c r="D54" s="62"/>
      <c r="E54" s="62"/>
      <c r="F54" s="60"/>
      <c r="G54" s="60"/>
      <c r="H54" s="60"/>
      <c r="I54" s="60"/>
    </row>
    <row r="55" spans="2:9">
      <c r="B55" s="63" t="s">
        <v>83</v>
      </c>
      <c r="C55" s="63"/>
      <c r="D55" s="63"/>
      <c r="E55" s="63"/>
      <c r="F55" s="64" t="s">
        <v>84</v>
      </c>
      <c r="G55" s="64"/>
      <c r="H55" s="63" t="s">
        <v>54</v>
      </c>
      <c r="I55" s="5"/>
    </row>
    <row r="56" spans="2:9">
      <c r="B56" s="63"/>
      <c r="C56" s="63"/>
      <c r="D56" s="63"/>
      <c r="E56" s="63"/>
      <c r="F56" s="64"/>
      <c r="G56" s="64"/>
      <c r="H56" s="63"/>
      <c r="I56" s="5"/>
    </row>
    <row r="57" spans="2:9">
      <c r="B57" s="63"/>
      <c r="C57" s="63"/>
      <c r="D57" s="63"/>
      <c r="E57" s="63"/>
      <c r="F57" s="64"/>
      <c r="G57" s="64"/>
      <c r="H57" s="63"/>
      <c r="I57" s="5"/>
    </row>
    <row r="58" spans="2:9">
      <c r="B58" s="63"/>
      <c r="C58" s="63"/>
      <c r="D58" s="63"/>
      <c r="E58" s="63"/>
      <c r="F58" s="64"/>
      <c r="G58" s="64"/>
      <c r="H58" s="63"/>
      <c r="I58" s="5"/>
    </row>
    <row r="59" spans="2:9">
      <c r="B59" s="63"/>
      <c r="C59" s="63"/>
      <c r="D59" s="63"/>
      <c r="E59" s="63"/>
      <c r="F59" s="64"/>
      <c r="G59" s="64"/>
      <c r="H59" s="63"/>
      <c r="I59" s="5"/>
    </row>
    <row r="60" spans="2:9">
      <c r="B60" s="53" t="s">
        <v>55</v>
      </c>
      <c r="C60" s="53"/>
      <c r="D60" s="53"/>
      <c r="E60" s="53"/>
      <c r="F60" s="53"/>
      <c r="G60" s="53"/>
      <c r="H60" s="53"/>
      <c r="I60" s="53"/>
    </row>
    <row r="61" spans="2:9">
      <c r="B61" s="60" t="s">
        <v>56</v>
      </c>
      <c r="C61" s="60"/>
      <c r="D61" s="60"/>
      <c r="E61" s="60"/>
      <c r="F61" s="60" t="s">
        <v>57</v>
      </c>
      <c r="G61" s="60"/>
      <c r="H61" s="60"/>
      <c r="I61" s="60"/>
    </row>
    <row r="62" spans="2:9">
      <c r="B62" s="60"/>
      <c r="C62" s="60"/>
      <c r="D62" s="60"/>
      <c r="E62" s="60"/>
      <c r="F62" s="60"/>
      <c r="G62" s="60"/>
      <c r="H62" s="60"/>
      <c r="I62" s="60"/>
    </row>
    <row r="63" spans="2:9">
      <c r="B63" s="60"/>
      <c r="C63" s="60"/>
      <c r="D63" s="60"/>
      <c r="E63" s="60"/>
      <c r="F63" s="60"/>
      <c r="G63" s="60"/>
      <c r="H63" s="60"/>
      <c r="I63" s="60"/>
    </row>
    <row r="64" spans="2:9">
      <c r="B64" s="60"/>
      <c r="C64" s="60"/>
      <c r="D64" s="60"/>
      <c r="E64" s="60"/>
      <c r="F64" s="60"/>
      <c r="G64" s="60"/>
      <c r="H64" s="60"/>
      <c r="I64" s="60"/>
    </row>
    <row r="65" spans="2:9">
      <c r="B65" s="60"/>
      <c r="C65" s="60"/>
      <c r="D65" s="60"/>
      <c r="E65" s="60"/>
      <c r="F65" s="60"/>
      <c r="G65" s="60"/>
      <c r="H65" s="60"/>
      <c r="I65" s="60"/>
    </row>
    <row r="66" spans="2:9">
      <c r="B66" s="60"/>
      <c r="C66" s="60"/>
      <c r="D66" s="60"/>
      <c r="E66" s="60"/>
      <c r="F66" s="60"/>
      <c r="G66" s="60"/>
      <c r="H66" s="60"/>
      <c r="I66" s="60"/>
    </row>
    <row r="67" spans="2:9">
      <c r="B67" s="60"/>
      <c r="C67" s="60"/>
      <c r="D67" s="60"/>
      <c r="E67" s="60"/>
      <c r="F67" s="60"/>
      <c r="G67" s="60"/>
      <c r="H67" s="60"/>
      <c r="I67" s="60"/>
    </row>
    <row r="68" spans="2:9">
      <c r="B68" s="60"/>
      <c r="C68" s="60"/>
      <c r="D68" s="60"/>
      <c r="E68" s="60"/>
      <c r="F68" s="60"/>
      <c r="G68" s="60"/>
      <c r="H68" s="60"/>
      <c r="I68" s="60"/>
    </row>
    <row r="69" spans="2:9">
      <c r="B69" s="60"/>
      <c r="C69" s="60"/>
      <c r="D69" s="60"/>
      <c r="E69" s="60"/>
      <c r="F69" s="60"/>
      <c r="G69" s="60"/>
      <c r="H69" s="60"/>
      <c r="I69" s="60"/>
    </row>
    <row r="70" spans="2:9">
      <c r="B70" s="60"/>
      <c r="C70" s="60"/>
      <c r="D70" s="60"/>
      <c r="E70" s="60"/>
      <c r="F70" s="60"/>
      <c r="G70" s="60"/>
      <c r="H70" s="60"/>
      <c r="I70" s="60"/>
    </row>
    <row r="71" spans="2:9">
      <c r="B71" s="60"/>
      <c r="C71" s="60"/>
      <c r="D71" s="60"/>
      <c r="E71" s="60"/>
      <c r="F71" s="60"/>
      <c r="G71" s="60"/>
      <c r="H71" s="60"/>
      <c r="I71" s="60"/>
    </row>
    <row r="72" spans="2:9">
      <c r="B72" s="60"/>
      <c r="C72" s="60"/>
      <c r="D72" s="60"/>
      <c r="E72" s="60"/>
      <c r="F72" s="60"/>
      <c r="G72" s="60"/>
      <c r="H72" s="60"/>
      <c r="I72" s="60"/>
    </row>
    <row r="73" spans="2:9">
      <c r="B73" s="60"/>
      <c r="C73" s="60"/>
      <c r="D73" s="60"/>
      <c r="E73" s="60"/>
      <c r="F73" s="60"/>
      <c r="G73" s="60"/>
      <c r="H73" s="60"/>
      <c r="I73" s="60"/>
    </row>
    <row r="74" spans="2:9">
      <c r="B74" s="60"/>
      <c r="C74" s="60"/>
      <c r="D74" s="60"/>
      <c r="E74" s="60"/>
      <c r="F74" s="60"/>
      <c r="G74" s="60"/>
      <c r="H74" s="60"/>
      <c r="I74" s="60"/>
    </row>
    <row r="75" spans="2:9">
      <c r="B75" s="61"/>
      <c r="C75" s="61"/>
      <c r="D75" s="61"/>
      <c r="E75" s="61"/>
      <c r="F75" s="61"/>
      <c r="G75" s="61"/>
      <c r="H75" s="61"/>
      <c r="I75" s="61"/>
    </row>
    <row r="76" spans="2:9">
      <c r="B76" s="53" t="s">
        <v>58</v>
      </c>
      <c r="C76" s="53"/>
      <c r="D76" s="53"/>
      <c r="E76" s="53"/>
      <c r="F76" s="53"/>
      <c r="G76" s="53"/>
      <c r="H76" s="53"/>
      <c r="I76" s="5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3" t="s">
        <v>64</v>
      </c>
      <c r="H77" s="53"/>
      <c r="I77" s="53"/>
    </row>
    <row r="78" spans="2:9">
      <c r="B78" s="10"/>
      <c r="C78" s="10"/>
      <c r="D78" s="10"/>
      <c r="E78" s="10"/>
      <c r="F78" s="10"/>
      <c r="G78" s="52"/>
      <c r="H78" s="52"/>
      <c r="I78" s="52"/>
    </row>
    <row r="79" spans="2:9">
      <c r="B79" s="10"/>
      <c r="C79" s="10"/>
      <c r="D79" s="10"/>
      <c r="E79" s="10"/>
      <c r="F79" s="10"/>
      <c r="G79" s="52"/>
      <c r="H79" s="52"/>
      <c r="I79" s="52"/>
    </row>
    <row r="80" spans="2:9">
      <c r="B80" s="10"/>
      <c r="C80" s="10"/>
      <c r="D80" s="10"/>
      <c r="E80" s="10"/>
      <c r="F80" s="10"/>
      <c r="G80" s="52"/>
      <c r="H80" s="52"/>
      <c r="I80" s="52"/>
    </row>
    <row r="81" spans="2:9">
      <c r="B81" s="10"/>
      <c r="C81" s="10"/>
      <c r="D81" s="10"/>
      <c r="E81" s="10"/>
      <c r="F81" s="10"/>
      <c r="G81" s="52"/>
      <c r="H81" s="52"/>
      <c r="I81" s="52"/>
    </row>
    <row r="82" spans="2:9">
      <c r="B82" s="10"/>
      <c r="C82" s="10"/>
      <c r="D82" s="10"/>
      <c r="E82" s="10"/>
      <c r="F82" s="10"/>
      <c r="G82" s="52"/>
      <c r="H82" s="52"/>
      <c r="I82" s="52"/>
    </row>
    <row r="83" spans="2:9">
      <c r="B83" s="10"/>
      <c r="C83" s="10"/>
      <c r="D83" s="10"/>
      <c r="E83" s="10"/>
      <c r="F83" s="10"/>
      <c r="G83" s="52"/>
      <c r="H83" s="52"/>
      <c r="I83" s="52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zoomScale="70" zoomScaleNormal="70" workbookViewId="0">
      <selection activeCell="H10" sqref="H10"/>
    </sheetView>
  </sheetViews>
  <sheetFormatPr defaultColWidth="11.42578125" defaultRowHeight="15"/>
  <cols>
    <col min="3" max="3" width="74" bestFit="1" customWidth="1"/>
    <col min="4" max="4" width="18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34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5" t="s">
        <v>88</v>
      </c>
      <c r="H6" s="37" t="s">
        <v>89</v>
      </c>
    </row>
    <row r="7" spans="2:8" ht="17.25" thickBot="1">
      <c r="B7">
        <v>4</v>
      </c>
      <c r="C7" s="33" t="s">
        <v>9</v>
      </c>
      <c r="D7" s="5" t="str">
        <f>+H7</f>
        <v>Transversal</v>
      </c>
      <c r="H7" s="37" t="s">
        <v>90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91</v>
      </c>
    </row>
    <row r="9" spans="2:8" ht="17.25" thickBot="1">
      <c r="B9">
        <v>6</v>
      </c>
      <c r="C9" s="33" t="s">
        <v>11</v>
      </c>
      <c r="D9" s="5" t="str">
        <f>+H9</f>
        <v>Todos los programas de pregrado virtual</v>
      </c>
      <c r="H9" s="35" t="s">
        <v>86</v>
      </c>
    </row>
    <row r="10" spans="2:8" ht="14.25" customHeight="1" thickBot="1">
      <c r="B10">
        <v>7</v>
      </c>
      <c r="C10" s="33" t="s">
        <v>92</v>
      </c>
      <c r="D10" s="51" t="str">
        <f>+H10</f>
        <v>TREND+TECH</v>
      </c>
      <c r="H10" s="37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>+H13</f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>+H14</f>
        <v>144</v>
      </c>
      <c r="H14" s="36">
        <v>144</v>
      </c>
    </row>
    <row r="15" spans="2:8" ht="17.25" thickBot="1">
      <c r="B15">
        <v>12</v>
      </c>
      <c r="C15" s="33" t="s">
        <v>94</v>
      </c>
      <c r="D15" s="5" t="str">
        <f>+H15</f>
        <v>Presencial</v>
      </c>
      <c r="E15" s="46" t="str">
        <f>IF(D15="Presencial","SI","")</f>
        <v>SI</v>
      </c>
      <c r="F15" s="46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95</v>
      </c>
      <c r="D16" s="5" t="str">
        <f>+H16</f>
        <v>Aprendizaje basado en casos de estudio, problemas y proyectos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>+H17</f>
        <v>Desarrollar habilidades esenciales enfocadas en tendencias tecnológicas y diseño centrado en el usuario para fomentar el pensamiento crítico, la creatividad y la adaptación a entornos cambiantes, integrando IA y automatización.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>+H18</f>
        <v>No definida explícitamente (se mencionan competencias transversales).</v>
      </c>
      <c r="H18" s="35" t="s">
        <v>98</v>
      </c>
    </row>
    <row r="19" spans="2:8" ht="17.25" thickBot="1">
      <c r="B19">
        <v>16</v>
      </c>
      <c r="C19" s="33" t="s">
        <v>99</v>
      </c>
      <c r="D19" s="5" t="str">
        <f>+H19</f>
        <v>No definido explícitamente.</v>
      </c>
      <c r="H19" s="35" t="s">
        <v>100</v>
      </c>
    </row>
    <row r="20" spans="2:8" ht="17.25" thickBot="1">
      <c r="B20">
        <v>17</v>
      </c>
      <c r="C20" s="33" t="s">
        <v>101</v>
      </c>
      <c r="D20" s="5"/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ht="17.25" thickBot="1">
      <c r="B23">
        <v>20</v>
      </c>
      <c r="C23" s="33" t="s">
        <v>107</v>
      </c>
      <c r="D23" s="5" t="s">
        <v>108</v>
      </c>
      <c r="E23" s="34" t="str">
        <f>IF(D23="4.5 Semanas",H23,"")</f>
        <v/>
      </c>
      <c r="F23" s="34" t="str">
        <f>IF(D23="9 Semanas",H23,"")</f>
        <v>Introducción a nuevas tecnologías, resolución de problemas, identificación de tendencias, investigación y análisis, síntesis, generación de opciones, concreción de idea, prueba y mejora.</v>
      </c>
      <c r="G23" s="34" t="str">
        <f>IF(D23="18 Semanas",H23,"")</f>
        <v/>
      </c>
      <c r="H23" s="42" t="s">
        <v>109</v>
      </c>
    </row>
    <row r="24" spans="2:8" ht="17.25" thickBot="1">
      <c r="B24">
        <v>21</v>
      </c>
      <c r="C24" s="33" t="s">
        <v>110</v>
      </c>
      <c r="D24" s="5"/>
      <c r="H24" s="35" t="s">
        <v>111</v>
      </c>
    </row>
    <row r="25" spans="2:8" ht="17.25" thickBot="1">
      <c r="B25">
        <v>22</v>
      </c>
      <c r="C25" s="33" t="s">
        <v>112</v>
      </c>
      <c r="D25" s="5" t="str">
        <f>+H25</f>
        <v>Primer Corte (40%), Segundo Corte (40%), Proyecto Final (20%).</v>
      </c>
      <c r="H25" s="35" t="s">
        <v>113</v>
      </c>
    </row>
    <row r="26" spans="2:8" ht="17.25" thickBot="1">
      <c r="B26">
        <v>23</v>
      </c>
      <c r="C26" s="33" t="s">
        <v>52</v>
      </c>
      <c r="D26" s="5" t="str">
        <f>+H26</f>
        <v>Herramientas en línea, equipos y espacios en el FABLAB de la universidad.</v>
      </c>
      <c r="H26" s="35" t="s">
        <v>114</v>
      </c>
    </row>
    <row r="27" spans="2:8" ht="17.25" thickBot="1">
      <c r="B27">
        <v>24</v>
      </c>
      <c r="C27" s="33" t="s">
        <v>115</v>
      </c>
      <c r="D27" s="5" t="str">
        <f>+H27</f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3">
        <f>+H28</f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8" t="str">
        <f>+H29</f>
        <v>Taulli (2019) sobre IA; Lahoz-Beltra (2004) sobre Bioinformática; George (2020) sobre Lean Six Sigma; Sharda et al. (2021) sobre Analytics e IA.</v>
      </c>
      <c r="E29" s="49" t="str">
        <f>CONCATENATE("Bibliografía Obligatoria",": ",D29)</f>
        <v>Bibliografía Obligatoria: Taulli (2019) sobre IA; Lahoz-Beltra (2004) sobre Bioinformática; George (2020) sobre Lean Six Sigma; Sharda et al. (2021) sobre Analytics e IA.</v>
      </c>
      <c r="H29" s="35" t="s">
        <v>116</v>
      </c>
    </row>
    <row r="30" spans="2:8" ht="56.25" customHeight="1" thickBot="1">
      <c r="B30">
        <v>27</v>
      </c>
      <c r="C30" s="33" t="s">
        <v>57</v>
      </c>
      <c r="D30" s="48" t="str">
        <f>+H30</f>
        <v>Coeckelbergh (2021) sobre Ética de la IA.</v>
      </c>
      <c r="E30" s="49" t="str">
        <f>CONCATENATE("Bibliografía Complementaria",": ",D30)</f>
        <v>Bibliografía Complementaria: Coeckelbergh (2021) sobre Ética de la IA.</v>
      </c>
      <c r="H30" s="35" t="s">
        <v>117</v>
      </c>
    </row>
    <row r="31" spans="2:8" ht="17.25" thickBot="1">
      <c r="B31">
        <v>28</v>
      </c>
      <c r="C31" s="33" t="s">
        <v>118</v>
      </c>
      <c r="D31" s="5">
        <f>+H31</f>
        <v>2</v>
      </c>
      <c r="H31" s="36">
        <v>2</v>
      </c>
    </row>
    <row r="32" spans="2:8" ht="17.25" thickBot="1">
      <c r="B32">
        <v>29</v>
      </c>
      <c r="C32" s="33" t="s">
        <v>60</v>
      </c>
      <c r="D32" s="45">
        <f>+H32</f>
        <v>45544</v>
      </c>
      <c r="H32" s="39">
        <v>45544</v>
      </c>
    </row>
    <row r="33" spans="2:8" ht="17.25" thickBot="1">
      <c r="B33">
        <v>30</v>
      </c>
      <c r="C33" s="33" t="s">
        <v>119</v>
      </c>
      <c r="D33" s="5" t="str">
        <f>+H33</f>
        <v>José Divitt Velosa</v>
      </c>
      <c r="H33" s="35" t="s">
        <v>120</v>
      </c>
    </row>
    <row r="34" spans="2:8" ht="17.25" thickBot="1">
      <c r="B34">
        <v>31</v>
      </c>
      <c r="C34" s="33" t="s">
        <v>62</v>
      </c>
      <c r="D34" s="5" t="str">
        <f>+H34</f>
        <v>José Divitt Velosa</v>
      </c>
      <c r="H34" s="35" t="s">
        <v>120</v>
      </c>
    </row>
    <row r="35" spans="2:8" ht="17.25" thickBot="1">
      <c r="B35">
        <v>32</v>
      </c>
      <c r="C35" s="33" t="s">
        <v>63</v>
      </c>
      <c r="D35" s="34" t="s">
        <v>121</v>
      </c>
      <c r="H35" s="37" t="s">
        <v>122</v>
      </c>
    </row>
    <row r="36" spans="2:8" ht="17.25" thickBot="1">
      <c r="B36">
        <v>33</v>
      </c>
      <c r="C36" s="33" t="s">
        <v>64</v>
      </c>
      <c r="D36" s="5" t="str">
        <f>+H36</f>
        <v>Ajuste de temáticas</v>
      </c>
      <c r="H36" s="35" t="s">
        <v>123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5" zoomScaleNormal="100" workbookViewId="0">
      <selection activeCell="B15" sqref="B15:I1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4"/>
      <c r="C2" s="56" t="s">
        <v>0</v>
      </c>
      <c r="D2" s="56"/>
      <c r="E2" s="56"/>
      <c r="F2" s="56"/>
      <c r="G2" s="56"/>
      <c r="H2" s="56"/>
      <c r="I2" s="6" t="s">
        <v>124</v>
      </c>
    </row>
    <row r="3" spans="2:9" ht="20.25" customHeight="1">
      <c r="B3" s="55"/>
      <c r="C3" s="57"/>
      <c r="D3" s="57"/>
      <c r="E3" s="57"/>
      <c r="F3" s="57"/>
      <c r="G3" s="57"/>
      <c r="H3" s="57"/>
      <c r="I3" s="7" t="s">
        <v>2</v>
      </c>
    </row>
    <row r="4" spans="2:9" ht="21" customHeight="1" thickBot="1">
      <c r="B4" s="58" t="s">
        <v>3</v>
      </c>
      <c r="C4" s="59"/>
      <c r="D4" s="59"/>
      <c r="E4" s="59"/>
      <c r="F4" s="59"/>
      <c r="G4" s="59"/>
      <c r="H4" s="59"/>
      <c r="I4" s="8" t="s">
        <v>125</v>
      </c>
    </row>
    <row r="5" spans="2:9" ht="16.5" thickTop="1" thickBot="1">
      <c r="B5" s="164"/>
      <c r="C5" s="164"/>
      <c r="D5" s="164"/>
      <c r="E5" s="164"/>
      <c r="F5" s="164"/>
      <c r="G5" s="164"/>
      <c r="H5" s="164"/>
      <c r="I5" s="164"/>
    </row>
    <row r="6" spans="2:9">
      <c r="B6" s="165" t="s">
        <v>5</v>
      </c>
      <c r="C6" s="166"/>
      <c r="D6" s="166"/>
      <c r="E6" s="166"/>
      <c r="F6" s="166"/>
      <c r="G6" s="166"/>
      <c r="H6" s="166"/>
      <c r="I6" s="167"/>
    </row>
    <row r="7" spans="2:9" ht="60">
      <c r="B7" s="26" t="s">
        <v>6</v>
      </c>
      <c r="C7" s="1">
        <f>+Hoja1!D4</f>
        <v>2026</v>
      </c>
      <c r="D7" s="2" t="s">
        <v>7</v>
      </c>
      <c r="E7" s="50" t="str">
        <f>+Hoja1!D5</f>
        <v>Todos los programas de pregrado virtual</v>
      </c>
      <c r="F7" s="2" t="s">
        <v>8</v>
      </c>
      <c r="G7" s="41" t="str">
        <f>+Hoja1!D6</f>
        <v>PFVINIBOG002</v>
      </c>
      <c r="H7" s="2" t="s">
        <v>9</v>
      </c>
      <c r="I7" s="27" t="str">
        <f>+Hoja1!D7</f>
        <v>Transversal</v>
      </c>
    </row>
    <row r="8" spans="2:9" ht="30">
      <c r="B8" s="26" t="s">
        <v>126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127</v>
      </c>
      <c r="H8" s="162"/>
      <c r="I8" s="163"/>
    </row>
    <row r="9" spans="2:9" ht="45">
      <c r="B9" s="28" t="s">
        <v>128</v>
      </c>
      <c r="C9" s="25" t="s">
        <v>129</v>
      </c>
      <c r="D9" s="3" t="s">
        <v>65</v>
      </c>
      <c r="E9" s="160" t="str">
        <f>+Hoja1!D9</f>
        <v>Todos los programas de pregrado virtual</v>
      </c>
      <c r="F9" s="160"/>
      <c r="G9" s="2" t="s">
        <v>12</v>
      </c>
      <c r="H9" s="70" t="str">
        <f>+Hoja1!D10</f>
        <v>TREND+TECH</v>
      </c>
      <c r="I9" s="161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1" t="s">
        <v>130</v>
      </c>
      <c r="C11" s="92"/>
      <c r="D11" s="92"/>
      <c r="E11" s="92"/>
      <c r="F11" s="92"/>
      <c r="G11" s="92"/>
      <c r="H11" s="92"/>
      <c r="I11" s="93"/>
    </row>
    <row r="12" spans="2:9" ht="37.5" customHeight="1">
      <c r="B12" s="156" t="s">
        <v>131</v>
      </c>
      <c r="C12" s="68"/>
      <c r="D12" s="157" t="str">
        <f>+Hoja1!D17</f>
        <v>Desarrollar habilidades esenciales enfocadas en tendencias tecnológicas y diseño centrado en el usuario para fomentar el pensamiento crítico, la creatividad y la adaptación a entornos cambiantes, integrando IA y automatización.</v>
      </c>
      <c r="E12" s="158"/>
      <c r="F12" s="158"/>
      <c r="G12" s="158"/>
      <c r="H12" s="158"/>
      <c r="I12" s="159"/>
    </row>
    <row r="13" spans="2:9" ht="38.25" customHeight="1">
      <c r="B13" s="154" t="s">
        <v>132</v>
      </c>
      <c r="C13" s="155"/>
      <c r="D13" s="157" t="s">
        <v>133</v>
      </c>
      <c r="E13" s="158"/>
      <c r="F13" s="158"/>
      <c r="G13" s="158"/>
      <c r="H13" s="158"/>
      <c r="I13" s="159"/>
    </row>
    <row r="14" spans="2:9">
      <c r="B14" s="91" t="s">
        <v>134</v>
      </c>
      <c r="C14" s="92"/>
      <c r="D14" s="92"/>
      <c r="E14" s="92"/>
      <c r="F14" s="92"/>
      <c r="G14" s="92"/>
      <c r="H14" s="92"/>
      <c r="I14" s="93"/>
    </row>
    <row r="15" spans="2:9">
      <c r="B15" s="125" t="s">
        <v>135</v>
      </c>
      <c r="C15" s="52"/>
      <c r="D15" s="52"/>
      <c r="E15" s="52"/>
      <c r="F15" s="52"/>
      <c r="G15" s="52"/>
      <c r="H15" s="52"/>
      <c r="I15" s="88"/>
    </row>
    <row r="16" spans="2:9">
      <c r="B16" s="125"/>
      <c r="C16" s="52"/>
      <c r="D16" s="52"/>
      <c r="E16" s="52"/>
      <c r="F16" s="52"/>
      <c r="G16" s="52"/>
      <c r="H16" s="52"/>
      <c r="I16" s="88"/>
    </row>
    <row r="17" spans="2:9" ht="15.75" thickBot="1">
      <c r="B17" s="126"/>
      <c r="C17" s="127"/>
      <c r="D17" s="127"/>
      <c r="E17" s="127"/>
      <c r="F17" s="127"/>
      <c r="G17" s="127"/>
      <c r="H17" s="127"/>
      <c r="I17" s="128"/>
    </row>
    <row r="18" spans="2:9" ht="15.75" thickBot="1">
      <c r="B18" s="138" t="s">
        <v>136</v>
      </c>
      <c r="C18" s="139"/>
      <c r="D18" s="139"/>
      <c r="E18" s="139"/>
      <c r="F18" s="139"/>
      <c r="G18" s="139"/>
      <c r="H18" s="139"/>
      <c r="I18" s="140"/>
    </row>
    <row r="19" spans="2:9">
      <c r="B19" s="17" t="s">
        <v>137</v>
      </c>
      <c r="C19" s="18" t="s">
        <v>138</v>
      </c>
      <c r="D19" s="17" t="s">
        <v>139</v>
      </c>
      <c r="E19" s="143" t="s">
        <v>108</v>
      </c>
      <c r="F19" s="144"/>
      <c r="G19" s="19" t="s">
        <v>140</v>
      </c>
      <c r="H19" s="141" t="s">
        <v>141</v>
      </c>
      <c r="I19" s="142"/>
    </row>
    <row r="20" spans="2:9">
      <c r="B20" s="129" t="str">
        <f>+Hoja1!E23</f>
        <v/>
      </c>
      <c r="C20" s="131"/>
      <c r="D20" s="129" t="str">
        <f>+Hoja1!F23</f>
        <v>Introducción a nuevas tecnologías, resolución de problemas, identificación de tendencias, investigación y análisis, síntesis, generación de opciones, concreción de idea, prueba y mejora.</v>
      </c>
      <c r="E20" s="130"/>
      <c r="F20" s="131"/>
      <c r="G20" s="145" t="str">
        <f>+Hoja1!G23</f>
        <v/>
      </c>
      <c r="H20" s="146"/>
      <c r="I20" s="147"/>
    </row>
    <row r="21" spans="2:9">
      <c r="B21" s="132"/>
      <c r="C21" s="134"/>
      <c r="D21" s="132"/>
      <c r="E21" s="133"/>
      <c r="F21" s="134"/>
      <c r="G21" s="148"/>
      <c r="H21" s="149"/>
      <c r="I21" s="150"/>
    </row>
    <row r="22" spans="2:9">
      <c r="B22" s="132"/>
      <c r="C22" s="134"/>
      <c r="D22" s="132"/>
      <c r="E22" s="133"/>
      <c r="F22" s="134"/>
      <c r="G22" s="148"/>
      <c r="H22" s="149"/>
      <c r="I22" s="150"/>
    </row>
    <row r="23" spans="2:9">
      <c r="B23" s="132"/>
      <c r="C23" s="134"/>
      <c r="D23" s="132"/>
      <c r="E23" s="133"/>
      <c r="F23" s="134"/>
      <c r="G23" s="148"/>
      <c r="H23" s="149"/>
      <c r="I23" s="150"/>
    </row>
    <row r="24" spans="2:9">
      <c r="B24" s="132"/>
      <c r="C24" s="134"/>
      <c r="D24" s="132"/>
      <c r="E24" s="133"/>
      <c r="F24" s="134"/>
      <c r="G24" s="148"/>
      <c r="H24" s="149"/>
      <c r="I24" s="150"/>
    </row>
    <row r="25" spans="2:9">
      <c r="B25" s="132"/>
      <c r="C25" s="134"/>
      <c r="D25" s="132"/>
      <c r="E25" s="133"/>
      <c r="F25" s="134"/>
      <c r="G25" s="148"/>
      <c r="H25" s="149"/>
      <c r="I25" s="150"/>
    </row>
    <row r="26" spans="2:9" ht="15.75" thickBot="1">
      <c r="B26" s="135"/>
      <c r="C26" s="137"/>
      <c r="D26" s="135"/>
      <c r="E26" s="136"/>
      <c r="F26" s="137"/>
      <c r="G26" s="151"/>
      <c r="H26" s="152"/>
      <c r="I26" s="153"/>
    </row>
    <row r="27" spans="2:9" ht="15.75" thickBot="1">
      <c r="B27" s="95" t="s">
        <v>142</v>
      </c>
      <c r="C27" s="96"/>
      <c r="D27" s="96"/>
      <c r="E27" s="96"/>
      <c r="F27" s="96"/>
      <c r="G27" s="96"/>
      <c r="H27" s="96"/>
      <c r="I27" s="97"/>
    </row>
    <row r="28" spans="2:9" ht="14.45" customHeight="1">
      <c r="B28" s="107" t="str">
        <f>+Hoja1!D25</f>
        <v>Primer Corte (40%), Segundo Corte (40%), Proyecto Final (20%).</v>
      </c>
      <c r="C28" s="108"/>
      <c r="D28" s="108"/>
      <c r="E28" s="108"/>
      <c r="F28" s="108"/>
      <c r="G28" s="108"/>
      <c r="H28" s="108"/>
      <c r="I28" s="109"/>
    </row>
    <row r="29" spans="2:9">
      <c r="B29" s="110"/>
      <c r="C29" s="111"/>
      <c r="D29" s="111"/>
      <c r="E29" s="111"/>
      <c r="F29" s="111"/>
      <c r="G29" s="111"/>
      <c r="H29" s="111"/>
      <c r="I29" s="112"/>
    </row>
    <row r="30" spans="2:9">
      <c r="B30" s="110"/>
      <c r="C30" s="111"/>
      <c r="D30" s="111"/>
      <c r="E30" s="111"/>
      <c r="F30" s="111"/>
      <c r="G30" s="111"/>
      <c r="H30" s="111"/>
      <c r="I30" s="112"/>
    </row>
    <row r="31" spans="2:9">
      <c r="B31" s="110"/>
      <c r="C31" s="111"/>
      <c r="D31" s="111"/>
      <c r="E31" s="111"/>
      <c r="F31" s="111"/>
      <c r="G31" s="111"/>
      <c r="H31" s="111"/>
      <c r="I31" s="112"/>
    </row>
    <row r="32" spans="2:9" ht="15.75" thickBot="1">
      <c r="B32" s="113"/>
      <c r="C32" s="114"/>
      <c r="D32" s="114"/>
      <c r="E32" s="114"/>
      <c r="F32" s="114"/>
      <c r="G32" s="114"/>
      <c r="H32" s="114"/>
      <c r="I32" s="115"/>
    </row>
    <row r="33" spans="2:9" ht="34.5" customHeight="1" thickBot="1">
      <c r="B33" s="101" t="s">
        <v>143</v>
      </c>
      <c r="C33" s="102"/>
      <c r="D33" s="102"/>
      <c r="E33" s="103"/>
      <c r="F33" s="104" t="str">
        <f>+Hoja1!D26</f>
        <v>Herramientas en línea, equipos y espacios en el FABLAB de la universidad.</v>
      </c>
      <c r="G33" s="105"/>
      <c r="H33" s="105"/>
      <c r="I33" s="106"/>
    </row>
    <row r="34" spans="2:9" ht="15.75" thickBot="1">
      <c r="B34" s="98" t="s">
        <v>144</v>
      </c>
      <c r="C34" s="99"/>
      <c r="D34" s="99"/>
      <c r="E34" s="99"/>
      <c r="F34" s="100" t="s">
        <v>84</v>
      </c>
      <c r="G34" s="100"/>
      <c r="H34" s="20" t="s">
        <v>54</v>
      </c>
      <c r="I34" s="44">
        <f>+Hoja1!D28</f>
        <v>0.2</v>
      </c>
    </row>
    <row r="35" spans="2:9">
      <c r="B35" s="91" t="s">
        <v>145</v>
      </c>
      <c r="C35" s="92"/>
      <c r="D35" s="92"/>
      <c r="E35" s="92"/>
      <c r="F35" s="92"/>
      <c r="G35" s="92"/>
      <c r="H35" s="92"/>
      <c r="I35" s="93"/>
    </row>
    <row r="36" spans="2:9" ht="14.45" customHeight="1">
      <c r="B36" s="116" t="str">
        <f>+Hoja1!E29</f>
        <v>Bibliografía Obligatoria: Taulli (2019) sobre IA; Lahoz-Beltra (2004) sobre Bioinformática; George (2020) sobre Lean Six Sigma; Sharda et al. (2021) sobre Analytics e IA.</v>
      </c>
      <c r="C36" s="117"/>
      <c r="D36" s="117"/>
      <c r="E36" s="118"/>
      <c r="F36" s="121" t="str">
        <f>+Hoja1!E30</f>
        <v>Bibliografía Complementaria: Coeckelbergh (2021) sobre Ética de la IA.</v>
      </c>
      <c r="G36" s="117"/>
      <c r="H36" s="117"/>
      <c r="I36" s="122"/>
    </row>
    <row r="37" spans="2:9">
      <c r="B37" s="110"/>
      <c r="C37" s="111"/>
      <c r="D37" s="111"/>
      <c r="E37" s="119"/>
      <c r="F37" s="123"/>
      <c r="G37" s="111"/>
      <c r="H37" s="111"/>
      <c r="I37" s="112"/>
    </row>
    <row r="38" spans="2:9">
      <c r="B38" s="110"/>
      <c r="C38" s="111"/>
      <c r="D38" s="111"/>
      <c r="E38" s="119"/>
      <c r="F38" s="123"/>
      <c r="G38" s="111"/>
      <c r="H38" s="111"/>
      <c r="I38" s="112"/>
    </row>
    <row r="39" spans="2:9">
      <c r="B39" s="110"/>
      <c r="C39" s="111"/>
      <c r="D39" s="111"/>
      <c r="E39" s="119"/>
      <c r="F39" s="123"/>
      <c r="G39" s="111"/>
      <c r="H39" s="111"/>
      <c r="I39" s="112"/>
    </row>
    <row r="40" spans="2:9">
      <c r="B40" s="110"/>
      <c r="C40" s="111"/>
      <c r="D40" s="111"/>
      <c r="E40" s="119"/>
      <c r="F40" s="123"/>
      <c r="G40" s="111"/>
      <c r="H40" s="111"/>
      <c r="I40" s="112"/>
    </row>
    <row r="41" spans="2:9">
      <c r="B41" s="110"/>
      <c r="C41" s="111"/>
      <c r="D41" s="111"/>
      <c r="E41" s="119"/>
      <c r="F41" s="123"/>
      <c r="G41" s="111"/>
      <c r="H41" s="111"/>
      <c r="I41" s="112"/>
    </row>
    <row r="42" spans="2:9" ht="15.75" thickBot="1">
      <c r="B42" s="113"/>
      <c r="C42" s="114"/>
      <c r="D42" s="114"/>
      <c r="E42" s="120"/>
      <c r="F42" s="124"/>
      <c r="G42" s="114"/>
      <c r="H42" s="114"/>
      <c r="I42" s="115"/>
    </row>
    <row r="43" spans="2:9">
      <c r="B43" s="91" t="s">
        <v>146</v>
      </c>
      <c r="C43" s="92"/>
      <c r="D43" s="92"/>
      <c r="E43" s="92"/>
      <c r="F43" s="92"/>
      <c r="G43" s="92"/>
      <c r="H43" s="92"/>
      <c r="I43" s="93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3" t="s">
        <v>64</v>
      </c>
      <c r="H44" s="53"/>
      <c r="I44" s="94"/>
    </row>
    <row r="45" spans="2:9">
      <c r="B45" s="22">
        <f>+Hoja1!D31</f>
        <v>2</v>
      </c>
      <c r="C45" s="47">
        <f>+Hoja1!D32</f>
        <v>45544</v>
      </c>
      <c r="D45" s="10" t="str">
        <f>+Hoja1!D33</f>
        <v>José Divitt Velosa</v>
      </c>
      <c r="E45" s="10" t="str">
        <f>+Hoja1!D34</f>
        <v>José Divitt Velosa</v>
      </c>
      <c r="F45" s="10" t="str">
        <f>+Hoja1!D35</f>
        <v>Jose Divitt Velosa</v>
      </c>
      <c r="G45" s="52" t="str">
        <f>+Hoja1!D36</f>
        <v>Ajuste de temáticas</v>
      </c>
      <c r="H45" s="52"/>
      <c r="I45" s="88"/>
    </row>
    <row r="46" spans="2:9">
      <c r="B46" s="22"/>
      <c r="C46" s="10"/>
      <c r="D46" s="10"/>
      <c r="E46" s="10"/>
      <c r="F46" s="10"/>
      <c r="G46" s="52"/>
      <c r="H46" s="52"/>
      <c r="I46" s="88"/>
    </row>
    <row r="47" spans="2:9">
      <c r="B47" s="22"/>
      <c r="C47" s="10"/>
      <c r="D47" s="10"/>
      <c r="E47" s="10"/>
      <c r="F47" s="10"/>
      <c r="G47" s="52"/>
      <c r="H47" s="52"/>
      <c r="I47" s="88"/>
    </row>
    <row r="48" spans="2:9">
      <c r="B48" s="22"/>
      <c r="C48" s="10"/>
      <c r="D48" s="10"/>
      <c r="E48" s="10"/>
      <c r="F48" s="10"/>
      <c r="G48" s="52"/>
      <c r="H48" s="52"/>
      <c r="I48" s="88"/>
    </row>
    <row r="49" spans="2:9">
      <c r="B49" s="22"/>
      <c r="C49" s="10"/>
      <c r="D49" s="10"/>
      <c r="E49" s="10"/>
      <c r="F49" s="10"/>
      <c r="G49" s="52"/>
      <c r="H49" s="52"/>
      <c r="I49" s="88"/>
    </row>
    <row r="50" spans="2:9" ht="15.75" thickBot="1">
      <c r="B50" s="23"/>
      <c r="C50" s="24"/>
      <c r="D50" s="24"/>
      <c r="E50" s="24"/>
      <c r="F50" s="24"/>
      <c r="G50" s="89"/>
      <c r="H50" s="89"/>
      <c r="I50" s="90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147</v>
      </c>
      <c r="B1" s="11" t="s">
        <v>148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149</v>
      </c>
    </row>
    <row r="2" spans="1:8">
      <c r="A2" s="11" t="s">
        <v>90</v>
      </c>
      <c r="B2" s="11" t="s">
        <v>150</v>
      </c>
      <c r="C2" s="11">
        <v>3</v>
      </c>
      <c r="D2" s="11">
        <v>54</v>
      </c>
      <c r="E2" s="11">
        <v>90</v>
      </c>
      <c r="F2" s="11" t="s">
        <v>151</v>
      </c>
      <c r="G2" s="13">
        <v>0.2</v>
      </c>
      <c r="H2" s="11" t="s">
        <v>129</v>
      </c>
    </row>
    <row r="3" spans="1:8">
      <c r="A3" s="11" t="s">
        <v>152</v>
      </c>
      <c r="B3" s="11" t="s">
        <v>153</v>
      </c>
      <c r="C3" s="11">
        <v>4</v>
      </c>
      <c r="D3" s="11">
        <v>72</v>
      </c>
      <c r="E3" s="11">
        <v>120</v>
      </c>
      <c r="F3" s="11" t="s">
        <v>154</v>
      </c>
      <c r="G3" s="13">
        <v>0.3</v>
      </c>
    </row>
    <row r="4" spans="1:8">
      <c r="A4" s="11" t="s">
        <v>155</v>
      </c>
      <c r="B4" s="11" t="s">
        <v>156</v>
      </c>
      <c r="C4" s="11">
        <v>5</v>
      </c>
      <c r="D4" s="11">
        <v>90</v>
      </c>
      <c r="E4" s="11">
        <v>102</v>
      </c>
      <c r="F4" s="11" t="s">
        <v>157</v>
      </c>
      <c r="G4" s="13">
        <v>0.4</v>
      </c>
    </row>
    <row r="5" spans="1:8">
      <c r="A5" s="11" t="s">
        <v>158</v>
      </c>
      <c r="B5" s="11" t="s">
        <v>159</v>
      </c>
      <c r="C5" s="11">
        <v>6</v>
      </c>
      <c r="D5" s="11">
        <v>90</v>
      </c>
      <c r="E5" s="11">
        <v>150</v>
      </c>
      <c r="F5" s="11" t="s">
        <v>160</v>
      </c>
      <c r="G5" s="13">
        <v>0.5</v>
      </c>
    </row>
    <row r="6" spans="1:8">
      <c r="B6" s="11" t="s">
        <v>161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162</v>
      </c>
      <c r="D7" s="11">
        <v>144</v>
      </c>
      <c r="E7" s="11">
        <v>240</v>
      </c>
      <c r="G7" s="13">
        <v>0.7</v>
      </c>
    </row>
    <row r="8" spans="1:8">
      <c r="B8" s="11" t="s">
        <v>163</v>
      </c>
      <c r="D8" s="11">
        <v>32</v>
      </c>
      <c r="E8" s="11">
        <v>64</v>
      </c>
      <c r="G8" s="13">
        <v>0.8</v>
      </c>
    </row>
    <row r="9" spans="1:8">
      <c r="B9" s="11" t="s">
        <v>164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2026-02-21T15:58:20Z</dcterms:modified>
  <cp:category/>
  <cp:contentStatus/>
</cp:coreProperties>
</file>