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xr:revisionPtr revIDLastSave="19" documentId="11_2B6493F2CD5A56D7C1399B4790BD6662E2873085" xr6:coauthVersionLast="47" xr6:coauthVersionMax="47" xr10:uidLastSave="{E13CFE3B-497F-44FE-8919-F27B5396F328}"/>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<sst xmlns="http://schemas.openxmlformats.org/spreadsheetml/2006/main" count="89" uniqueCount="86">
  <si>
    <t>FORMATO</t>
  </si>
  <si>
    <t>Versión:  1</t>
  </si>
  <si>
    <t>Código: IAC-201-f1</t>
  </si>
  <si>
    <t xml:space="preserve">SYLLABUS </t>
  </si>
  <si>
    <t>Fecha: PENDIENTE</t>
  </si>
  <si>
    <t>1.	Información General de la Unidad de Estudio</t>
  </si>
  <si>
    <t>Año</t>
  </si>
  <si>
    <t>Código Plan de estudios</t>
  </si>
  <si>
    <t>PFPLEMBOG005</t>
  </si>
  <si>
    <t>Código Unidad de Estudio</t>
  </si>
  <si>
    <t>HFPN0060</t>
  </si>
  <si>
    <t>Tipo Unidad de estudio</t>
  </si>
  <si>
    <t>Nuclear</t>
  </si>
  <si>
    <t>Modalidad</t>
  </si>
  <si>
    <t>Presencial</t>
  </si>
  <si>
    <t>X</t>
  </si>
  <si>
    <t>Virtual</t>
  </si>
  <si>
    <t>Presencial y Virtual</t>
  </si>
  <si>
    <t xml:space="preserve">Nivel </t>
  </si>
  <si>
    <t>Pregrado</t>
  </si>
  <si>
    <t>Programas</t>
  </si>
  <si>
    <t>Lenguas Modernas</t>
  </si>
  <si>
    <t>Nombre Unidad  de estudios</t>
  </si>
  <si>
    <t>El signo y sus significados</t>
  </si>
  <si>
    <t>Créditos Académicos</t>
  </si>
  <si>
    <t>3</t>
  </si>
  <si>
    <t>HAD</t>
  </si>
  <si>
    <t>54</t>
  </si>
  <si>
    <t>HTA</t>
  </si>
  <si>
    <t>90</t>
  </si>
  <si>
    <t>HT</t>
  </si>
  <si>
    <t>2.	Descripción  Resultados de Aprendizaje.</t>
  </si>
  <si>
    <t>Descripción de la unidad de estudio</t>
  </si>
  <si>
    <t>Los seres humanos se caracterizan por producir y usar signos para comunicarse entre sí. No obstante, la funcionalidad de los signos no se reduce a la comunicación; de hecho, los procesos de significación han permitido estructurar nuestra realidad y re-crearla en el transcurso del tiempo. Así mismo, los signos son instrumentos de preservación de la memoria de las culturas. Por lo anterior, es necesario que el profesional en Lenguas Modernas sea consciente de la complejidad de los procesos semióticos en diferentes contextos (sociales, culturales y empresariales, por ejemplo) y los estudie de manera rigurosa. Así, podrá crear una estrategia de comunicación semiótica que reconozca y movilice los signos de las organizaciones, de la cultura en la que está situada y de su público objetivo.</t>
  </si>
  <si>
    <t>Resultado de Aprendizaje</t>
  </si>
  <si>
    <t>Aplica los conceptos semióticos para construir una propuesta de tipo visual, asociada a redes sociales.
Criterios de Evaluación:
- 1. Identifica del objeto de estudio de la semiótica, sus fundamentos teóricos y las herramientas que ofrece para la comprensión de los procesos de significación.
- 2. Crea herramientas semióticas de acuerdo con su enfoque persuasivo a través del storytelling visual y las figuras retóricas visuales
- 3. Interpreta diversos textos de la cultura a partir del marco conceptual y metodológico de la semiótica.
- 4. Usa la teoría de la semiótica para proponer signos que comuniquen la identidad corporativa de las organizaciones.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</si>
  <si>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</si>
  <si>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</si>
  <si>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</si>
  <si>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</si>
  <si>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</si>
  <si>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</si>
  <si>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</si>
  <si>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</si>
  <si>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</si>
  <si>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TEORÍA DEL SIGNO Conceptos generales. Perspectivas y niveles de estudio: semiótica general, particular y aplicada. Enfoques sobre el signo: Saussure y Peirce. Tipología de signos.
SEMIÓTICA DE LA CULTURA Significación: ámbito, cultura y contexto. Procesos de significación. Semiosfera: semiótica de la mentalidad y de la otredad. Concepto de texto.
SEMIÓTICA DE LA MARCA Identidad corporativa. Branding. Tipología de las marcas. Componentes de la marca: símbolos identificadores. Semiótica del color.
EL DISCURSO PUBLICITARIO Retórica de la imagen. Figuras retóricas en la publicidad. Storytelling visual.</t>
  </si>
  <si>
    <t>4.	Esquema de Calificación</t>
  </si>
  <si>
    <t>Esquema de Calificación: (Asignación puntajes, notas y ponderación que tienen las actividades desarrolladas en la Unidad de Estudio).
La evaluación será en una escala de cero (0) a cien (100).40% Análisis de caso- tendencias de marca- figuras retóricas- industrias culturales 50% Storytelling- extensión y ampliación de marca. 10% Presentación de reto.</t>
  </si>
  <si>
    <t>5. Recursos Tecnológicos (Describir los recursos como software, sala de cómputos, laboratorios)</t>
  </si>
  <si>
    <t>aula virtual. Bases de datos. Biblioteca virtual Chat gpt, páginas web de organizaciones</t>
  </si>
  <si>
    <t>6. Componente de Lengua extranjera</t>
  </si>
  <si>
    <t>Inglés</t>
  </si>
  <si>
    <t>Porcentaje</t>
  </si>
  <si>
    <t>0.1</t>
  </si>
  <si>
    <t>7.	Bibliografía Obligatoria y Complementaria.</t>
  </si>
  <si>
    <t>Bibliografía Obligatoria
Baccino, R. (2014). Herramientas del lenguaje visual. En El lenguaje visual.
Barthes, R. (1980). Retórica de la imagen. En Lo obvio y lo obtuso: Imágenes, gestos, voces (pp. 29–47). Paidós. https://www.catedras.fsoc.uba.ar/damico/Barthes_Ret%C3%B3rica_de_la_imagen.pdf
Batey, M. (2013). El significado de la marca: Cómo y por qué ponemos sentido a productos y servicios. Granica. https://www.researchgate.net/publication/322438369_El_significado_de_la_marca_Como_y_por_que_ponemos_sentido_a_productos_y_servicios
Castañares, W. (2004). El ensayo publicitario. En El ensayo en el ámbito del español actual: Siglo XXI: novela, teatro, ensayo, poesía (pp. 223–234). Arco/Libros.
Castelló i Martínez, A. (2020). Los nuevos retos en marketing para conectar con el consumidor: Storytelling y Branded Content. Revista Mediterránea de Comunicación, 11(1), 23–35. https://doi.org/10.14198/MEDCOM2020.11.1.8
Costa, J. (2004). La imagen de marca. Paidós.
Daniel Dómínguez. (2021, 7 de julio). La forma más rápida de posicionar tu marca (brand slogan) [Video]. YouTube. https://www.youtube.com/watch?v=VwqL8v_LYH4
Eco, U. (2000). Tratado de semiótica general. Lumen.
Floch, J. M. (1993). Semiótica, marketing y comunicación: Bajo los signos, las estrategias. Paidós.
García, D., Coca, C., Tur-Viñes, V., &amp; Rodrigo Martín, I. (2021). Narrativas transmedia y contenidos digitales. Gedisa. https://www.gedisa.com/libro/narrativas-transmedia-y-contenidos-digitales_14229/
Hoog, J. (2017). Branding: el arte de crear una marca. Paidós.
Klimenko, J. (2006). Objetos y objetivos. En Manual de semiótica general (pp. 31–48). Fundación Universidad de Bogotá Jorge Tadeo Lozano. https://repository.utadeo.edu.co/bitstream/handle/20.500.12010/1400/manual_de_semiotica_pp.web-10-15.pdf
Lindekens, J. (2011). La imagen fija y en movimiento. En La imagen (pp. 9–37). Universidad de Barcelona.
Magariños, J. (2002). El estudio de los signos: Peirce y Saussure. Eudeba. https://www.academia.edu/4461900/El_estudio_de_los_signos_Peirce_y_Saussure
Maldonado, T. (2017, 20 de junio). La retórica de la imagen Roland Barthes. https://maldonado-tino.blogspot.com/2017/06/la-retorica-de-la-imagen-roland-barthes.html
Marín, L., &amp; Rubio, A. (2010). Alianza de marcas: ¿Por qué, cómo y cuándo? Innovar, 20(37), 139–147. https://www.redalyc.org/pdf/818/81816958011.pdf
 https://www.researchgate.net/publication/277143849_Alianza_de_marcas_Por_que_como_y_cuando
Mario Arias. (2021, 15 de febrero). El viaje del héroe explicado con películas [Video]. YouTube. https://www.youtube.com/watch?v=V5w3vA_LYH4
Marrone, G. (1990). El pasado, el signo. En Signos: Una introducción a la semiótica (pp. 11–28). Eudeba.
Martínez, L. (2015). El valor semiótico del color en la construcción de la marca. Revista Signa, 24, 145–160. https://doi.org/10.5944/signa.vol24.2015.12388
McLuhan, M., &amp; Fiore, Q. (1988). El medio es el masaje. Paidós.
Regalado, M. A., &amp; Marcos Llamas, F. (2013). El diseño como storytelling. El profesional de la información, 22(6), 492–500. https://doi.org/10.3145/epi.2013.nov.03
Sebeok, T. (1993). Seis especies de signos. En Signos: Una introducción a la semiótica (pp. 53–54). Paidós.
Villafañe, J. (2008). Imagen positiva: Gestión estratégica de la imagen de las empresas. Pirámide.</t>
  </si>
  <si>
    <t>Bibliografía Complementaria
•  Borda, J., &amp; Ruiz, E. (2012). Estrategias de comunicación de las marcas en entornos digitales. Revista Española de Investigación de Marketing ESIC, 16(1), 41–56. https://doi.org/10.1016/S1138-1442(12)70006-5
•  Cortés, M. (2017). La semiótica en el siglo XXI: Una revisión epistemológica. Revista Colombiana de Semiótica, 12(3), 33–47. https://doi.org/10.22395/rcs.v12n3a3
•  Eco, U. (1990). Semiótica y filosofía del lenguaje. Editorial Lumen.
•  Espinoza, D. (2020). El uso de estrategias semióticas para entrevistas políticas: Análisis desde el enfoque de la semiótica persuasiva. Revista Logos Ciencia &amp; Tecnología, 12(2), 24–32. https://doi.org/10.22335/rlct.v12i2.1196
•  Greimas, A. J. (2003). Semántica estructural. La búsqueda de un método (2ª ed.). Gredos.
•  Hernández, Y. Y., &amp; López, A. (2014). Discursos publicitarios: Los símbolos del poder actúan en los cuerpos. La Asociación Española de Comunicación.
•  López, R. (2021). Branding cognitivo: Gestión estratégica de la comunicación. Ediciones Pirámide.
•  Martín-Barbero, J. (2010). Cultura híbridas: Estrategias para entrar y salir de la modernidad. Grijalbo.
•  Mchail, D. (2012). Diccionario básico de semiología. La Esfera.
•  Niño Rojas, V. (2019). Semiótica y lingüística: Fundamentos (4ª ed.). Ecoe Ediciones.
•  Ortiz, H. (2016). La semiótica como herramienta para comprender la comunicación visual. Revista Interamericana de Comunicación Visual, 9(1), 12–19. https://doi.org/10.37467/revvisual.v9.3481
•  Trawart, T., Indrajanti, L. Y., Sabanari, C., Yukiwati, S., &amp; Diyanti, J. (2022). Brand meaning and its social categories: A semiotic approach for future marketing. Journal of Eastern European and Central Asian Research (JEECAR, 353), 826–832.</t>
  </si>
  <si>
    <t>8. Control de Cambios</t>
  </si>
  <si>
    <t># versión</t>
  </si>
  <si>
    <t>Fecha</t>
  </si>
  <si>
    <t>Elaboró</t>
  </si>
  <si>
    <t>Revisó</t>
  </si>
  <si>
    <t>Aprobó</t>
  </si>
  <si>
    <t>Descripción del cambio</t>
  </si>
  <si>
    <t>Paola Ospina</t>
  </si>
  <si>
    <t>Diana Peña Rojas</t>
  </si>
  <si>
    <t>Felipe Espinosa</t>
  </si>
  <si>
    <t>Adaptación formato NV (2)</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</si>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</sst>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7">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14" fontId="0" fillId="0" borderId="1" xfId="0" applyNumberFormat="1" applyBorder="1" applyAlignment="1">
      <alignment horizontal="left" vertical="top" wrapText="1"/>
    </xf>
    <xf numFmtId="14" fontId="0" fillId="0" borderId="1" xfId="0" applyNumberFormat="1" applyBorder="1" applyAlignment="1">
      <alignment wrapText="1"/>
    </xf>
    <xf numFmtId="0" fontId="0" fillId="0" borderId="28" xfId="0" applyBorder="1" applyAlignment="1">
      <alignment horizontal="left"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0" fillId="0" borderId="1" xfId="0" applyBorder="1" applyAlignment="1">
      <alignment horizontal="left" vertical="top"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1" fillId="0" borderId="17" xfId="0" applyFont="1" applyBorder="1" applyAlignment="1">
      <alignment horizont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1" xfId="0" applyBorder="1" applyAlignment="1">
      <alignment vertical="top"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0" fillId="0" borderId="1" xfId="0" applyBorder="1" applyAlignment="1">
      <alignment wrapText="1"/>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34" xfId="0" applyFont="1" applyBorder="1" applyAlignment="1">
      <alignment horizontal="center" vertical="center"/>
    </xf>
    <xf numFmtId="0" fontId="0" fillId="0" borderId="1" xfId="0" applyBorder="1" applyAlignment="1">
      <alignment horizontal="left" wrapText="1"/>
    </xf>
    <xf numFmtId="0" fontId="0" fillId="0" borderId="12" xfId="0" applyBorder="1" applyAlignment="1">
      <alignment horizontal="left"/>
    </xf>
    <xf numFmtId="0" fontId="0" fillId="0" borderId="2" xfId="0" applyBorder="1" applyAlignment="1">
      <alignment horizontal="left"/>
    </xf>
    <xf numFmtId="0" fontId="1" fillId="0" borderId="37" xfId="0" applyFont="1" applyBorder="1" applyAlignment="1">
      <alignment horizontal="center"/>
    </xf>
    <xf numFmtId="0" fontId="0" fillId="0" borderId="1" xfId="0" applyBorder="1" applyAlignment="1">
      <alignment horizontal="center" wrapText="1"/>
    </xf>
    <xf numFmtId="0" fontId="1" fillId="0" borderId="30" xfId="0" applyFont="1" applyBorder="1" applyAlignment="1">
      <alignment horizontal="justify" vertical="top"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32" zoomScaleNormal="100" workbookViewId="0">
      <selection activeCell="B36" sqref="B36:E42"/>
    </sheetView>
  </sheetViews>
  <sheetFormatPr defaultColWidth="10.85546875" defaultRowHeight="15"/>
  <cols>
    <col min="1" max="1" width="3.140625" style="9" customWidth="1"/>
    <col min="2" max="2" width="9.7109375" style="9" customWidth="1"/>
    <col min="3" max="3" width="11.28515625" style="9" bestFit="1" customWidth="1"/>
    <col min="4" max="4" width="12.28515625" style="9" customWidth="1"/>
    <col min="5" max="5" width="10.140625" style="9" customWidth="1"/>
    <col min="6" max="7" width="10.85546875" style="9" customWidth="1"/>
    <col min="8" max="8" width="9.85546875" style="9" customWidth="1"/>
    <col min="9" max="9" width="16.7109375" style="9" customWidth="1"/>
    <col min="10" max="10" width="10.85546875" style="9" customWidth="1"/>
    <col min="11" max="16384" width="10.85546875" style="9"/>
  </cols>
  <sheetData>
    <row r="1" spans="2:9" ht="15.75" customHeight="1" thickBot="1">
      <c r="C1" s="10"/>
      <c r="D1" s="10"/>
      <c r="E1" s="10"/>
      <c r="F1" s="10"/>
      <c r="G1" s="10"/>
      <c r="H1" s="10"/>
    </row>
    <row r="2" spans="2:9" ht="22.5" customHeight="1" thickTop="1">
      <c r="B2" s="40"/>
      <c r="C2" s="34" t="s">
        <v>0</v>
      </c>
      <c r="D2" s="69"/>
      <c r="E2" s="69"/>
      <c r="F2" s="69"/>
      <c r="G2" s="69"/>
      <c r="H2" s="70"/>
      <c r="I2" s="4" t="s">
        <v>1</v>
      </c>
    </row>
    <row r="3" spans="2:9" ht="20.25" customHeight="1">
      <c r="B3" s="71"/>
      <c r="C3" s="72"/>
      <c r="D3" s="73"/>
      <c r="E3" s="73"/>
      <c r="F3" s="73"/>
      <c r="G3" s="73"/>
      <c r="H3" s="74"/>
      <c r="I3" s="5" t="s">
        <v>2</v>
      </c>
    </row>
    <row r="4" spans="2:9" ht="21" customHeight="1" thickBot="1">
      <c r="B4" s="45" t="s">
        <v>3</v>
      </c>
      <c r="C4" s="75"/>
      <c r="D4" s="75"/>
      <c r="E4" s="75"/>
      <c r="F4" s="75"/>
      <c r="G4" s="75"/>
      <c r="H4" s="75"/>
      <c r="I4" s="6" t="s">
        <v>4</v>
      </c>
    </row>
    <row r="5" spans="2:9" ht="16.5" customHeight="1" thickTop="1" thickBot="1">
      <c r="B5" s="38"/>
      <c r="C5" s="76"/>
      <c r="D5" s="76"/>
      <c r="E5" s="76"/>
      <c r="F5" s="76"/>
      <c r="G5" s="76"/>
      <c r="H5" s="76"/>
      <c r="I5" s="77"/>
    </row>
    <row r="6" spans="2:9">
      <c r="B6" s="35" t="s">
        <v>5</v>
      </c>
      <c r="C6" s="78"/>
      <c r="D6" s="78"/>
      <c r="E6" s="78"/>
      <c r="F6" s="78"/>
      <c r="G6" s="78"/>
      <c r="H6" s="78"/>
      <c r="I6" s="79"/>
    </row>
    <row r="7" spans="2:9" ht="60" customHeight="1">
      <c r="B7" s="21" t="s">
        <v>6</v>
      </c>
      <c r="C7" s="26">
        <v>2026</v>
      </c>
      <c r="D7" s="2" t="s">
        <v>7</v>
      </c>
      <c r="E7" s="1" t="s">
        <v>8</v>
      </c>
      <c r="F7" s="2" t="s">
        <v>9</v>
      </c>
      <c r="G7" s="26" t="s">
        <v>10</v>
      </c>
      <c r="H7" s="2" t="s">
        <v>11</v>
      </c>
      <c r="I7" s="27" t="s">
        <v>12</v>
      </c>
    </row>
    <row r="8" spans="2:9" ht="30" customHeight="1">
      <c r="B8" s="21" t="s">
        <v>13</v>
      </c>
      <c r="C8" s="3" t="s">
        <v>14</v>
      </c>
      <c r="D8" s="2" t="s">
        <v>15</v>
      </c>
      <c r="E8" s="3" t="s">
        <v>16</v>
      </c>
      <c r="F8" s="2"/>
      <c r="G8" s="2" t="s">
        <v>17</v>
      </c>
      <c r="H8" s="39"/>
      <c r="I8" s="80"/>
    </row>
    <row r="9" spans="2:9" ht="45" customHeight="1">
      <c r="B9" s="22" t="s">
        <v>18</v>
      </c>
      <c r="C9" s="28" t="s">
        <v>19</v>
      </c>
      <c r="D9" s="3" t="s">
        <v>20</v>
      </c>
      <c r="E9" s="41" t="s">
        <v>21</v>
      </c>
      <c r="F9" s="81"/>
      <c r="G9" s="2" t="s">
        <v>22</v>
      </c>
      <c r="H9" s="41" t="s">
        <v>23</v>
      </c>
      <c r="I9" s="81"/>
    </row>
    <row r="10" spans="2:9" ht="30.75" customHeight="1" thickBot="1">
      <c r="B10" s="23" t="s">
        <v>24</v>
      </c>
      <c r="C10" s="29" t="s">
        <v>25</v>
      </c>
      <c r="D10" s="24" t="s">
        <v>26</v>
      </c>
      <c r="E10" s="29" t="s">
        <v>27</v>
      </c>
      <c r="F10" s="24" t="s">
        <v>28</v>
      </c>
      <c r="G10" s="29" t="s">
        <v>29</v>
      </c>
      <c r="H10" s="24" t="s">
        <v>30</v>
      </c>
      <c r="I10" s="25">
        <f>E10+G10</f>
        <v>144</v>
      </c>
    </row>
    <row r="11" spans="2:9">
      <c r="B11" s="44" t="s">
        <v>31</v>
      </c>
      <c r="C11" s="78"/>
      <c r="D11" s="78"/>
      <c r="E11" s="78"/>
      <c r="F11" s="78"/>
      <c r="G11" s="78"/>
      <c r="H11" s="78"/>
      <c r="I11" s="79"/>
    </row>
    <row r="12" spans="2:9" ht="31.5" customHeight="1">
      <c r="B12" s="43" t="s">
        <v>32</v>
      </c>
      <c r="C12" s="81"/>
      <c r="D12" s="47" t="s">
        <v>33</v>
      </c>
      <c r="E12" s="82"/>
      <c r="F12" s="82"/>
      <c r="G12" s="82"/>
      <c r="H12" s="82"/>
      <c r="I12" s="80"/>
    </row>
    <row r="13" spans="2:9" ht="15.75" customHeight="1" thickBot="1">
      <c r="B13" s="62" t="s">
        <v>34</v>
      </c>
      <c r="C13" s="83"/>
      <c r="D13" s="64" t="s">
        <v>35</v>
      </c>
      <c r="E13" s="84"/>
      <c r="F13" s="84"/>
      <c r="G13" s="84"/>
      <c r="H13" s="84"/>
      <c r="I13" s="85"/>
    </row>
    <row r="14" spans="2:9">
      <c r="B14" s="44" t="s">
        <v>36</v>
      </c>
      <c r="C14" s="78"/>
      <c r="D14" s="78"/>
      <c r="E14" s="78"/>
      <c r="F14" s="78"/>
      <c r="G14" s="78"/>
      <c r="H14" s="78"/>
      <c r="I14" s="79"/>
    </row>
    <row r="15" spans="2:9">
      <c r="B15" s="36" t="s">
        <v>37</v>
      </c>
      <c r="C15" s="76"/>
      <c r="D15" s="76"/>
      <c r="E15" s="76"/>
      <c r="F15" s="76"/>
      <c r="G15" s="76"/>
      <c r="H15" s="76"/>
      <c r="I15" s="77"/>
    </row>
    <row r="16" spans="2:9">
      <c r="B16" s="86"/>
      <c r="C16" s="87"/>
      <c r="D16" s="87"/>
      <c r="E16" s="87"/>
      <c r="F16" s="87"/>
      <c r="G16" s="87"/>
      <c r="H16" s="87"/>
      <c r="I16" s="88"/>
    </row>
    <row r="17" spans="2:9" ht="15.75" customHeight="1" thickBot="1">
      <c r="B17" s="89"/>
      <c r="C17" s="90"/>
      <c r="D17" s="90"/>
      <c r="E17" s="90"/>
      <c r="F17" s="90"/>
      <c r="G17" s="90"/>
      <c r="H17" s="90"/>
      <c r="I17" s="91"/>
    </row>
    <row r="18" spans="2:9" ht="15.75" customHeight="1" thickBot="1">
      <c r="B18" s="42" t="s">
        <v>38</v>
      </c>
      <c r="C18" s="92"/>
      <c r="D18" s="92"/>
      <c r="E18" s="92"/>
      <c r="F18" s="92"/>
      <c r="G18" s="92"/>
      <c r="H18" s="92"/>
      <c r="I18" s="93"/>
    </row>
    <row r="19" spans="2:9">
      <c r="B19" s="13" t="s">
        <v>39</v>
      </c>
      <c r="C19" s="14" t="s">
        <v>40</v>
      </c>
      <c r="D19" s="13" t="s">
        <v>41</v>
      </c>
      <c r="E19" s="46" t="s">
        <v>42</v>
      </c>
      <c r="F19" s="94"/>
      <c r="G19" s="15" t="s">
        <v>43</v>
      </c>
      <c r="H19" s="68" t="s">
        <v>44</v>
      </c>
      <c r="I19" s="94"/>
    </row>
    <row r="20" spans="2:9">
      <c r="B20" s="66"/>
      <c r="C20" s="95"/>
      <c r="D20" s="54" t="s">
        <v>45</v>
      </c>
      <c r="E20" s="76"/>
      <c r="F20" s="95"/>
      <c r="G20" s="49"/>
      <c r="H20" s="76"/>
      <c r="I20" s="95"/>
    </row>
    <row r="21" spans="2:9">
      <c r="B21" s="86"/>
      <c r="C21" s="96"/>
      <c r="D21" s="86"/>
      <c r="E21" s="87"/>
      <c r="F21" s="96"/>
      <c r="G21" s="86"/>
      <c r="H21" s="87"/>
      <c r="I21" s="96"/>
    </row>
    <row r="22" spans="2:9">
      <c r="B22" s="86"/>
      <c r="C22" s="96"/>
      <c r="D22" s="86"/>
      <c r="E22" s="87"/>
      <c r="F22" s="96"/>
      <c r="G22" s="86"/>
      <c r="H22" s="87"/>
      <c r="I22" s="96"/>
    </row>
    <row r="23" spans="2:9">
      <c r="B23" s="86"/>
      <c r="C23" s="96"/>
      <c r="D23" s="86"/>
      <c r="E23" s="87"/>
      <c r="F23" s="96"/>
      <c r="G23" s="86"/>
      <c r="H23" s="87"/>
      <c r="I23" s="96"/>
    </row>
    <row r="24" spans="2:9">
      <c r="B24" s="86"/>
      <c r="C24" s="96"/>
      <c r="D24" s="86"/>
      <c r="E24" s="87"/>
      <c r="F24" s="96"/>
      <c r="G24" s="86"/>
      <c r="H24" s="87"/>
      <c r="I24" s="96"/>
    </row>
    <row r="25" spans="2:9">
      <c r="B25" s="86"/>
      <c r="C25" s="96"/>
      <c r="D25" s="86"/>
      <c r="E25" s="87"/>
      <c r="F25" s="96"/>
      <c r="G25" s="86"/>
      <c r="H25" s="87"/>
      <c r="I25" s="96"/>
    </row>
    <row r="26" spans="2:9" ht="15.75" customHeight="1" thickBot="1">
      <c r="B26" s="97"/>
      <c r="C26" s="98"/>
      <c r="D26" s="97"/>
      <c r="E26" s="99"/>
      <c r="F26" s="98"/>
      <c r="G26" s="97"/>
      <c r="H26" s="99"/>
      <c r="I26" s="98"/>
    </row>
    <row r="27" spans="2:9" ht="15.75" customHeight="1" thickBot="1">
      <c r="B27" s="59" t="s">
        <v>46</v>
      </c>
      <c r="C27" s="100"/>
      <c r="D27" s="100"/>
      <c r="E27" s="100"/>
      <c r="F27" s="100"/>
      <c r="G27" s="100"/>
      <c r="H27" s="100"/>
      <c r="I27" s="101"/>
    </row>
    <row r="28" spans="2:9" ht="14.45" customHeight="1">
      <c r="B28" s="37" t="s">
        <v>47</v>
      </c>
      <c r="C28" s="100"/>
      <c r="D28" s="100"/>
      <c r="E28" s="100"/>
      <c r="F28" s="100"/>
      <c r="G28" s="100"/>
      <c r="H28" s="100"/>
      <c r="I28" s="102"/>
    </row>
    <row r="29" spans="2:9">
      <c r="B29" s="86"/>
      <c r="C29" s="87"/>
      <c r="D29" s="87"/>
      <c r="E29" s="87"/>
      <c r="F29" s="87"/>
      <c r="G29" s="87"/>
      <c r="H29" s="87"/>
      <c r="I29" s="96"/>
    </row>
    <row r="30" spans="2:9">
      <c r="B30" s="86"/>
      <c r="C30" s="87"/>
      <c r="D30" s="87"/>
      <c r="E30" s="87"/>
      <c r="F30" s="87"/>
      <c r="G30" s="87"/>
      <c r="H30" s="87"/>
      <c r="I30" s="96"/>
    </row>
    <row r="31" spans="2:9">
      <c r="B31" s="86"/>
      <c r="C31" s="87"/>
      <c r="D31" s="87"/>
      <c r="E31" s="87"/>
      <c r="F31" s="87"/>
      <c r="G31" s="87"/>
      <c r="H31" s="87"/>
      <c r="I31" s="96"/>
    </row>
    <row r="32" spans="2:9" ht="15.75" customHeight="1" thickBot="1">
      <c r="B32" s="97"/>
      <c r="C32" s="99"/>
      <c r="D32" s="99"/>
      <c r="E32" s="99"/>
      <c r="F32" s="99"/>
      <c r="G32" s="99"/>
      <c r="H32" s="99"/>
      <c r="I32" s="98"/>
    </row>
    <row r="33" spans="2:9" ht="34.5" customHeight="1" thickBot="1">
      <c r="B33" s="67" t="s">
        <v>48</v>
      </c>
      <c r="C33" s="92"/>
      <c r="D33" s="92"/>
      <c r="E33" s="103"/>
      <c r="F33" s="53" t="s">
        <v>49</v>
      </c>
      <c r="G33" s="92"/>
      <c r="H33" s="92"/>
      <c r="I33" s="93"/>
    </row>
    <row r="34" spans="2:9" ht="15.75" customHeight="1" thickBot="1">
      <c r="B34" s="55" t="s">
        <v>50</v>
      </c>
      <c r="C34" s="92"/>
      <c r="D34" s="92"/>
      <c r="E34" s="103"/>
      <c r="F34" s="65" t="s">
        <v>51</v>
      </c>
      <c r="G34" s="103"/>
      <c r="H34" s="16" t="s">
        <v>52</v>
      </c>
      <c r="I34" s="30" t="s">
        <v>53</v>
      </c>
    </row>
    <row r="35" spans="2:9">
      <c r="B35" s="44" t="s">
        <v>54</v>
      </c>
      <c r="C35" s="78"/>
      <c r="D35" s="78"/>
      <c r="E35" s="78"/>
      <c r="F35" s="78"/>
      <c r="G35" s="78"/>
      <c r="H35" s="78"/>
      <c r="I35" s="79"/>
    </row>
    <row r="36" spans="2:9" ht="14.45" customHeight="1">
      <c r="B36" s="61" t="s">
        <v>55</v>
      </c>
      <c r="C36" s="76"/>
      <c r="D36" s="76"/>
      <c r="E36" s="77"/>
      <c r="F36" s="63" t="s">
        <v>56</v>
      </c>
      <c r="G36" s="76"/>
      <c r="H36" s="76"/>
      <c r="I36" s="95"/>
    </row>
    <row r="37" spans="2:9">
      <c r="B37" s="86"/>
      <c r="C37" s="87"/>
      <c r="D37" s="87"/>
      <c r="E37" s="88"/>
      <c r="F37" s="104"/>
      <c r="G37" s="87"/>
      <c r="H37" s="87"/>
      <c r="I37" s="96"/>
    </row>
    <row r="38" spans="2:9">
      <c r="B38" s="86"/>
      <c r="C38" s="87"/>
      <c r="D38" s="87"/>
      <c r="E38" s="88"/>
      <c r="F38" s="104"/>
      <c r="G38" s="87"/>
      <c r="H38" s="87"/>
      <c r="I38" s="96"/>
    </row>
    <row r="39" spans="2:9">
      <c r="B39" s="86"/>
      <c r="C39" s="87"/>
      <c r="D39" s="87"/>
      <c r="E39" s="88"/>
      <c r="F39" s="104"/>
      <c r="G39" s="87"/>
      <c r="H39" s="87"/>
      <c r="I39" s="96"/>
    </row>
    <row r="40" spans="2:9" ht="48" customHeight="1">
      <c r="B40" s="86"/>
      <c r="C40" s="87"/>
      <c r="D40" s="87"/>
      <c r="E40" s="88"/>
      <c r="F40" s="104"/>
      <c r="G40" s="87"/>
      <c r="H40" s="87"/>
      <c r="I40" s="96"/>
    </row>
    <row r="41" spans="2:9">
      <c r="B41" s="86"/>
      <c r="C41" s="87"/>
      <c r="D41" s="87"/>
      <c r="E41" s="88"/>
      <c r="F41" s="104"/>
      <c r="G41" s="87"/>
      <c r="H41" s="87"/>
      <c r="I41" s="96"/>
    </row>
    <row r="42" spans="2:9" ht="34.5" customHeight="1" thickBot="1">
      <c r="B42" s="97"/>
      <c r="C42" s="99"/>
      <c r="D42" s="99"/>
      <c r="E42" s="105"/>
      <c r="F42" s="106"/>
      <c r="G42" s="99"/>
      <c r="H42" s="99"/>
      <c r="I42" s="98"/>
    </row>
    <row r="43" spans="2:9">
      <c r="B43" s="44" t="s">
        <v>57</v>
      </c>
      <c r="C43" s="78"/>
      <c r="D43" s="78"/>
      <c r="E43" s="78"/>
      <c r="F43" s="78"/>
      <c r="G43" s="78"/>
      <c r="H43" s="78"/>
      <c r="I43" s="79"/>
    </row>
    <row r="44" spans="2:9">
      <c r="B44" s="17" t="s">
        <v>58</v>
      </c>
      <c r="C44" s="7" t="s">
        <v>59</v>
      </c>
      <c r="D44" s="7" t="s">
        <v>60</v>
      </c>
      <c r="E44" s="7" t="s">
        <v>61</v>
      </c>
      <c r="F44" s="7" t="s">
        <v>62</v>
      </c>
      <c r="G44" s="51" t="s">
        <v>63</v>
      </c>
      <c r="H44" s="82"/>
      <c r="I44" s="81"/>
    </row>
    <row r="45" spans="2:9" ht="30.75">
      <c r="B45" s="33">
        <v>0</v>
      </c>
      <c r="C45" s="32">
        <v>46078</v>
      </c>
      <c r="D45" s="8" t="s">
        <v>64</v>
      </c>
      <c r="E45" s="8" t="s">
        <v>65</v>
      </c>
      <c r="F45" s="8" t="s">
        <v>66</v>
      </c>
      <c r="G45" s="60" t="s">
        <v>67</v>
      </c>
      <c r="H45" s="82"/>
      <c r="I45" s="81"/>
    </row>
    <row r="46" spans="2:9">
      <c r="B46" s="18"/>
      <c r="C46" s="31"/>
      <c r="D46" s="8"/>
      <c r="E46" s="8"/>
      <c r="F46" s="8"/>
      <c r="G46" s="52"/>
      <c r="H46" s="82"/>
      <c r="I46" s="81"/>
    </row>
    <row r="47" spans="2:9">
      <c r="B47" s="18"/>
      <c r="C47" s="32"/>
      <c r="D47" s="8"/>
      <c r="E47" s="8"/>
      <c r="F47" s="8"/>
      <c r="G47" s="48"/>
      <c r="H47" s="82"/>
      <c r="I47" s="81"/>
    </row>
    <row r="48" spans="2:9">
      <c r="B48" s="18"/>
      <c r="C48" s="32"/>
      <c r="D48" s="8"/>
      <c r="E48" s="8"/>
      <c r="F48" s="8"/>
      <c r="G48" s="52"/>
      <c r="H48" s="82"/>
      <c r="I48" s="81"/>
    </row>
    <row r="49" spans="2:9">
      <c r="B49" s="18"/>
      <c r="C49" s="32"/>
      <c r="D49" s="8"/>
      <c r="E49" s="8"/>
      <c r="F49" s="8"/>
      <c r="G49" s="56"/>
      <c r="H49" s="57"/>
      <c r="I49" s="58"/>
    </row>
    <row r="50" spans="2:9" ht="15.75" customHeight="1">
      <c r="B50" s="19"/>
      <c r="C50" s="20"/>
      <c r="D50" s="20"/>
      <c r="E50" s="20"/>
      <c r="F50" s="20"/>
      <c r="G50" s="50"/>
      <c r="H50" s="84"/>
      <c r="I50" s="83"/>
    </row>
  </sheetData>
  <mergeCells count="38">
    <mergeCell ref="B13:C13"/>
    <mergeCell ref="F36:I42"/>
    <mergeCell ref="D13:I13"/>
    <mergeCell ref="F34:G34"/>
    <mergeCell ref="B20:C26"/>
    <mergeCell ref="B33:E33"/>
    <mergeCell ref="H19:I1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9" bestFit="1" customWidth="1"/>
    <col min="2" max="2" width="18.140625" style="9" bestFit="1" customWidth="1"/>
    <col min="3" max="3" width="1.85546875" style="9" bestFit="1" customWidth="1"/>
    <col min="4" max="5" width="3.85546875" style="9" bestFit="1" customWidth="1"/>
    <col min="6" max="6" width="9.140625" style="9" bestFit="1" customWidth="1"/>
    <col min="7" max="7" width="5.28515625" style="9" bestFit="1" customWidth="1"/>
    <col min="8" max="8" width="10.85546875" style="9" customWidth="1"/>
    <col min="9" max="16384" width="10.85546875" style="9"/>
  </cols>
  <sheetData>
    <row r="1" spans="1:8">
      <c r="A1" s="9" t="s">
        <v>12</v>
      </c>
      <c r="B1" s="9" t="s">
        <v>68</v>
      </c>
      <c r="C1" s="9">
        <v>2</v>
      </c>
      <c r="D1" s="9">
        <v>36</v>
      </c>
      <c r="E1" s="9">
        <v>60</v>
      </c>
      <c r="F1" s="9" t="s">
        <v>51</v>
      </c>
      <c r="G1" s="11">
        <v>0.1</v>
      </c>
      <c r="H1" s="9" t="s">
        <v>69</v>
      </c>
    </row>
    <row r="2" spans="1:8">
      <c r="A2" s="9" t="s">
        <v>70</v>
      </c>
      <c r="B2" s="9" t="s">
        <v>71</v>
      </c>
      <c r="C2" s="9">
        <v>3</v>
      </c>
      <c r="D2" s="9">
        <v>54</v>
      </c>
      <c r="E2" s="9">
        <v>90</v>
      </c>
      <c r="F2" s="9" t="s">
        <v>72</v>
      </c>
      <c r="G2" s="11">
        <v>0.2</v>
      </c>
      <c r="H2" s="9" t="s">
        <v>19</v>
      </c>
    </row>
    <row r="3" spans="1:8">
      <c r="A3" s="9" t="s">
        <v>73</v>
      </c>
      <c r="B3" s="9" t="s">
        <v>74</v>
      </c>
      <c r="C3" s="9">
        <v>4</v>
      </c>
      <c r="D3" s="9">
        <v>72</v>
      </c>
      <c r="E3" s="9">
        <v>120</v>
      </c>
      <c r="F3" s="9" t="s">
        <v>75</v>
      </c>
      <c r="G3" s="11">
        <v>0.3</v>
      </c>
    </row>
    <row r="4" spans="1:8">
      <c r="A4" s="9" t="s">
        <v>76</v>
      </c>
      <c r="B4" s="9" t="s">
        <v>77</v>
      </c>
      <c r="C4" s="9">
        <v>5</v>
      </c>
      <c r="D4" s="9">
        <v>90</v>
      </c>
      <c r="E4" s="9">
        <v>102</v>
      </c>
      <c r="F4" s="9" t="s">
        <v>78</v>
      </c>
      <c r="G4" s="11">
        <v>0.4</v>
      </c>
    </row>
    <row r="5" spans="1:8">
      <c r="A5" s="9" t="s">
        <v>79</v>
      </c>
      <c r="B5" s="9" t="s">
        <v>80</v>
      </c>
      <c r="C5" s="9">
        <v>6</v>
      </c>
      <c r="D5" s="9">
        <v>90</v>
      </c>
      <c r="E5" s="9">
        <v>150</v>
      </c>
      <c r="F5" s="9" t="s">
        <v>81</v>
      </c>
      <c r="G5" s="11">
        <v>0.5</v>
      </c>
    </row>
    <row r="6" spans="1:8">
      <c r="B6" s="9" t="s">
        <v>82</v>
      </c>
      <c r="C6" s="9">
        <v>8</v>
      </c>
      <c r="D6" s="9">
        <v>108</v>
      </c>
      <c r="E6" s="9">
        <v>180</v>
      </c>
      <c r="G6" s="11">
        <v>0.6</v>
      </c>
    </row>
    <row r="7" spans="1:8">
      <c r="B7" s="9" t="s">
        <v>83</v>
      </c>
      <c r="D7" s="9">
        <v>144</v>
      </c>
      <c r="E7" s="9">
        <v>240</v>
      </c>
      <c r="G7" s="11">
        <v>0.7</v>
      </c>
    </row>
    <row r="8" spans="1:8">
      <c r="B8" s="9" t="s">
        <v>84</v>
      </c>
      <c r="D8" s="9">
        <v>32</v>
      </c>
      <c r="E8" s="9">
        <v>64</v>
      </c>
      <c r="G8" s="11">
        <v>0.8</v>
      </c>
    </row>
    <row r="9" spans="1:8">
      <c r="B9" s="9" t="s">
        <v>85</v>
      </c>
      <c r="D9" s="9">
        <v>36</v>
      </c>
      <c r="E9" s="9">
        <v>108</v>
      </c>
      <c r="G9" s="11">
        <v>0.9</v>
      </c>
    </row>
    <row r="10" spans="1:8">
      <c r="D10" s="9">
        <v>40</v>
      </c>
      <c r="E10" s="9">
        <v>152</v>
      </c>
      <c r="G10" s="11">
        <v>1</v>
      </c>
    </row>
    <row r="11" spans="1:8">
      <c r="D11" s="9">
        <v>54</v>
      </c>
      <c r="E11" s="9">
        <v>234</v>
      </c>
      <c r="G11" s="11"/>
    </row>
    <row r="12" spans="1:8">
      <c r="D12" s="9">
        <v>64</v>
      </c>
      <c r="E12" s="9">
        <v>320</v>
      </c>
    </row>
    <row r="13" spans="1:8">
      <c r="D13" s="9">
        <v>24</v>
      </c>
      <c r="E13" s="9">
        <v>72</v>
      </c>
    </row>
    <row r="14" spans="1:8">
      <c r="D14" s="9">
        <v>36</v>
      </c>
      <c r="E14" s="9">
        <v>108</v>
      </c>
    </row>
    <row r="15" spans="1:8">
      <c r="D15" s="9">
        <v>48</v>
      </c>
      <c r="E15" s="9">
        <v>144</v>
      </c>
    </row>
    <row r="25" spans="1:1">
      <c r="A25" s="12">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LINA BIVIANA MAHECHA BOLAÑOS</cp:lastModifiedBy>
  <cp:revision/>
  <dcterms:created xsi:type="dcterms:W3CDTF">2025-08-27T15:39:23Z</dcterms:created>
  <dcterms:modified xsi:type="dcterms:W3CDTF">2026-03-25T15:17:39Z</dcterms:modified>
  <cp:category/>
  <cp:contentStatus/>
</cp:coreProperties>
</file>