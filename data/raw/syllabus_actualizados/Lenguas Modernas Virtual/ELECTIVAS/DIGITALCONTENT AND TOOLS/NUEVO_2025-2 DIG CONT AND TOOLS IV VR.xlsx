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xr:revisionPtr revIDLastSave="11" documentId="11_5B6C9D5E2E5C56B7C4158F278CBD6662E287DCD5" xr6:coauthVersionLast="47" xr6:coauthVersionMax="47" xr10:uidLastSave="{07D1A44C-1B37-4593-AFC7-3834AE3B4C6E}"/>
  <bookViews>
    <workbookView xWindow="-120" yWindow="-120" windowWidth="38640" windowHeight="21120" xr2:uid="{00000000-000D-0000-FFFF-FFFF00000000}"/>
  </bookViews>
  <sheets>
    <sheet name="Formato Syllabus" sheetId="1" r:id="rId1"/>
    <sheet name="Parámetro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 l="1"/>
</calcChain>
</file>

<file path=xl/sharedStrings.xml><?xml version="1.0" encoding="utf-8"?>
<sst xmlns="http://schemas.openxmlformats.org/spreadsheetml/2006/main" count="91" uniqueCount="88">
  <si>
    <t>FORMATO</t>
  </si>
  <si>
    <t>Versión:  1</t>
  </si>
  <si>
    <t>Código: IAC-201-f1</t>
  </si>
  <si>
    <t xml:space="preserve">SYLLABUS </t>
  </si>
  <si>
    <t>Fecha: PENDIENTE</t>
  </si>
  <si>
    <t>1.	Información General de la Unidad de Estudio</t>
  </si>
  <si>
    <t>Año</t>
  </si>
  <si>
    <t>Código Plan de estudios</t>
  </si>
  <si>
    <t>PFVNEIBOG004</t>
  </si>
  <si>
    <t>Código Unidad de Estudio</t>
  </si>
  <si>
    <t>FFVE0036</t>
  </si>
  <si>
    <t>Tipo Unidad de estudio</t>
  </si>
  <si>
    <t>Electiva</t>
  </si>
  <si>
    <t>Modalidad</t>
  </si>
  <si>
    <t>Presencial</t>
  </si>
  <si>
    <t>Virtual</t>
  </si>
  <si>
    <t>x</t>
  </si>
  <si>
    <t>Presencial y Virtual</t>
  </si>
  <si>
    <t xml:space="preserve">Nivel </t>
  </si>
  <si>
    <t>Pregrado</t>
  </si>
  <si>
    <t>Programas</t>
  </si>
  <si>
    <t>LENGUAS MODERNAS</t>
  </si>
  <si>
    <t>Nombre Unidad  de estudios</t>
  </si>
  <si>
    <t>DIGITAL CONTENT AND TOOLS IV</t>
  </si>
  <si>
    <t>Créditos Académicos</t>
  </si>
  <si>
    <t>3</t>
  </si>
  <si>
    <t>HAD</t>
  </si>
  <si>
    <t>36</t>
  </si>
  <si>
    <t>HTA</t>
  </si>
  <si>
    <t>108</t>
  </si>
  <si>
    <t>HT</t>
  </si>
  <si>
    <t>2.	Descripción  Resultados de Aprendizaje.</t>
  </si>
  <si>
    <t>Descripción de la unidad de estudio</t>
  </si>
  <si>
    <t>Advertising has been integrated into the digital market. If any local business aims at drawing potential customers’ attention, it will find fierce competition. Therefore, a digital strategy based on branded content, BTL and suitable ATL options may be feasible for local companies with low budget options to invest. This course provides students with an introduction to advertising to create contents, the formal view of buyer persona and customer journey paths and to advertise in local media, by using analog, digital and transmedia tools.</t>
  </si>
  <si>
    <t>Resultado de Aprendizaje</t>
  </si>
  <si>
    <t>Building a digital positioning strategy by means of a local advertising campaign to persuade potential customers.
Criterios de Evaluación:
- 1. Maneja de forma efectiva los diversos medios digitales utilizados en los diferentes canales de comunicación.
- 2. Crea contenido de valor en narrativas digitales y storydoing actions para respaldar la estrategia organizacional.
- 3.Aplica y sistematiza el conocimiento para consoiidar la relación de una organización con sus grupos de interés.
- 4. Entiende los procesos de comunicación organizacionales y los medios digitales al servicio de la publicidad y el marketing.
- 5. Interviene diferentes tipos de textos como agente mediador intercultural multilingüe entre su organización y otras a nivel nacional, regional y global.</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</si>
  <si>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</si>
  <si>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</si>
  <si>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</si>
  <si>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</si>
  <si>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</si>
  <si>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</si>
  <si>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</si>
  <si>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</si>
  <si>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</si>
  <si>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Digital Communication strategy
ATL techniques
Branded management and content
Digital Communication campaign for Customer Loyalty</t>
  </si>
  <si>
    <t>4.	Esquema de Calificación</t>
  </si>
  <si>
    <t>Esquema de Calificación: (Asignación puntajes, notas y ponderación que tienen las actividades desarrolladas en la Unidad de Estudio).
The assessment process includes four terms with gradable activities scored up to 100 points.
First term 20%
Maslow and Jung’s archetypes presentation
Branding description technique
Branded content analysis
Second term 20%
Digital content portfolio for branded advertising
Content grid and timeline
Topic based Infographics
Third term 30%
Digital portfolio: Podcast and video podcast production
Digital portfolio: memes, reels, video techniques
Fourth term
Team based, topic based written report
Team presentation with results and impact</t>
  </si>
  <si>
    <t>5. Recursos Tecnológicos (Describir los recursos como software, sala de cómputos, laboratorios)</t>
  </si>
  <si>
    <t>Canvas virtual classroom
Online platforms for visual and video editing
Online tutorials
Lab classroom</t>
  </si>
  <si>
    <t>6. Componente de Lengua extranjera</t>
  </si>
  <si>
    <t>0.3</t>
  </si>
  <si>
    <t>Porcentaje</t>
  </si>
  <si>
    <t>7.	Bibliografía Obligatoria y Complementaria.</t>
  </si>
  <si>
    <t>Bibliografía Obligatoria
Beltran, Raúl. (2010) Advertising creativity. Techniques to learn how to create advertisements. Trillas.
Shiffman, Leon (2014) Consumer Behaviour. 6th edition. Pearson.
Liddell,N (2020). The brand strategists’ toolkit #4: Maslow’s Hierarchy of Needs. Blog in: https://www.linkedin.com/pulse/brand-strategists-toolkit-4-maslows- hierarchy-needs-nick-liddell/
Tuten, Tracy (2008) Advertising 2.0 Social media marketing in a web 2.0 world. Praeger.
Wands, Bruce (2002) Techniques for digital media and the internet.</t>
  </si>
  <si>
    <t>Bibliografía Complementaria
Ward, Haley (2024) What are the 12 brand Archetypes? Blog: https://selahcreativeco.com/blog/what-are-the-12-brand-archetypes Chapell, P. Who is your brand? Understanding Brand Archetypes. Brochure in: https://unblogdemarketing.com/wp- content/uploads/2018/10/whoisyourbrand-brand-archetypes.pdf
Guisado, A (2017). “Storytelling”: cómo contar historias ayuda a la estrategia de marketing (1ᵃ ed.). Universidad de sevilla.</t>
  </si>
  <si>
    <t>8. Control de Cambios</t>
  </si>
  <si>
    <t># versión</t>
  </si>
  <si>
    <t>Fecha</t>
  </si>
  <si>
    <t>Elaboró</t>
  </si>
  <si>
    <t>Revisó</t>
  </si>
  <si>
    <t>Aprobó</t>
  </si>
  <si>
    <t>Descripción del cambio</t>
  </si>
  <si>
    <t>0</t>
  </si>
  <si>
    <t>25/02/26</t>
  </si>
  <si>
    <t>Juan David Pedreros</t>
  </si>
  <si>
    <t>Diana Peña</t>
  </si>
  <si>
    <t>Felipe Espinosa</t>
  </si>
  <si>
    <t>Adaptación Formato NV(2)</t>
  </si>
  <si>
    <t>Nuclear</t>
  </si>
  <si>
    <t>FAFCE</t>
  </si>
  <si>
    <t>Inglés</t>
  </si>
  <si>
    <t>Posgrado</t>
  </si>
  <si>
    <t>Transversal</t>
  </si>
  <si>
    <t>FIN</t>
  </si>
  <si>
    <t>Alemán</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</si>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</sst>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0"/>
      <color theme="1"/>
      <name val="Calibri"/>
      <family val="2"/>
      <scheme val="minor"/>
    </font>
    <font>
      <b/>
      <sz val="10"/>
      <color theme="1"/>
      <name val="Arial Narrow"/>
      <family val="2"/>
    </font>
    <font>
      <b/>
      <sz val="11"/>
      <color rgb="FF3D7357"/>
      <name val="Arial Narrow"/>
      <family val="2"/>
    </font>
  </fonts>
  <fills count="3">
    <fill>
      <patternFill patternType="none"/>
    </fill>
    <fill>
      <patternFill patternType="gray125"/>
    </fill>
    <fill>
      <patternFill patternType="solid">
        <fgColor theme="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00">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0"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2" borderId="17" xfId="0" applyFont="1" applyFill="1" applyBorder="1" applyAlignment="1">
      <alignment horizontal="center" vertical="center"/>
    </xf>
    <xf numFmtId="0" fontId="1" fillId="0" borderId="35" xfId="0" applyFont="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0" fillId="0" borderId="32" xfId="0" applyBorder="1" applyAlignment="1">
      <alignment horizontal="center" vertical="center"/>
    </xf>
    <xf numFmtId="0" fontId="0" fillId="0" borderId="1" xfId="0" applyBorder="1" applyAlignment="1">
      <alignment horizontal="left" vertical="top" wrapText="1"/>
    </xf>
    <xf numFmtId="0" fontId="0" fillId="0" borderId="29" xfId="0" applyBorder="1" applyAlignment="1">
      <alignment horizontal="left" vertical="top" wrapText="1"/>
    </xf>
    <xf numFmtId="0" fontId="0" fillId="2" borderId="1" xfId="0" applyFill="1" applyBorder="1" applyAlignment="1">
      <alignment horizontal="left" vertical="top" wrapText="1"/>
    </xf>
    <xf numFmtId="0" fontId="0" fillId="0" borderId="31" xfId="0" applyBorder="1" applyAlignment="1">
      <alignment horizontal="center" vertical="center" wrapText="1"/>
    </xf>
    <xf numFmtId="0" fontId="0" fillId="0" borderId="36" xfId="0" applyBorder="1" applyAlignment="1">
      <alignment horizontal="center" vertical="center" wrapText="1"/>
    </xf>
    <xf numFmtId="0" fontId="0" fillId="0" borderId="28" xfId="0" applyBorder="1" applyAlignment="1">
      <alignment horizontal="center" vertical="center" wrapText="1"/>
    </xf>
    <xf numFmtId="0" fontId="3" fillId="0" borderId="5" xfId="0" applyFont="1" applyBorder="1" applyAlignment="1">
      <alignment horizontal="center" vertical="center"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59" xfId="0" applyBorder="1" applyAlignment="1">
      <alignment horizontal="justify" vertical="top" wrapText="1"/>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2" fillId="0" borderId="4" xfId="0" applyFont="1" applyBorder="1" applyAlignment="1">
      <alignment vertical="center" wrapText="1"/>
    </xf>
    <xf numFmtId="0" fontId="0" fillId="0" borderId="1" xfId="0" applyBorder="1" applyAlignment="1">
      <alignment horizontal="left" vertical="top" wrapText="1"/>
    </xf>
    <xf numFmtId="0" fontId="1" fillId="0" borderId="59" xfId="0" applyFont="1" applyBorder="1" applyAlignment="1">
      <alignment horizontal="center" vertical="top"/>
    </xf>
    <xf numFmtId="0" fontId="1" fillId="0" borderId="28" xfId="0" applyFont="1" applyBorder="1" applyAlignment="1">
      <alignment horizontal="center" wrapText="1"/>
    </xf>
    <xf numFmtId="0" fontId="1" fillId="0" borderId="17" xfId="0" applyFont="1" applyBorder="1" applyAlignment="1">
      <alignment horizontal="center"/>
    </xf>
    <xf numFmtId="0" fontId="4" fillId="0" borderId="8" xfId="0" applyFont="1" applyBorder="1" applyAlignment="1">
      <alignment horizontal="center" vertical="center"/>
    </xf>
    <xf numFmtId="0" fontId="1" fillId="0" borderId="18" xfId="0" applyFont="1" applyBorder="1" applyAlignment="1">
      <alignment horizontal="center" vertical="center"/>
    </xf>
    <xf numFmtId="0" fontId="1" fillId="0" borderId="29" xfId="0" applyFont="1" applyBorder="1" applyAlignment="1">
      <alignment horizontal="justify" vertical="top" wrapText="1"/>
    </xf>
    <xf numFmtId="0" fontId="0" fillId="0" borderId="1" xfId="0" applyBorder="1" applyAlignment="1">
      <alignment horizontal="center" wrapText="1"/>
    </xf>
    <xf numFmtId="0" fontId="1" fillId="2" borderId="58" xfId="0" applyFont="1" applyFill="1" applyBorder="1" applyAlignment="1">
      <alignment horizontal="center" vertical="center"/>
    </xf>
    <xf numFmtId="0" fontId="0" fillId="0" borderId="31" xfId="0" applyBorder="1" applyAlignment="1">
      <alignment horizontal="center" wrapText="1"/>
    </xf>
    <xf numFmtId="0" fontId="1" fillId="0" borderId="1" xfId="0" applyFont="1" applyBorder="1" applyAlignment="1">
      <alignment horizontal="center"/>
    </xf>
    <xf numFmtId="0" fontId="1" fillId="0" borderId="36" xfId="0" applyFont="1" applyBorder="1" applyAlignment="1">
      <alignment horizontal="justify" vertical="top" wrapText="1"/>
    </xf>
    <xf numFmtId="0" fontId="1" fillId="0" borderId="58" xfId="0" applyFont="1" applyBorder="1" applyAlignment="1">
      <alignment horizontal="justify" vertical="top" wrapText="1"/>
    </xf>
    <xf numFmtId="0" fontId="1" fillId="0" borderId="34" xfId="0" applyFont="1" applyBorder="1" applyAlignment="1">
      <alignment horizontal="center" vertical="center"/>
    </xf>
    <xf numFmtId="0" fontId="1" fillId="0" borderId="37" xfId="0" applyFont="1" applyBorder="1" applyAlignment="1">
      <alignment horizontal="center"/>
    </xf>
    <xf numFmtId="0" fontId="1" fillId="0" borderId="30" xfId="0" applyFont="1" applyBorder="1" applyAlignment="1">
      <alignment horizontal="justify" vertical="top" wrapText="1"/>
    </xf>
    <xf numFmtId="0" fontId="1" fillId="0" borderId="30" xfId="0" applyFont="1" applyBorder="1" applyAlignment="1">
      <alignment horizontal="center" wrapText="1"/>
    </xf>
    <xf numFmtId="0" fontId="1" fillId="0" borderId="32" xfId="0" applyFont="1" applyBorder="1" applyAlignment="1">
      <alignment horizontal="justify" vertical="top" wrapText="1"/>
    </xf>
    <xf numFmtId="0" fontId="0" fillId="0" borderId="32" xfId="0" applyBorder="1" applyAlignment="1">
      <alignment horizontal="justify" vertical="top" wrapText="1"/>
    </xf>
    <xf numFmtId="0" fontId="0" fillId="0" borderId="35" xfId="0" applyBorder="1" applyAlignment="1">
      <alignment horizontal="left" vertical="top" wrapText="1"/>
    </xf>
    <xf numFmtId="0" fontId="1" fillId="0" borderId="58" xfId="0" applyFont="1" applyBorder="1" applyAlignment="1">
      <alignment horizontal="center" vertical="top"/>
    </xf>
    <xf numFmtId="0" fontId="1" fillId="0" borderId="34" xfId="0" applyFont="1" applyBorder="1" applyAlignment="1">
      <alignment horizontal="center" vertical="top" wrapText="1"/>
    </xf>
    <xf numFmtId="0" fontId="1" fillId="2" borderId="18" xfId="0" applyFont="1" applyFill="1" applyBorder="1" applyAlignment="1">
      <alignment horizontal="center" vertical="center"/>
    </xf>
    <xf numFmtId="0" fontId="0" fillId="0" borderId="49" xfId="0" applyBorder="1" applyAlignment="1"/>
    <xf numFmtId="0" fontId="0" fillId="0" borderId="50" xfId="0" applyBorder="1" applyAlignment="1"/>
    <xf numFmtId="0" fontId="0" fillId="0" borderId="48" xfId="0" applyBorder="1" applyAlignment="1"/>
    <xf numFmtId="0" fontId="0" fillId="0" borderId="51" xfId="0" applyBorder="1" applyAlignment="1"/>
    <xf numFmtId="0" fontId="0" fillId="0" borderId="52" xfId="0" applyBorder="1" applyAlignment="1"/>
    <xf numFmtId="0" fontId="0" fillId="0" borderId="53" xfId="0" applyBorder="1" applyAlignment="1"/>
    <xf numFmtId="0" fontId="0" fillId="0" borderId="9" xfId="0" applyBorder="1" applyAlignment="1"/>
    <xf numFmtId="0" fontId="0" fillId="0" borderId="13" xfId="0" applyBorder="1" applyAlignment="1"/>
    <xf numFmtId="0" fontId="0" fillId="0" borderId="14" xfId="0" applyBorder="1" applyAlignment="1"/>
    <xf numFmtId="0" fontId="0" fillId="0" borderId="55" xfId="0" applyBorder="1" applyAlignment="1"/>
    <xf numFmtId="0" fontId="0" fillId="0" borderId="56" xfId="0" applyBorder="1" applyAlignment="1"/>
    <xf numFmtId="0" fontId="0" fillId="0" borderId="42" xfId="0" applyBorder="1" applyAlignment="1"/>
    <xf numFmtId="0" fontId="0" fillId="0" borderId="2" xfId="0" applyBorder="1" applyAlignment="1"/>
    <xf numFmtId="0" fontId="0" fillId="0" borderId="12" xfId="0" applyBorder="1" applyAlignment="1"/>
    <xf numFmtId="0" fontId="0" fillId="0" borderId="43" xfId="0" applyBorder="1" applyAlignment="1"/>
    <xf numFmtId="0" fontId="0" fillId="0" borderId="44" xfId="0" applyBorder="1" applyAlignment="1"/>
    <xf numFmtId="0" fontId="0" fillId="0" borderId="45" xfId="0" applyBorder="1" applyAlignment="1"/>
    <xf numFmtId="0" fontId="0" fillId="0" borderId="20" xfId="0" applyBorder="1" applyAlignment="1"/>
    <xf numFmtId="0" fontId="0" fillId="2" borderId="0" xfId="0" applyFill="1" applyAlignment="1"/>
    <xf numFmtId="0" fontId="0" fillId="0" borderId="16" xfId="0" applyBorder="1" applyAlignment="1"/>
    <xf numFmtId="0" fontId="0" fillId="0" borderId="57" xfId="0" applyBorder="1" applyAlignment="1"/>
    <xf numFmtId="0" fontId="0" fillId="0" borderId="47" xfId="0" applyBorder="1" applyAlignment="1"/>
    <xf numFmtId="0" fontId="0" fillId="0" borderId="46"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5" xfId="0" applyBorder="1" applyAlignment="1"/>
    <xf numFmtId="0" fontId="0" fillId="0" borderId="38" xfId="0" applyBorder="1" applyAlignment="1"/>
    <xf numFmtId="0" fontId="0" fillId="0" borderId="54" xfId="0" applyBorder="1" applyAlignment="1"/>
    <xf numFmtId="0" fontId="0" fillId="0" borderId="39" xfId="0" applyBorder="1" applyAlignment="1"/>
    <xf numFmtId="0" fontId="0" fillId="0" borderId="33" xfId="0" applyBorder="1" applyAlignment="1"/>
    <xf numFmtId="0" fontId="0" fillId="0" borderId="15" xfId="0" applyBorder="1" applyAlignment="1"/>
    <xf numFmtId="0" fontId="0" fillId="0" borderId="40" xfId="0" applyBorder="1" applyAlignment="1"/>
    <xf numFmtId="0" fontId="0" fillId="0" borderId="41"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0"/>
  <sheetViews>
    <sheetView tabSelected="1" zoomScaleNormal="100" workbookViewId="0">
      <selection activeCell="D47" sqref="D47"/>
    </sheetView>
  </sheetViews>
  <sheetFormatPr defaultColWidth="10.85546875" defaultRowHeight="15"/>
  <cols>
    <col min="1" max="1" width="3.140625" style="9" customWidth="1"/>
    <col min="2" max="2" width="14.28515625" style="9" customWidth="1"/>
    <col min="3" max="3" width="11.28515625" style="9" bestFit="1" customWidth="1"/>
    <col min="4" max="4" width="12.28515625" style="9" customWidth="1"/>
    <col min="5" max="5" width="10.140625" style="9" customWidth="1"/>
    <col min="6" max="7" width="10.85546875" style="9" customWidth="1"/>
    <col min="8" max="8" width="9.85546875" style="9" customWidth="1"/>
    <col min="9" max="9" width="16.7109375" style="9" customWidth="1"/>
    <col min="10" max="10" width="10.85546875" style="9" customWidth="1"/>
    <col min="11" max="16384" width="10.85546875" style="9"/>
  </cols>
  <sheetData>
    <row r="1" spans="2:9" ht="15.75" customHeight="1" thickBot="1">
      <c r="C1" s="10"/>
      <c r="D1" s="10"/>
      <c r="E1" s="10"/>
      <c r="F1" s="10"/>
      <c r="G1" s="10"/>
      <c r="H1" s="10"/>
    </row>
    <row r="2" spans="2:9" ht="22.5" customHeight="1" thickTop="1">
      <c r="B2" s="38"/>
      <c r="C2" s="32" t="s">
        <v>0</v>
      </c>
      <c r="D2" s="62"/>
      <c r="E2" s="62"/>
      <c r="F2" s="62"/>
      <c r="G2" s="62"/>
      <c r="H2" s="63"/>
      <c r="I2" s="4" t="s">
        <v>1</v>
      </c>
    </row>
    <row r="3" spans="2:9" ht="20.25" customHeight="1">
      <c r="B3" s="64"/>
      <c r="C3" s="65"/>
      <c r="D3" s="66"/>
      <c r="E3" s="66"/>
      <c r="F3" s="66"/>
      <c r="G3" s="66"/>
      <c r="H3" s="67"/>
      <c r="I3" s="5" t="s">
        <v>2</v>
      </c>
    </row>
    <row r="4" spans="2:9" ht="21" customHeight="1" thickBot="1">
      <c r="B4" s="43" t="s">
        <v>3</v>
      </c>
      <c r="C4" s="68"/>
      <c r="D4" s="68"/>
      <c r="E4" s="68"/>
      <c r="F4" s="68"/>
      <c r="G4" s="68"/>
      <c r="H4" s="68"/>
      <c r="I4" s="6" t="s">
        <v>4</v>
      </c>
    </row>
    <row r="5" spans="2:9" ht="16.5" customHeight="1" thickTop="1" thickBot="1">
      <c r="B5" s="36"/>
      <c r="C5" s="69"/>
      <c r="D5" s="69"/>
      <c r="E5" s="69"/>
      <c r="F5" s="69"/>
      <c r="G5" s="69"/>
      <c r="H5" s="69"/>
      <c r="I5" s="70"/>
    </row>
    <row r="6" spans="2:9">
      <c r="B6" s="33" t="s">
        <v>5</v>
      </c>
      <c r="C6" s="71"/>
      <c r="D6" s="71"/>
      <c r="E6" s="71"/>
      <c r="F6" s="71"/>
      <c r="G6" s="71"/>
      <c r="H6" s="71"/>
      <c r="I6" s="72"/>
    </row>
    <row r="7" spans="2:9" ht="60" customHeight="1">
      <c r="B7" s="21" t="s">
        <v>6</v>
      </c>
      <c r="C7" s="26">
        <v>2026</v>
      </c>
      <c r="D7" s="2" t="s">
        <v>7</v>
      </c>
      <c r="E7" s="1" t="s">
        <v>8</v>
      </c>
      <c r="F7" s="2" t="s">
        <v>9</v>
      </c>
      <c r="G7" s="26" t="s">
        <v>10</v>
      </c>
      <c r="H7" s="2" t="s">
        <v>11</v>
      </c>
      <c r="I7" s="27" t="s">
        <v>12</v>
      </c>
    </row>
    <row r="8" spans="2:9" ht="30" customHeight="1">
      <c r="B8" s="21" t="s">
        <v>13</v>
      </c>
      <c r="C8" s="3" t="s">
        <v>14</v>
      </c>
      <c r="D8" s="2"/>
      <c r="E8" s="3" t="s">
        <v>15</v>
      </c>
      <c r="F8" s="2" t="s">
        <v>16</v>
      </c>
      <c r="G8" s="2" t="s">
        <v>17</v>
      </c>
      <c r="H8" s="37"/>
      <c r="I8" s="73"/>
    </row>
    <row r="9" spans="2:9" ht="45" customHeight="1">
      <c r="B9" s="22" t="s">
        <v>18</v>
      </c>
      <c r="C9" s="28" t="s">
        <v>19</v>
      </c>
      <c r="D9" s="3" t="s">
        <v>20</v>
      </c>
      <c r="E9" s="39" t="s">
        <v>21</v>
      </c>
      <c r="F9" s="74"/>
      <c r="G9" s="2" t="s">
        <v>22</v>
      </c>
      <c r="H9" s="39" t="s">
        <v>23</v>
      </c>
      <c r="I9" s="74"/>
    </row>
    <row r="10" spans="2:9" ht="30.75" customHeight="1" thickBot="1">
      <c r="B10" s="23" t="s">
        <v>24</v>
      </c>
      <c r="C10" s="29" t="s">
        <v>25</v>
      </c>
      <c r="D10" s="24" t="s">
        <v>26</v>
      </c>
      <c r="E10" s="29" t="s">
        <v>27</v>
      </c>
      <c r="F10" s="24" t="s">
        <v>28</v>
      </c>
      <c r="G10" s="29" t="s">
        <v>29</v>
      </c>
      <c r="H10" s="24" t="s">
        <v>30</v>
      </c>
      <c r="I10" s="25">
        <f>E10+G10</f>
        <v>144</v>
      </c>
    </row>
    <row r="11" spans="2:9">
      <c r="B11" s="42" t="s">
        <v>31</v>
      </c>
      <c r="C11" s="71"/>
      <c r="D11" s="71"/>
      <c r="E11" s="71"/>
      <c r="F11" s="71"/>
      <c r="G11" s="71"/>
      <c r="H11" s="71"/>
      <c r="I11" s="72"/>
    </row>
    <row r="12" spans="2:9" ht="31.5" customHeight="1">
      <c r="B12" s="41" t="s">
        <v>32</v>
      </c>
      <c r="C12" s="74"/>
      <c r="D12" s="45" t="s">
        <v>33</v>
      </c>
      <c r="E12" s="75"/>
      <c r="F12" s="75"/>
      <c r="G12" s="75"/>
      <c r="H12" s="75"/>
      <c r="I12" s="73"/>
    </row>
    <row r="13" spans="2:9" ht="15.75" customHeight="1" thickBot="1">
      <c r="B13" s="55" t="s">
        <v>34</v>
      </c>
      <c r="C13" s="76"/>
      <c r="D13" s="57" t="s">
        <v>35</v>
      </c>
      <c r="E13" s="77"/>
      <c r="F13" s="77"/>
      <c r="G13" s="77"/>
      <c r="H13" s="77"/>
      <c r="I13" s="78"/>
    </row>
    <row r="14" spans="2:9">
      <c r="B14" s="42" t="s">
        <v>36</v>
      </c>
      <c r="C14" s="71"/>
      <c r="D14" s="71"/>
      <c r="E14" s="71"/>
      <c r="F14" s="71"/>
      <c r="G14" s="71"/>
      <c r="H14" s="71"/>
      <c r="I14" s="72"/>
    </row>
    <row r="15" spans="2:9">
      <c r="B15" s="34" t="s">
        <v>37</v>
      </c>
      <c r="C15" s="69"/>
      <c r="D15" s="69"/>
      <c r="E15" s="69"/>
      <c r="F15" s="69"/>
      <c r="G15" s="69"/>
      <c r="H15" s="69"/>
      <c r="I15" s="70"/>
    </row>
    <row r="16" spans="2:9">
      <c r="B16" s="79"/>
      <c r="C16" s="80"/>
      <c r="D16" s="80"/>
      <c r="E16" s="80"/>
      <c r="F16" s="80"/>
      <c r="G16" s="80"/>
      <c r="H16" s="80"/>
      <c r="I16" s="81"/>
    </row>
    <row r="17" spans="2:9" ht="15.75" customHeight="1" thickBot="1">
      <c r="B17" s="82"/>
      <c r="C17" s="83"/>
      <c r="D17" s="83"/>
      <c r="E17" s="83"/>
      <c r="F17" s="83"/>
      <c r="G17" s="83"/>
      <c r="H17" s="83"/>
      <c r="I17" s="84"/>
    </row>
    <row r="18" spans="2:9" ht="15.75" customHeight="1" thickBot="1">
      <c r="B18" s="40" t="s">
        <v>38</v>
      </c>
      <c r="C18" s="85"/>
      <c r="D18" s="85"/>
      <c r="E18" s="85"/>
      <c r="F18" s="85"/>
      <c r="G18" s="85"/>
      <c r="H18" s="85"/>
      <c r="I18" s="86"/>
    </row>
    <row r="19" spans="2:9">
      <c r="B19" s="13" t="s">
        <v>39</v>
      </c>
      <c r="C19" s="14" t="s">
        <v>40</v>
      </c>
      <c r="D19" s="13" t="s">
        <v>41</v>
      </c>
      <c r="E19" s="44" t="s">
        <v>42</v>
      </c>
      <c r="F19" s="87"/>
      <c r="G19" s="15" t="s">
        <v>43</v>
      </c>
      <c r="H19" s="61" t="s">
        <v>44</v>
      </c>
      <c r="I19" s="87"/>
    </row>
    <row r="20" spans="2:9">
      <c r="B20" s="59"/>
      <c r="C20" s="88"/>
      <c r="D20" s="51" t="s">
        <v>45</v>
      </c>
      <c r="E20" s="69"/>
      <c r="F20" s="88"/>
      <c r="G20" s="47"/>
      <c r="H20" s="69"/>
      <c r="I20" s="88"/>
    </row>
    <row r="21" spans="2:9">
      <c r="B21" s="79"/>
      <c r="C21" s="89"/>
      <c r="D21" s="79"/>
      <c r="E21" s="80"/>
      <c r="F21" s="89"/>
      <c r="G21" s="79"/>
      <c r="H21" s="80"/>
      <c r="I21" s="89"/>
    </row>
    <row r="22" spans="2:9">
      <c r="B22" s="79"/>
      <c r="C22" s="89"/>
      <c r="D22" s="79"/>
      <c r="E22" s="80"/>
      <c r="F22" s="89"/>
      <c r="G22" s="79"/>
      <c r="H22" s="80"/>
      <c r="I22" s="89"/>
    </row>
    <row r="23" spans="2:9">
      <c r="B23" s="79"/>
      <c r="C23" s="89"/>
      <c r="D23" s="79"/>
      <c r="E23" s="80"/>
      <c r="F23" s="89"/>
      <c r="G23" s="79"/>
      <c r="H23" s="80"/>
      <c r="I23" s="89"/>
    </row>
    <row r="24" spans="2:9">
      <c r="B24" s="79"/>
      <c r="C24" s="89"/>
      <c r="D24" s="79"/>
      <c r="E24" s="80"/>
      <c r="F24" s="89"/>
      <c r="G24" s="79"/>
      <c r="H24" s="80"/>
      <c r="I24" s="89"/>
    </row>
    <row r="25" spans="2:9">
      <c r="B25" s="79"/>
      <c r="C25" s="89"/>
      <c r="D25" s="79"/>
      <c r="E25" s="80"/>
      <c r="F25" s="89"/>
      <c r="G25" s="79"/>
      <c r="H25" s="80"/>
      <c r="I25" s="89"/>
    </row>
    <row r="26" spans="2:9" ht="15.75" customHeight="1" thickBot="1">
      <c r="B26" s="90"/>
      <c r="C26" s="91"/>
      <c r="D26" s="90"/>
      <c r="E26" s="92"/>
      <c r="F26" s="91"/>
      <c r="G26" s="90"/>
      <c r="H26" s="92"/>
      <c r="I26" s="91"/>
    </row>
    <row r="27" spans="2:9" ht="15.75" customHeight="1" thickBot="1">
      <c r="B27" s="53" t="s">
        <v>46</v>
      </c>
      <c r="C27" s="93"/>
      <c r="D27" s="93"/>
      <c r="E27" s="93"/>
      <c r="F27" s="93"/>
      <c r="G27" s="93"/>
      <c r="H27" s="93"/>
      <c r="I27" s="94"/>
    </row>
    <row r="28" spans="2:9" ht="14.45" customHeight="1">
      <c r="B28" s="35" t="s">
        <v>47</v>
      </c>
      <c r="C28" s="93"/>
      <c r="D28" s="93"/>
      <c r="E28" s="93"/>
      <c r="F28" s="93"/>
      <c r="G28" s="93"/>
      <c r="H28" s="93"/>
      <c r="I28" s="95"/>
    </row>
    <row r="29" spans="2:9">
      <c r="B29" s="79"/>
      <c r="C29" s="80"/>
      <c r="D29" s="80"/>
      <c r="E29" s="80"/>
      <c r="F29" s="80"/>
      <c r="G29" s="80"/>
      <c r="H29" s="80"/>
      <c r="I29" s="89"/>
    </row>
    <row r="30" spans="2:9">
      <c r="B30" s="79"/>
      <c r="C30" s="80"/>
      <c r="D30" s="80"/>
      <c r="E30" s="80"/>
      <c r="F30" s="80"/>
      <c r="G30" s="80"/>
      <c r="H30" s="80"/>
      <c r="I30" s="89"/>
    </row>
    <row r="31" spans="2:9">
      <c r="B31" s="79"/>
      <c r="C31" s="80"/>
      <c r="D31" s="80"/>
      <c r="E31" s="80"/>
      <c r="F31" s="80"/>
      <c r="G31" s="80"/>
      <c r="H31" s="80"/>
      <c r="I31" s="89"/>
    </row>
    <row r="32" spans="2:9" ht="15.75" customHeight="1" thickBot="1">
      <c r="B32" s="90"/>
      <c r="C32" s="92"/>
      <c r="D32" s="92"/>
      <c r="E32" s="92"/>
      <c r="F32" s="92"/>
      <c r="G32" s="92"/>
      <c r="H32" s="92"/>
      <c r="I32" s="91"/>
    </row>
    <row r="33" spans="2:9" ht="34.5" customHeight="1" thickBot="1">
      <c r="B33" s="60" t="s">
        <v>48</v>
      </c>
      <c r="C33" s="85"/>
      <c r="D33" s="85"/>
      <c r="E33" s="96"/>
      <c r="F33" s="50" t="s">
        <v>49</v>
      </c>
      <c r="G33" s="85"/>
      <c r="H33" s="85"/>
      <c r="I33" s="86"/>
    </row>
    <row r="34" spans="2:9" ht="15.75" customHeight="1" thickBot="1">
      <c r="B34" s="52" t="s">
        <v>50</v>
      </c>
      <c r="C34" s="85"/>
      <c r="D34" s="85"/>
      <c r="E34" s="96"/>
      <c r="F34" s="58" t="s">
        <v>51</v>
      </c>
      <c r="G34" s="96"/>
      <c r="H34" s="16" t="s">
        <v>52</v>
      </c>
      <c r="I34" s="30" t="s">
        <v>51</v>
      </c>
    </row>
    <row r="35" spans="2:9">
      <c r="B35" s="42" t="s">
        <v>53</v>
      </c>
      <c r="C35" s="71"/>
      <c r="D35" s="71"/>
      <c r="E35" s="71"/>
      <c r="F35" s="71"/>
      <c r="G35" s="71"/>
      <c r="H35" s="71"/>
      <c r="I35" s="72"/>
    </row>
    <row r="36" spans="2:9" ht="14.45" customHeight="1">
      <c r="B36" s="54" t="s">
        <v>54</v>
      </c>
      <c r="C36" s="69"/>
      <c r="D36" s="69"/>
      <c r="E36" s="70"/>
      <c r="F36" s="56" t="s">
        <v>55</v>
      </c>
      <c r="G36" s="69"/>
      <c r="H36" s="69"/>
      <c r="I36" s="88"/>
    </row>
    <row r="37" spans="2:9">
      <c r="B37" s="79"/>
      <c r="C37" s="80"/>
      <c r="D37" s="80"/>
      <c r="E37" s="81"/>
      <c r="F37" s="97"/>
      <c r="G37" s="80"/>
      <c r="H37" s="80"/>
      <c r="I37" s="89"/>
    </row>
    <row r="38" spans="2:9">
      <c r="B38" s="79"/>
      <c r="C38" s="80"/>
      <c r="D38" s="80"/>
      <c r="E38" s="81"/>
      <c r="F38" s="97"/>
      <c r="G38" s="80"/>
      <c r="H38" s="80"/>
      <c r="I38" s="89"/>
    </row>
    <row r="39" spans="2:9">
      <c r="B39" s="79"/>
      <c r="C39" s="80"/>
      <c r="D39" s="80"/>
      <c r="E39" s="81"/>
      <c r="F39" s="97"/>
      <c r="G39" s="80"/>
      <c r="H39" s="80"/>
      <c r="I39" s="89"/>
    </row>
    <row r="40" spans="2:9">
      <c r="B40" s="79"/>
      <c r="C40" s="80"/>
      <c r="D40" s="80"/>
      <c r="E40" s="81"/>
      <c r="F40" s="97"/>
      <c r="G40" s="80"/>
      <c r="H40" s="80"/>
      <c r="I40" s="89"/>
    </row>
    <row r="41" spans="2:9">
      <c r="B41" s="79"/>
      <c r="C41" s="80"/>
      <c r="D41" s="80"/>
      <c r="E41" s="81"/>
      <c r="F41" s="97"/>
      <c r="G41" s="80"/>
      <c r="H41" s="80"/>
      <c r="I41" s="89"/>
    </row>
    <row r="42" spans="2:9" ht="15.75" customHeight="1" thickBot="1">
      <c r="B42" s="90"/>
      <c r="C42" s="92"/>
      <c r="D42" s="92"/>
      <c r="E42" s="98"/>
      <c r="F42" s="99"/>
      <c r="G42" s="92"/>
      <c r="H42" s="92"/>
      <c r="I42" s="91"/>
    </row>
    <row r="43" spans="2:9">
      <c r="B43" s="42" t="s">
        <v>56</v>
      </c>
      <c r="C43" s="71"/>
      <c r="D43" s="71"/>
      <c r="E43" s="71"/>
      <c r="F43" s="71"/>
      <c r="G43" s="71"/>
      <c r="H43" s="71"/>
      <c r="I43" s="72"/>
    </row>
    <row r="44" spans="2:9">
      <c r="B44" s="17" t="s">
        <v>57</v>
      </c>
      <c r="C44" s="7" t="s">
        <v>58</v>
      </c>
      <c r="D44" s="7" t="s">
        <v>59</v>
      </c>
      <c r="E44" s="7" t="s">
        <v>60</v>
      </c>
      <c r="F44" s="7" t="s">
        <v>61</v>
      </c>
      <c r="G44" s="49" t="s">
        <v>62</v>
      </c>
      <c r="H44" s="75"/>
      <c r="I44" s="74"/>
    </row>
    <row r="45" spans="2:9" ht="15" customHeight="1">
      <c r="B45" s="31" t="s">
        <v>63</v>
      </c>
      <c r="C45" s="26" t="s">
        <v>64</v>
      </c>
      <c r="D45" s="8" t="s">
        <v>65</v>
      </c>
      <c r="E45" s="8" t="s">
        <v>66</v>
      </c>
      <c r="F45" s="8" t="s">
        <v>67</v>
      </c>
      <c r="G45" s="39" t="s">
        <v>68</v>
      </c>
      <c r="H45" s="75"/>
      <c r="I45" s="74"/>
    </row>
    <row r="46" spans="2:9">
      <c r="B46" s="18"/>
      <c r="C46" s="8"/>
      <c r="D46" s="8"/>
      <c r="E46" s="8"/>
      <c r="F46" s="8"/>
      <c r="G46" s="46"/>
      <c r="H46" s="75"/>
      <c r="I46" s="74"/>
    </row>
    <row r="47" spans="2:9">
      <c r="B47" s="18"/>
      <c r="C47" s="8"/>
      <c r="D47" s="8"/>
      <c r="E47" s="8"/>
      <c r="F47" s="8"/>
      <c r="G47" s="46"/>
      <c r="H47" s="75"/>
      <c r="I47" s="74"/>
    </row>
    <row r="48" spans="2:9">
      <c r="B48" s="18"/>
      <c r="C48" s="8"/>
      <c r="D48" s="8"/>
      <c r="E48" s="8"/>
      <c r="F48" s="8"/>
      <c r="G48" s="46"/>
      <c r="H48" s="75"/>
      <c r="I48" s="74"/>
    </row>
    <row r="49" spans="2:9">
      <c r="B49" s="18"/>
      <c r="C49" s="8"/>
      <c r="D49" s="8"/>
      <c r="E49" s="8"/>
      <c r="F49" s="8"/>
      <c r="G49" s="46"/>
      <c r="H49" s="75"/>
      <c r="I49" s="74"/>
    </row>
    <row r="50" spans="2:9" ht="15.75" customHeight="1" thickBot="1">
      <c r="B50" s="19"/>
      <c r="C50" s="20"/>
      <c r="D50" s="20"/>
      <c r="E50" s="20"/>
      <c r="F50" s="20"/>
      <c r="G50" s="48"/>
      <c r="H50" s="77"/>
      <c r="I50" s="76"/>
    </row>
  </sheetData>
  <mergeCells count="38">
    <mergeCell ref="B13:C13"/>
    <mergeCell ref="F36:I42"/>
    <mergeCell ref="D13:I13"/>
    <mergeCell ref="F34:G34"/>
    <mergeCell ref="B20:C26"/>
    <mergeCell ref="B33:E33"/>
    <mergeCell ref="H19:I19"/>
    <mergeCell ref="G47:I47"/>
    <mergeCell ref="G20:I26"/>
    <mergeCell ref="G50:I50"/>
    <mergeCell ref="G44:I44"/>
    <mergeCell ref="G46:I46"/>
    <mergeCell ref="F33:I33"/>
    <mergeCell ref="D20:F26"/>
    <mergeCell ref="G48:I48"/>
    <mergeCell ref="B35:I35"/>
    <mergeCell ref="B34:E34"/>
    <mergeCell ref="G49:I49"/>
    <mergeCell ref="B27:I27"/>
    <mergeCell ref="B43:I43"/>
    <mergeCell ref="G45:I45"/>
    <mergeCell ref="B36:E42"/>
    <mergeCell ref="C2:H3"/>
    <mergeCell ref="B6:I6"/>
    <mergeCell ref="B15:I17"/>
    <mergeCell ref="B28:I32"/>
    <mergeCell ref="B5:I5"/>
    <mergeCell ref="H8:I8"/>
    <mergeCell ref="B2:B3"/>
    <mergeCell ref="H9:I9"/>
    <mergeCell ref="B18:I18"/>
    <mergeCell ref="B12:C12"/>
    <mergeCell ref="B11:I11"/>
    <mergeCell ref="B4:H4"/>
    <mergeCell ref="E19:F19"/>
    <mergeCell ref="B14:I14"/>
    <mergeCell ref="D12:I12"/>
    <mergeCell ref="E9:F9"/>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workbookViewId="0">
      <selection activeCell="D2" sqref="D2"/>
    </sheetView>
  </sheetViews>
  <sheetFormatPr defaultColWidth="10.85546875" defaultRowHeight="15"/>
  <cols>
    <col min="1" max="1" width="16.85546875" style="9" bestFit="1" customWidth="1"/>
    <col min="2" max="2" width="18.140625" style="9" bestFit="1" customWidth="1"/>
    <col min="3" max="3" width="1.85546875" style="9" bestFit="1" customWidth="1"/>
    <col min="4" max="5" width="3.85546875" style="9" bestFit="1" customWidth="1"/>
    <col min="6" max="6" width="9.140625" style="9" bestFit="1" customWidth="1"/>
    <col min="7" max="7" width="5.28515625" style="9" bestFit="1" customWidth="1"/>
    <col min="8" max="8" width="10.85546875" style="9" customWidth="1"/>
    <col min="9" max="16384" width="10.85546875" style="9"/>
  </cols>
  <sheetData>
    <row r="1" spans="1:8">
      <c r="A1" s="9" t="s">
        <v>69</v>
      </c>
      <c r="B1" s="9" t="s">
        <v>70</v>
      </c>
      <c r="C1" s="9">
        <v>2</v>
      </c>
      <c r="D1" s="9">
        <v>36</v>
      </c>
      <c r="E1" s="9">
        <v>60</v>
      </c>
      <c r="F1" s="9" t="s">
        <v>71</v>
      </c>
      <c r="G1" s="11">
        <v>0.1</v>
      </c>
      <c r="H1" s="9" t="s">
        <v>72</v>
      </c>
    </row>
    <row r="2" spans="1:8">
      <c r="A2" s="9" t="s">
        <v>73</v>
      </c>
      <c r="B2" s="9" t="s">
        <v>74</v>
      </c>
      <c r="C2" s="9">
        <v>3</v>
      </c>
      <c r="D2" s="9">
        <v>54</v>
      </c>
      <c r="E2" s="9">
        <v>90</v>
      </c>
      <c r="F2" s="9" t="s">
        <v>75</v>
      </c>
      <c r="G2" s="11">
        <v>0.2</v>
      </c>
      <c r="H2" s="9" t="s">
        <v>19</v>
      </c>
    </row>
    <row r="3" spans="1:8">
      <c r="A3" s="9" t="s">
        <v>12</v>
      </c>
      <c r="B3" s="9" t="s">
        <v>76</v>
      </c>
      <c r="C3" s="9">
        <v>4</v>
      </c>
      <c r="D3" s="9">
        <v>72</v>
      </c>
      <c r="E3" s="9">
        <v>120</v>
      </c>
      <c r="F3" s="9" t="s">
        <v>77</v>
      </c>
      <c r="G3" s="11">
        <v>0.3</v>
      </c>
    </row>
    <row r="4" spans="1:8">
      <c r="A4" s="9" t="s">
        <v>78</v>
      </c>
      <c r="B4" s="9" t="s">
        <v>79</v>
      </c>
      <c r="C4" s="9">
        <v>5</v>
      </c>
      <c r="D4" s="9">
        <v>90</v>
      </c>
      <c r="E4" s="9">
        <v>102</v>
      </c>
      <c r="F4" s="9" t="s">
        <v>80</v>
      </c>
      <c r="G4" s="11">
        <v>0.4</v>
      </c>
    </row>
    <row r="5" spans="1:8">
      <c r="A5" s="9" t="s">
        <v>81</v>
      </c>
      <c r="B5" s="9" t="s">
        <v>82</v>
      </c>
      <c r="C5" s="9">
        <v>6</v>
      </c>
      <c r="D5" s="9">
        <v>90</v>
      </c>
      <c r="E5" s="9">
        <v>150</v>
      </c>
      <c r="F5" s="9" t="s">
        <v>83</v>
      </c>
      <c r="G5" s="11">
        <v>0.5</v>
      </c>
    </row>
    <row r="6" spans="1:8">
      <c r="B6" s="9" t="s">
        <v>84</v>
      </c>
      <c r="C6" s="9">
        <v>8</v>
      </c>
      <c r="D6" s="9">
        <v>108</v>
      </c>
      <c r="E6" s="9">
        <v>180</v>
      </c>
      <c r="G6" s="11">
        <v>0.6</v>
      </c>
    </row>
    <row r="7" spans="1:8">
      <c r="B7" s="9" t="s">
        <v>85</v>
      </c>
      <c r="D7" s="9">
        <v>144</v>
      </c>
      <c r="E7" s="9">
        <v>240</v>
      </c>
      <c r="G7" s="11">
        <v>0.7</v>
      </c>
    </row>
    <row r="8" spans="1:8">
      <c r="B8" s="9" t="s">
        <v>86</v>
      </c>
      <c r="D8" s="9">
        <v>32</v>
      </c>
      <c r="E8" s="9">
        <v>64</v>
      </c>
      <c r="G8" s="11">
        <v>0.8</v>
      </c>
    </row>
    <row r="9" spans="1:8">
      <c r="B9" s="9" t="s">
        <v>87</v>
      </c>
      <c r="D9" s="9">
        <v>36</v>
      </c>
      <c r="E9" s="9">
        <v>108</v>
      </c>
      <c r="G9" s="11">
        <v>0.9</v>
      </c>
    </row>
    <row r="10" spans="1:8">
      <c r="D10" s="9">
        <v>40</v>
      </c>
      <c r="E10" s="9">
        <v>152</v>
      </c>
      <c r="G10" s="11">
        <v>1</v>
      </c>
    </row>
    <row r="11" spans="1:8">
      <c r="D11" s="9">
        <v>54</v>
      </c>
      <c r="E11" s="9">
        <v>234</v>
      </c>
      <c r="G11" s="11"/>
    </row>
    <row r="12" spans="1:8">
      <c r="D12" s="9">
        <v>64</v>
      </c>
      <c r="E12" s="9">
        <v>320</v>
      </c>
    </row>
    <row r="13" spans="1:8">
      <c r="D13" s="9">
        <v>24</v>
      </c>
      <c r="E13" s="9">
        <v>72</v>
      </c>
    </row>
    <row r="14" spans="1:8">
      <c r="D14" s="9">
        <v>36</v>
      </c>
      <c r="E14" s="9">
        <v>108</v>
      </c>
    </row>
    <row r="15" spans="1:8">
      <c r="D15" s="9">
        <v>48</v>
      </c>
      <c r="E15" s="9">
        <v>144</v>
      </c>
    </row>
    <row r="25" spans="1:1">
      <c r="A25" s="12">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Usuario invitado</cp:lastModifiedBy>
  <cp:revision/>
  <dcterms:created xsi:type="dcterms:W3CDTF">2025-08-27T15:39:23Z</dcterms:created>
  <dcterms:modified xsi:type="dcterms:W3CDTF">2026-03-05T21:47:31Z</dcterms:modified>
  <cp:category/>
  <cp:contentStatus/>
</cp:coreProperties>
</file>