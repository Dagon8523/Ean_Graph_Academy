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zuluaga\Downloads\"/>
    </mc:Choice>
  </mc:AlternateContent>
  <xr:revisionPtr revIDLastSave="0" documentId="13_ncr:1_{5BB6D275-CAA4-457B-B203-B1EC47DCADD4}" xr6:coauthVersionLast="47" xr6:coauthVersionMax="47" xr10:uidLastSave="{00000000-0000-0000-0000-000000000000}"/>
  <bookViews>
    <workbookView xWindow="30645" yWindow="1185" windowWidth="9600" windowHeight="4905" xr2:uid="{00000000-000D-0000-FFFF-FFFF00000000}"/>
  </bookViews>
  <sheets>
    <sheet name="Hoja1" sheetId="3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E37" i="3"/>
  <c r="A37" i="3"/>
  <c r="F33" i="3"/>
  <c r="B33" i="3"/>
  <c r="E31" i="3"/>
  <c r="A31" i="3"/>
  <c r="C17" i="3"/>
  <c r="B16" i="3"/>
  <c r="B15" i="3"/>
  <c r="B13" i="3"/>
  <c r="H7" i="3"/>
</calcChain>
</file>

<file path=xl/sharedStrings.xml><?xml version="1.0" encoding="utf-8"?>
<sst xmlns="http://schemas.openxmlformats.org/spreadsheetml/2006/main" count="93" uniqueCount="86">
  <si>
    <t xml:space="preserve">FORMATO SYLLABUS 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</si>
  <si>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</si>
  <si>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</si>
  <si>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</si>
  <si>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</si>
  <si>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</si>
  <si>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Nuclear</t>
  </si>
  <si>
    <t>Facultad o Área</t>
  </si>
  <si>
    <t>FAFCE</t>
  </si>
  <si>
    <t>Programa</t>
  </si>
  <si>
    <t>Maestría en Gestión Financiera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</si>
  <si>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</si>
  <si>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</si>
  <si>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</si>
  <si>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</si>
  <si>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</si>
  <si>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</si>
  <si>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</si>
  <si>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</si>
  <si>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x</t>
  </si>
  <si>
    <t>Virtual</t>
  </si>
  <si>
    <t>Metodología (Aplica solo para unidades de estudio de la modalidad presencial)</t>
  </si>
  <si>
    <t>PAT</t>
  </si>
  <si>
    <t>In Situ</t>
  </si>
  <si>
    <t>X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</si>
  <si>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</si>
  <si>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</si>
  <si>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</si>
  <si>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</si>
  <si>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</si>
  <si>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</si>
  <si>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</si>
  <si>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</si>
  <si>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</si>
  <si>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</si>
  <si>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</si>
  <si>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</si>
  <si>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</si>
  <si>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</si>
  <si>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</si>
  <si>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</si>
  <si>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</si>
  <si>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</si>
  <si>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</si>
  <si>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</si>
  <si>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</si>
  <si>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</si>
  <si>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</si>
  <si>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</si>
  <si>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</si>
  <si>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</si>
  <si>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Ingles</t>
  </si>
  <si>
    <t>Porcentaje</t>
  </si>
  <si>
    <t>6.	Bibliografía Obligatoria y Complementaria.</t>
  </si>
  <si>
    <t>Bibliografía Obligatoria</t>
  </si>
  <si>
    <t>Bibliografia Complementaria</t>
  </si>
  <si>
    <t>Campo</t>
  </si>
  <si>
    <t>Contenido</t>
  </si>
  <si>
    <t>Nombre de la Unidad</t>
  </si>
  <si>
    <t>Análisis y Diagnóstico Financiero Integral</t>
  </si>
  <si>
    <t>Código</t>
  </si>
  <si>
    <t>ADFI001</t>
  </si>
  <si>
    <t>Créditos</t>
  </si>
  <si>
    <t>Carácter</t>
  </si>
  <si>
    <t>Modalidad</t>
  </si>
  <si>
    <t>Propósito</t>
  </si>
  <si>
    <t>Desarrollar en los estudiantes la capacidad de analizar la información contable y financiera de las organizaciones con un enfoque integral, empleando herramientas cuantitativas y cualitativas para la toma de decisiones estratégicas. Se articula con las tendencias actuales en gestión financiera, como la digitalización, la analítica de datos, la inteligencia artificial aplicada y la sostenibilidad empresarial, fortaleciendo el rol del CFO como aliado estratégico.</t>
  </si>
  <si>
    <t>RAP Asociados</t>
  </si>
  <si>
    <t>- Implementar herramientas analíticas para la gestión financiera.
- Diseñar planes estratégicos para áreas financieras.
- Organizar procesos financieros que optimicen la toma de decisiones.
- Plantear soluciones a problemas propios de la gestión financiera.</t>
  </si>
  <si>
    <t>RAU</t>
  </si>
  <si>
    <t>Analiza la información contable y financiera de la organización para orientar la toma de decisiones.</t>
  </si>
  <si>
    <t>Competencias</t>
  </si>
  <si>
    <t>Esenciales: Aprendizaje autónomo, pensamiento crítico.
Transversales: Competencia digital, investigativa, sostenibilidad.
Disciplinares: Análisis financiero y diagnóstico empresarial.</t>
  </si>
  <si>
    <t>Contenidos</t>
  </si>
  <si>
    <t>1. Estados financieros: estructura, análisis y notas.
2. Indicadores clave: liquidez, rentabilidad, solvencia y cobertura.
3. Técnicas de análisis vertical, horizontal y benchmarking sectorial.
4. Identificación de alertas tempranas y calidad de las utilidades.
5. Herramientas digitales de diagnóstico: Excel, Power BI y bases de datos financieras.</t>
  </si>
  <si>
    <t>Metodologías</t>
  </si>
  <si>
    <t>Clases magistrales interactivas.
Talleres prácticos con datos empresariales reales.
Estudio de casos de empresas nacionales e internacionales.
Aprendizaje colaborativo en la construcción de informes financieros.</t>
  </si>
  <si>
    <t>Estrategias de Evaluación</t>
  </si>
  <si>
    <t>- Ensayo individual de diagnóstico financiero: 20%
- Taller aplicado con dataset real (Excel/Power BI): 20%
- Estudio de caso grupal con análisis integral: 20%
- Proyecto final: informe de diagnóstico y presentación ejecutiva: 40%</t>
  </si>
  <si>
    <t>Criterios de Evaluación</t>
  </si>
  <si>
    <t>1. Interpretar indicadores financieros clave de liquidez, rentabilidad, solvencia y cobertura.
2. Aplicar herramientas digitales (Excel, Power BI) para procesar y presentar información financiera.
3. Evaluar resultados del análisis financiero comparativo y de benchmarking sectorial.
4. Elaborar un diagnóstico financiero integral en informe y presentación ejecutiva con recomendaciones.</t>
  </si>
  <si>
    <t>Excel avanzado, Power BI, bases de datos de Supersociedades y SFC, acceso a Bloomberg (si disponible).</t>
  </si>
  <si>
    <t>Bibliografía Básica</t>
  </si>
  <si>
    <t>Ortiz Anaya, H. (2022). Finanzas básicas para no financieros. Bogotá: Editorial.
Superintendencia de Sociedades. (2024). Estados financieros empresariales – informes sectoriales. Bogotá: Supersociedades.</t>
  </si>
  <si>
    <t>Bibliografía Complementaria</t>
  </si>
  <si>
    <t>EY. (2023). CFO y transformación digital en finanzas. EY Insights.
Colombia Fintech. (2025). Big data y analítica aplicada a finanzas.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</si>
</sst>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2" xfId="0" applyBorder="1" applyAlignment="1">
      <alignment horizontal="centerContinuous" wrapText="1"/>
    </xf>
    <xf numFmtId="0" fontId="0" fillId="0" borderId="24" xfId="0" applyBorder="1" applyAlignment="1">
      <alignment horizontal="centerContinuous"/>
    </xf>
    <xf numFmtId="0" fontId="0" fillId="0" borderId="21" xfId="0" applyBorder="1" applyAlignment="1">
      <alignment horizontal="centerContinuous"/>
    </xf>
    <xf numFmtId="0" fontId="0" fillId="0" borderId="25" xfId="0" applyBorder="1" applyAlignment="1">
      <alignment horizontal="centerContinuous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0" borderId="2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0" fillId="0" borderId="28" xfId="0" applyBorder="1" applyAlignment="1">
      <alignment horizontal="left" vertical="top" wrapText="1"/>
    </xf>
    <xf numFmtId="0" fontId="0" fillId="0" borderId="21" xfId="0" applyBorder="1" applyAlignment="1">
      <alignment horizontal="centerContinuous" vertical="top" wrapText="1"/>
    </xf>
    <xf numFmtId="0" fontId="0" fillId="0" borderId="22" xfId="0" applyBorder="1" applyAlignment="1">
      <alignment horizontal="centerContinuous" vertical="top" wrapText="1"/>
    </xf>
    <xf numFmtId="0" fontId="1" fillId="0" borderId="24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centerContinuous" vertical="center" wrapText="1"/>
    </xf>
    <xf numFmtId="0" fontId="1" fillId="0" borderId="21" xfId="0" applyFont="1" applyBorder="1" applyAlignment="1">
      <alignment horizontal="centerContinuous" vertical="center"/>
    </xf>
    <xf numFmtId="0" fontId="1" fillId="0" borderId="22" xfId="0" applyFont="1" applyBorder="1" applyAlignment="1">
      <alignment horizontal="centerContinuous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4" xfId="1" applyFont="1" applyBorder="1"/>
    <xf numFmtId="0" fontId="0" fillId="0" borderId="15" xfId="0" applyBorder="1" applyAlignment="1">
      <alignment horizontal="centerContinuous" wrapText="1"/>
    </xf>
    <xf numFmtId="0" fontId="0" fillId="0" borderId="27" xfId="0" applyBorder="1" applyAlignment="1">
      <alignment horizontal="centerContinuous" wrapText="1"/>
    </xf>
    <xf numFmtId="0" fontId="0" fillId="0" borderId="17" xfId="0" applyBorder="1" applyAlignment="1">
      <alignment horizontal="centerContinuous" wrapText="1"/>
    </xf>
    <xf numFmtId="0" fontId="0" fillId="0" borderId="15" xfId="0" applyBorder="1" applyAlignment="1">
      <alignment horizontal="centerContinuous" vertical="center" wrapText="1"/>
    </xf>
    <xf numFmtId="0" fontId="0" fillId="0" borderId="17" xfId="0" applyBorder="1" applyAlignment="1">
      <alignment horizontal="centerContinuous" vertical="center" wrapText="1"/>
    </xf>
    <xf numFmtId="0" fontId="0" fillId="0" borderId="16" xfId="0" applyBorder="1" applyAlignment="1">
      <alignment horizontal="centerContinuous" vertical="center" wrapText="1"/>
    </xf>
    <xf numFmtId="0" fontId="0" fillId="0" borderId="25" xfId="0" applyBorder="1" applyAlignment="1">
      <alignment horizontal="centerContinuous" vertical="top" wrapText="1"/>
    </xf>
    <xf numFmtId="0" fontId="0" fillId="0" borderId="15" xfId="0" applyBorder="1" applyAlignment="1">
      <alignment horizontal="centerContinuous" vertical="top" wrapText="1"/>
    </xf>
    <xf numFmtId="0" fontId="0" fillId="0" borderId="27" xfId="0" applyBorder="1" applyAlignment="1">
      <alignment horizontal="centerContinuous" vertical="top" wrapText="1"/>
    </xf>
    <xf numFmtId="0" fontId="0" fillId="0" borderId="16" xfId="0" applyBorder="1" applyAlignment="1">
      <alignment horizontal="centerContinuous" vertical="top" wrapText="1"/>
    </xf>
    <xf numFmtId="0" fontId="0" fillId="0" borderId="28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0</xdr:row>
      <xdr:rowOff>6350</xdr:rowOff>
    </xdr:from>
    <xdr:ext cx="2181225" cy="474436"/>
    <xdr:pic>
      <xdr:nvPicPr>
        <xdr:cNvPr id="2" name="Imagen 1">
          <a:extLst>
            <a:ext uri="{FF2B5EF4-FFF2-40B4-BE49-F238E27FC236}">
              <a16:creationId xmlns:a16="http://schemas.microsoft.com/office/drawing/2014/main" id="{5F7AFABF-34F2-467E-8ECA-876595CAF95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2181225" cy="4744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317E-BD22-4EE8-B5CD-9383028B0D00}">
  <dimension ref="A1:J37"/>
  <sheetViews>
    <sheetView tabSelected="1" zoomScale="70" zoomScaleNormal="70" zoomScalePageLayoutView="130" workbookViewId="0">
      <selection activeCell="D5" sqref="D5"/>
    </sheetView>
  </sheetViews>
  <sheetFormatPr defaultColWidth="11.42578125" defaultRowHeight="14.45"/>
  <cols>
    <col min="1" max="1" width="13.5703125" customWidth="1"/>
    <col min="5" max="5" width="12.140625" customWidth="1"/>
  </cols>
  <sheetData>
    <row r="1" spans="1:8">
      <c r="A1" s="63" t="s">
        <v>0</v>
      </c>
      <c r="B1" s="64"/>
      <c r="C1" s="64"/>
      <c r="D1" s="64"/>
      <c r="E1" s="64"/>
      <c r="F1" s="64"/>
      <c r="G1" s="64"/>
      <c r="H1" s="65"/>
    </row>
    <row r="2" spans="1:8">
      <c r="A2" s="66"/>
      <c r="B2" s="67"/>
      <c r="C2" s="67"/>
      <c r="D2" s="67"/>
      <c r="E2" s="67"/>
      <c r="F2" s="67"/>
      <c r="G2" s="67"/>
      <c r="H2" s="68"/>
    </row>
    <row r="3" spans="1:8" ht="15" thickBot="1">
      <c r="A3" s="69"/>
      <c r="B3" s="70"/>
      <c r="C3" s="70"/>
      <c r="D3" s="70"/>
      <c r="E3" s="70"/>
      <c r="F3" s="70"/>
      <c r="G3" s="70"/>
      <c r="H3" s="71"/>
    </row>
    <row r="4" spans="1:8">
      <c r="A4" s="72" t="s">
        <v>1</v>
      </c>
      <c r="B4" s="73"/>
      <c r="C4" s="73"/>
      <c r="D4" s="73"/>
      <c r="E4" s="73"/>
      <c r="F4" s="73"/>
      <c r="G4" s="73"/>
      <c r="H4" s="74"/>
    </row>
    <row r="5" spans="1:8" s="8" customFormat="1" ht="51.95" customHeight="1">
      <c r="A5" s="4" t="s">
        <v>2</v>
      </c>
      <c r="B5" s="5">
        <v>2026</v>
      </c>
      <c r="C5" s="6" t="s">
        <v>3</v>
      </c>
      <c r="D5" s="5"/>
      <c r="E5" s="6" t="s">
        <v>4</v>
      </c>
      <c r="F5" s="5"/>
      <c r="G5" s="6" t="s">
        <v>5</v>
      </c>
      <c r="H5" s="7" t="s">
        <v>6</v>
      </c>
    </row>
    <row r="6" spans="1:8" ht="54" customHeight="1">
      <c r="A6" s="9" t="s">
        <v>7</v>
      </c>
      <c r="B6" s="5" t="s">
        <v>8</v>
      </c>
      <c r="C6" s="10" t="s">
        <v>9</v>
      </c>
      <c r="D6" s="47" t="s">
        <v>10</v>
      </c>
      <c r="E6" s="49"/>
      <c r="F6" s="6" t="s">
        <v>11</v>
      </c>
      <c r="G6" s="47" t="str">
        <f>Sheet1!B2</f>
        <v>Análisis y Diagnóstico Financiero Integral</v>
      </c>
      <c r="H6" s="48"/>
    </row>
    <row r="7" spans="1:8" ht="51.6" customHeight="1" thickBot="1">
      <c r="A7" s="11" t="s">
        <v>12</v>
      </c>
      <c r="B7" s="12">
        <v>3</v>
      </c>
      <c r="C7" s="13" t="s">
        <v>13</v>
      </c>
      <c r="D7" s="12">
        <v>36</v>
      </c>
      <c r="E7" s="13" t="s">
        <v>14</v>
      </c>
      <c r="F7" s="12">
        <v>108</v>
      </c>
      <c r="G7" s="13" t="s">
        <v>15</v>
      </c>
      <c r="H7" s="14">
        <f>D7+F7</f>
        <v>144</v>
      </c>
    </row>
    <row r="8" spans="1:8" ht="14.45" customHeight="1">
      <c r="A8" s="75" t="s">
        <v>16</v>
      </c>
      <c r="B8" s="76"/>
      <c r="C8" s="76"/>
      <c r="D8" s="76"/>
      <c r="E8" s="76"/>
      <c r="F8" s="76"/>
      <c r="G8" s="76"/>
      <c r="H8" s="77"/>
    </row>
    <row r="9" spans="1:8" ht="60.6">
      <c r="A9" s="15" t="s">
        <v>17</v>
      </c>
      <c r="B9" s="10" t="s">
        <v>18</v>
      </c>
      <c r="C9" s="16"/>
      <c r="D9" s="17" t="s">
        <v>19</v>
      </c>
      <c r="E9" s="18"/>
      <c r="F9" s="19" t="s">
        <v>20</v>
      </c>
      <c r="G9" s="20"/>
      <c r="H9" s="21"/>
    </row>
    <row r="10" spans="1:8">
      <c r="A10" s="78" t="s">
        <v>21</v>
      </c>
      <c r="B10" s="79"/>
      <c r="C10" s="79"/>
      <c r="D10" s="79"/>
      <c r="E10" s="79"/>
      <c r="F10" s="79"/>
      <c r="G10" s="79"/>
      <c r="H10" s="80"/>
    </row>
    <row r="11" spans="1:8">
      <c r="A11" s="4" t="s">
        <v>22</v>
      </c>
      <c r="B11" s="81"/>
      <c r="C11" s="82"/>
      <c r="D11" s="10" t="s">
        <v>23</v>
      </c>
      <c r="E11" s="5" t="s">
        <v>24</v>
      </c>
      <c r="F11" s="10" t="s">
        <v>25</v>
      </c>
      <c r="G11" s="81"/>
      <c r="H11" s="83"/>
    </row>
    <row r="12" spans="1:8">
      <c r="A12" s="78" t="s">
        <v>26</v>
      </c>
      <c r="B12" s="79"/>
      <c r="C12" s="79"/>
      <c r="D12" s="79"/>
      <c r="E12" s="79"/>
      <c r="F12" s="79"/>
      <c r="G12" s="79"/>
      <c r="H12" s="80"/>
    </row>
    <row r="13" spans="1:8" ht="116.1">
      <c r="A13" s="22" t="s">
        <v>27</v>
      </c>
      <c r="B13" s="23" t="str">
        <f>Sheet1!B7</f>
        <v>Desarrollar en los estudiantes la capacidad de analizar la información contable y financiera de las organizaciones con un enfoque integral, empleando herramientas cuantitativas y cualitativas para la toma de decisiones estratégicas. Se articula con las tendencias actuales en gestión financiera, como la digitalización, la analítica de datos, la inteligencia artificial aplicada y la sostenibilidad empresarial, fortaleciendo el rol del CFO como aliado estratégico.</v>
      </c>
      <c r="C13" s="24"/>
      <c r="D13" s="25"/>
      <c r="E13" s="25"/>
      <c r="F13" s="25"/>
      <c r="G13" s="25"/>
      <c r="H13" s="26"/>
    </row>
    <row r="14" spans="1:8" ht="29.1">
      <c r="A14" s="22" t="s">
        <v>28</v>
      </c>
      <c r="B14" s="23"/>
      <c r="C14" s="24"/>
      <c r="D14" s="25"/>
      <c r="E14" s="25"/>
      <c r="F14" s="25"/>
      <c r="G14" s="25"/>
      <c r="H14" s="26"/>
    </row>
    <row r="15" spans="1:8" ht="101.45">
      <c r="A15" s="22" t="s">
        <v>29</v>
      </c>
      <c r="B15" s="23" t="str">
        <f>Sheet1!B8</f>
        <v>- Implementar herramientas analíticas para la gestión financiera.
- Diseñar planes estratégicos para áreas financieras.
- Organizar procesos financieros que optimicen la toma de decisiones.
- Plantear soluciones a problemas propios de la gestión financiera.</v>
      </c>
      <c r="C15" s="24"/>
      <c r="D15" s="25"/>
      <c r="E15" s="25"/>
      <c r="F15" s="25"/>
      <c r="G15" s="25"/>
      <c r="H15" s="26"/>
    </row>
    <row r="16" spans="1:8" ht="57.95">
      <c r="A16" s="22" t="s">
        <v>30</v>
      </c>
      <c r="B16" s="23" t="str">
        <f>Sheet1!B9</f>
        <v>Analiza la información contable y financiera de la organización para orientar la toma de decisiones.</v>
      </c>
      <c r="C16" s="24"/>
      <c r="D16" s="25"/>
      <c r="E16" s="25"/>
      <c r="F16" s="25"/>
      <c r="G16" s="25"/>
      <c r="H16" s="26"/>
    </row>
    <row r="17" spans="1:10" ht="120" customHeight="1">
      <c r="A17" s="84" t="s">
        <v>31</v>
      </c>
      <c r="B17" s="85"/>
      <c r="C17" s="44" t="str">
        <f>Sheet1!B14</f>
        <v>1. Interpretar indicadores financieros clave de liquidez, rentabilidad, solvencia y cobertura.
2. Aplicar herramientas digitales (Excel, Power BI) para procesar y presentar información financiera.
3. Evaluar resultados del análisis financiero comparativo y de benchmarking sectorial.
4. Elaborar un diagnóstico financiero integral en informe y presentación ejecutiva con recomendaciones.</v>
      </c>
      <c r="D17" s="45"/>
      <c r="E17" s="45"/>
      <c r="F17" s="45"/>
      <c r="G17" s="45"/>
      <c r="H17" s="46"/>
    </row>
    <row r="18" spans="1:10" ht="24.6" customHeight="1">
      <c r="A18" s="86" t="s">
        <v>32</v>
      </c>
      <c r="B18" s="87"/>
      <c r="C18" s="10" t="s">
        <v>33</v>
      </c>
      <c r="D18" s="5"/>
      <c r="E18" s="10" t="s">
        <v>34</v>
      </c>
      <c r="F18" s="5"/>
      <c r="G18" s="10" t="s">
        <v>35</v>
      </c>
      <c r="H18" s="7" t="s">
        <v>19</v>
      </c>
    </row>
    <row r="19" spans="1:10" ht="18.600000000000001" customHeight="1">
      <c r="A19" s="88"/>
      <c r="B19" s="89"/>
      <c r="C19" s="27" t="s">
        <v>36</v>
      </c>
      <c r="D19" s="5" t="s">
        <v>19</v>
      </c>
      <c r="E19" s="10" t="s">
        <v>37</v>
      </c>
      <c r="F19" s="5"/>
      <c r="G19" s="10" t="s">
        <v>38</v>
      </c>
      <c r="H19" s="7"/>
      <c r="I19" s="28"/>
      <c r="J19" s="28"/>
    </row>
    <row r="20" spans="1:10" ht="78.95" customHeight="1">
      <c r="A20" s="90"/>
      <c r="B20" s="91"/>
      <c r="C20" s="10" t="s">
        <v>39</v>
      </c>
      <c r="D20" s="5"/>
      <c r="E20" s="10" t="s">
        <v>40</v>
      </c>
      <c r="F20" s="5" t="s">
        <v>19</v>
      </c>
      <c r="G20" s="10" t="s">
        <v>41</v>
      </c>
      <c r="H20" s="7" t="s">
        <v>19</v>
      </c>
    </row>
    <row r="21" spans="1:10" ht="14.45" customHeight="1">
      <c r="A21" s="92" t="s">
        <v>42</v>
      </c>
      <c r="B21" s="93"/>
      <c r="C21" s="93"/>
      <c r="D21" s="93"/>
      <c r="E21" s="93"/>
      <c r="F21" s="93"/>
      <c r="G21" s="93"/>
      <c r="H21" s="94"/>
    </row>
    <row r="22" spans="1:10">
      <c r="A22" s="95"/>
      <c r="B22" s="96"/>
      <c r="C22" s="96"/>
      <c r="D22" s="96"/>
      <c r="E22" s="96"/>
      <c r="F22" s="96"/>
      <c r="G22" s="96"/>
      <c r="H22" s="97"/>
    </row>
    <row r="23" spans="1:10">
      <c r="A23" s="95"/>
      <c r="B23" s="96"/>
      <c r="C23" s="96"/>
      <c r="D23" s="96"/>
      <c r="E23" s="96"/>
      <c r="F23" s="96"/>
      <c r="G23" s="96"/>
      <c r="H23" s="97"/>
    </row>
    <row r="24" spans="1:10">
      <c r="A24" s="95"/>
      <c r="B24" s="96"/>
      <c r="C24" s="96"/>
      <c r="D24" s="96"/>
      <c r="E24" s="96"/>
      <c r="F24" s="96"/>
      <c r="G24" s="96"/>
      <c r="H24" s="97"/>
    </row>
    <row r="25" spans="1:10" ht="15" thickBot="1">
      <c r="A25" s="98"/>
      <c r="B25" s="99"/>
      <c r="C25" s="99"/>
      <c r="D25" s="99"/>
      <c r="E25" s="99"/>
      <c r="F25" s="99"/>
      <c r="G25" s="99"/>
      <c r="H25" s="100"/>
    </row>
    <row r="26" spans="1:10">
      <c r="A26" s="101" t="s">
        <v>43</v>
      </c>
      <c r="B26" s="102"/>
      <c r="C26" s="102"/>
      <c r="D26" s="102"/>
      <c r="E26" s="102"/>
      <c r="F26" s="102"/>
      <c r="G26" s="102"/>
      <c r="H26" s="103"/>
    </row>
    <row r="27" spans="1:10" ht="14.45" customHeight="1">
      <c r="A27" s="54" t="s">
        <v>44</v>
      </c>
      <c r="B27" s="55"/>
      <c r="C27" s="55"/>
      <c r="D27" s="55"/>
      <c r="E27" s="55"/>
      <c r="F27" s="55"/>
      <c r="G27" s="55"/>
      <c r="H27" s="56"/>
    </row>
    <row r="28" spans="1:10">
      <c r="A28" s="57"/>
      <c r="B28" s="58"/>
      <c r="C28" s="58"/>
      <c r="D28" s="58"/>
      <c r="E28" s="58"/>
      <c r="F28" s="58"/>
      <c r="G28" s="58"/>
      <c r="H28" s="59"/>
    </row>
    <row r="29" spans="1:10">
      <c r="A29" s="60"/>
      <c r="B29" s="61"/>
      <c r="C29" s="61"/>
      <c r="D29" s="61"/>
      <c r="E29" s="61"/>
      <c r="F29" s="61"/>
      <c r="G29" s="61"/>
      <c r="H29" s="62"/>
    </row>
    <row r="30" spans="1:10">
      <c r="A30" s="29" t="s">
        <v>45</v>
      </c>
      <c r="B30" s="30"/>
      <c r="C30" s="30"/>
      <c r="D30" s="31"/>
      <c r="E30" s="32" t="s">
        <v>46</v>
      </c>
      <c r="F30" s="30"/>
      <c r="G30" s="30"/>
      <c r="H30" s="33"/>
    </row>
    <row r="31" spans="1:10" ht="140.44999999999999" customHeight="1" thickBot="1">
      <c r="A31" s="104" t="str">
        <f>Sheet1!B11</f>
        <v>1. Estados financieros: estructura, análisis y notas.
2. Indicadores clave: liquidez, rentabilidad, solvencia y cobertura.
3. Técnicas de análisis vertical, horizontal y benchmarking sectorial.
4. Identificación de alertas tempranas y calidad de las utilidades.
5. Herramientas digitales de diagnóstico: Excel, Power BI y bases de datos financieras.</v>
      </c>
      <c r="B31" s="105"/>
      <c r="C31" s="105"/>
      <c r="D31" s="106"/>
      <c r="E31" s="107" t="str">
        <f>Sheet1!B12</f>
        <v>Clases magistrales interactivas.
Talleres prácticos con datos empresariales reales.
Estudio de casos de empresas nacionales e internacionales.
Aprendizaje colaborativo en la construcción de informes financieros.</v>
      </c>
      <c r="F31" s="105"/>
      <c r="G31" s="105"/>
      <c r="H31" s="108"/>
    </row>
    <row r="32" spans="1:10">
      <c r="A32" s="109" t="s">
        <v>47</v>
      </c>
      <c r="B32" s="110"/>
      <c r="C32" s="110"/>
      <c r="D32" s="110"/>
      <c r="E32" s="110"/>
      <c r="F32" s="110"/>
      <c r="G32" s="110"/>
      <c r="H32" s="111"/>
    </row>
    <row r="33" spans="1:8" ht="174">
      <c r="A33" s="34" t="s">
        <v>48</v>
      </c>
      <c r="B33" s="35" t="str">
        <f>Sheet1!B13</f>
        <v>- Ensayo individual de diagnóstico financiero: 20%
- Taller aplicado con dataset real (Excel/Power BI): 20%
- Estudio de caso grupal con análisis integral: 20%
- Proyecto final: informe de diagnóstico y presentación ejecutiva: 40%</v>
      </c>
      <c r="C33" s="35"/>
      <c r="D33" s="36"/>
      <c r="E33" s="37" t="s">
        <v>49</v>
      </c>
      <c r="F33" s="35" t="str">
        <f>Sheet1!B15</f>
        <v>Excel avanzado, Power BI, bases de datos de Supersociedades y SFC, acceso a Bloomberg (si disponible).</v>
      </c>
      <c r="G33" s="35"/>
      <c r="H33" s="50"/>
    </row>
    <row r="34" spans="1:8" ht="60.95" customHeight="1">
      <c r="A34" s="38" t="s">
        <v>50</v>
      </c>
      <c r="B34" s="39"/>
      <c r="C34" s="39"/>
      <c r="D34" s="40"/>
      <c r="E34" s="41" t="s">
        <v>51</v>
      </c>
      <c r="F34" s="42"/>
      <c r="G34" s="19" t="s">
        <v>52</v>
      </c>
      <c r="H34" s="43">
        <v>0.3</v>
      </c>
    </row>
    <row r="35" spans="1:8">
      <c r="A35" s="112" t="s">
        <v>53</v>
      </c>
      <c r="B35" s="113"/>
      <c r="C35" s="113"/>
      <c r="D35" s="113"/>
      <c r="E35" s="113"/>
      <c r="F35" s="113"/>
      <c r="G35" s="113"/>
      <c r="H35" s="114"/>
    </row>
    <row r="36" spans="1:8">
      <c r="A36" s="29" t="s">
        <v>54</v>
      </c>
      <c r="B36" s="30"/>
      <c r="C36" s="30"/>
      <c r="D36" s="31"/>
      <c r="E36" s="32" t="s">
        <v>55</v>
      </c>
      <c r="F36" s="30"/>
      <c r="G36" s="30"/>
      <c r="H36" s="33"/>
    </row>
    <row r="37" spans="1:8" ht="134.1" customHeight="1">
      <c r="A37" s="115" t="str">
        <f>Sheet1!B16</f>
        <v>Ortiz Anaya, H. (2022). Finanzas básicas para no financieros. Bogotá: Editorial.
Superintendencia de Sociedades. (2024). Estados financieros empresariales – informes sectoriales. Bogotá: Supersociedades.</v>
      </c>
      <c r="B37" s="116"/>
      <c r="C37" s="116"/>
      <c r="D37" s="117"/>
      <c r="E37" s="51" t="str">
        <f>Sheet1!B17</f>
        <v>EY. (2023). CFO y transformación digital en finanzas. EY Insights.
Colombia Fintech. (2025). Big data y analítica aplicada a finanzas.</v>
      </c>
      <c r="F37" s="52"/>
      <c r="G37" s="52"/>
      <c r="H37" s="53"/>
    </row>
  </sheetData>
  <mergeCells count="17">
    <mergeCell ref="A31:D31"/>
    <mergeCell ref="E31:H31"/>
    <mergeCell ref="A32:H32"/>
    <mergeCell ref="A35:H35"/>
    <mergeCell ref="A37:D37"/>
    <mergeCell ref="A27:H29"/>
    <mergeCell ref="A1:H3"/>
    <mergeCell ref="A4:H4"/>
    <mergeCell ref="A8:H8"/>
    <mergeCell ref="A10:H10"/>
    <mergeCell ref="B11:C11"/>
    <mergeCell ref="G11:H11"/>
    <mergeCell ref="A12:H12"/>
    <mergeCell ref="A17:B17"/>
    <mergeCell ref="A18:B20"/>
    <mergeCell ref="A21:H25"/>
    <mergeCell ref="A26:H26"/>
  </mergeCells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zoomScale="85" zoomScaleNormal="85" workbookViewId="0">
      <selection activeCell="B17" sqref="B17"/>
    </sheetView>
  </sheetViews>
  <sheetFormatPr defaultColWidth="8.7109375" defaultRowHeight="14.45"/>
  <cols>
    <col min="2" max="2" width="85.85546875" style="3" customWidth="1"/>
  </cols>
  <sheetData>
    <row r="1" spans="1:2">
      <c r="A1" s="1" t="s">
        <v>56</v>
      </c>
      <c r="B1" s="2" t="s">
        <v>57</v>
      </c>
    </row>
    <row r="2" spans="1:2">
      <c r="A2" t="s">
        <v>58</v>
      </c>
      <c r="B2" s="3" t="s">
        <v>59</v>
      </c>
    </row>
    <row r="3" spans="1:2">
      <c r="A3" t="s">
        <v>60</v>
      </c>
      <c r="B3" s="3" t="s">
        <v>61</v>
      </c>
    </row>
    <row r="4" spans="1:2">
      <c r="A4" t="s">
        <v>62</v>
      </c>
      <c r="B4" s="3">
        <v>3</v>
      </c>
    </row>
    <row r="5" spans="1:2">
      <c r="A5" t="s">
        <v>63</v>
      </c>
      <c r="B5" s="3" t="s">
        <v>6</v>
      </c>
    </row>
    <row r="6" spans="1:2">
      <c r="A6" t="s">
        <v>64</v>
      </c>
      <c r="B6" s="3" t="s">
        <v>18</v>
      </c>
    </row>
    <row r="7" spans="1:2" ht="72.599999999999994">
      <c r="A7" t="s">
        <v>65</v>
      </c>
      <c r="B7" s="3" t="s">
        <v>66</v>
      </c>
    </row>
    <row r="8" spans="1:2" ht="57.95">
      <c r="A8" t="s">
        <v>67</v>
      </c>
      <c r="B8" s="3" t="s">
        <v>68</v>
      </c>
    </row>
    <row r="9" spans="1:2">
      <c r="A9" t="s">
        <v>69</v>
      </c>
      <c r="B9" s="3" t="s">
        <v>70</v>
      </c>
    </row>
    <row r="10" spans="1:2" ht="43.5">
      <c r="A10" t="s">
        <v>71</v>
      </c>
      <c r="B10" s="3" t="s">
        <v>72</v>
      </c>
    </row>
    <row r="11" spans="1:2" ht="72.599999999999994">
      <c r="A11" t="s">
        <v>73</v>
      </c>
      <c r="B11" s="3" t="s">
        <v>74</v>
      </c>
    </row>
    <row r="12" spans="1:2" ht="57.95">
      <c r="A12" t="s">
        <v>75</v>
      </c>
      <c r="B12" s="3" t="s">
        <v>76</v>
      </c>
    </row>
    <row r="13" spans="1:2" ht="57.95">
      <c r="A13" t="s">
        <v>77</v>
      </c>
      <c r="B13" s="3" t="s">
        <v>78</v>
      </c>
    </row>
    <row r="14" spans="1:2" ht="72.599999999999994">
      <c r="A14" t="s">
        <v>79</v>
      </c>
      <c r="B14" s="3" t="s">
        <v>80</v>
      </c>
    </row>
    <row r="15" spans="1:2" ht="29.1">
      <c r="A15" t="s">
        <v>49</v>
      </c>
      <c r="B15" s="3" t="s">
        <v>81</v>
      </c>
    </row>
    <row r="16" spans="1:2" ht="43.5">
      <c r="A16" t="s">
        <v>82</v>
      </c>
      <c r="B16" s="3" t="s">
        <v>83</v>
      </c>
    </row>
    <row r="17" spans="1:2" ht="29.1">
      <c r="A17" t="s">
        <v>84</v>
      </c>
      <c r="B17" s="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FREDY RAFAEL LEYTON GONZALEZ</cp:lastModifiedBy>
  <cp:revision/>
  <dcterms:created xsi:type="dcterms:W3CDTF">2025-08-29T17:09:38Z</dcterms:created>
  <dcterms:modified xsi:type="dcterms:W3CDTF">2026-05-04T23:08:01Z</dcterms:modified>
  <cp:category/>
  <cp:contentStatus/>
</cp:coreProperties>
</file>