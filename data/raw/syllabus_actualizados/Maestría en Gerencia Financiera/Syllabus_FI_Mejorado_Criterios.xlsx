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3D5A3080-733E-4A62-B001-59F269066ABF}" xr6:coauthVersionLast="47" xr6:coauthVersionMax="47" xr10:uidLastSave="{00000000-0000-0000-0000-000000000000}"/>
  <bookViews>
    <workbookView xWindow="29295" yWindow="1935" windowWidth="9600" windowHeight="8025" xr2:uid="{00000000-000D-0000-FFFF-FFFF00000000}"/>
  </bookViews>
  <sheets>
    <sheet name="Hoja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<sst xmlns="http://schemas.openxmlformats.org/spreadsheetml/2006/main" count="94" uniqueCount="87">
  <si>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</si>
  <si>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</si>
  <si>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</si>
  <si>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</si>
  <si>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</si>
  <si>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</si>
  <si>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</si>
  <si>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</si>
  <si>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</si>
  <si>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</si>
  <si>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</si>
  <si>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</si>
  <si>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</si>
  <si>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</si>
  <si>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</si>
  <si>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</si>
  <si>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</si>
  <si>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</si>
  <si>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Finanzas Internacionales</t>
  </si>
  <si>
    <t>FI001</t>
  </si>
  <si>
    <t>Nuclear</t>
  </si>
  <si>
    <t>Presencial</t>
  </si>
  <si>
    <t>Desarrollar en los estudiantes la capacidad de analizar los flujos financieros internacionales y sus implicaciones para la gestión empresarial. Se articula con tendencias como la globalización de los mercados, la volatilidad cambiaria, el auge de los derivados internacionales, la regulación transfronteriza y la integración de criterios ESG en la financiación global.</t>
  </si>
  <si>
    <t>- Implementar herramientas analíticas para la gestión financiera.
- Diseñar planes estratégicos para áreas financieras.
- Plantear soluciones a problemas propios de la gestión financiera.</t>
  </si>
  <si>
    <t>Analiza los flujos financieros internacionales y sus implicaciones para la gestión financiera empresarial.</t>
  </si>
  <si>
    <t>Esenciales: Pensamiento crítico, aprendizaje autónomo.
Transversales: Competencia digital, visión global, sostenibilidad.
Disciplinares: Finanzas internacionales, gestión cambiaria, inversión global.</t>
  </si>
  <si>
    <t>1. Fundamentos de finanzas internacionales.
2. Balanza de pagos y flujos de capital.
3. Mercados cambiarios y determinación del tipo de cambio.
4. Riesgo cambiario y estrategias de cobertura.
5. Instrumentos financieros internacionales.
6. Casos aplicados: empresas multinacionales y mercado colombiano.</t>
  </si>
  <si>
    <t>Clases magistrales con análisis aplicado.
Talleres prácticos con información de mercados internacionales.
Estudio de casos de multinacionales y pymes exportadoras.
Simulaciones de cobertura cambiaria.</t>
  </si>
  <si>
    <t>- Ensayo individual sobre flujos financieros internacionales: 20%
- Taller de análisis de balanza de pagos y tipo de cambio: 20%
- Estudio de caso grupal sobre riesgo cambiario y coberturas: 20%
- Proyecto final: propuesta estratégica de gestión de finanzas internacionales: 40%</t>
  </si>
  <si>
    <t>1. Explicar los fundamentos de las finanzas internacionales y su relación con la gestión empresarial.
2. Aplicar herramientas de análisis a la balanza de pagos y flujos de capital.
3. Analizar riesgos cambiarios y alternativas de cobertura en contextos reales.
4. Diseñar una estrategia integral de finanzas internacionales para una empresa.</t>
  </si>
  <si>
    <t>Bases de datos de AMV Colombia, Bloomberg, Reuters, IMF Data, Banco de la República.</t>
  </si>
  <si>
    <t>AMV Colombia. (2025). Guías de mercado internacional. https://amvcolombia.org.co/
Krugman, P., &amp; Obstfeld, M. (2018). Economía internacional: Teoría y política (10.ª ed.). Pearson.</t>
  </si>
  <si>
    <t>Banco de la República. (2024). Informe de balanza de pagos de Colombia.
IMF. (2023). World Economic Outlook.
BIS. (2024). Foreign Exchange and Derivatives Statistics.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</si>
  <si>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</si>
  <si>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</si>
  <si>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</si>
  <si>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</si>
  <si>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</si>
  <si>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</si>
  <si>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</si>
  <si>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</si>
  <si>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</si>
  <si>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</si>
  <si>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</si>
  <si>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</si>
  <si>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</si>
  <si>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</si>
  <si>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</si>
  <si>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</si>
  <si>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</si>
  <si>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</si>
  <si>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</si>
  <si>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</si>
  <si>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</si>
  <si>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</si>
  <si>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</si>
  <si>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</si>
  <si>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</si>
  <si>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</si>
  <si>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</si>
  <si>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</si>
  <si>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</si>
  <si>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</si>
  <si>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</si>
  <si>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</si>
  <si>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</si>
  <si>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</si>
  <si>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</si>
  <si>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</si>
  <si>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</si>
  <si>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</si>
  <si>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</si>
  <si>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</si>
  <si>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</si>
  <si>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</si>
  <si>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</si>
  <si>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</si>
  <si>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</si>
  <si>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</si>
  <si>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</si>
  <si>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</si>
  <si>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</si>
  <si>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</si>
  <si>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</si>
  <si>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</si>
  <si>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</si>
  <si>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 xml:space="preserve">AMA01210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</si>
</sst>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B233EB4A-A83C-4A00-A86C-5358096546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E078-6463-4D09-95C0-BF22E8B8C254}">
  <dimension ref="A1:J37"/>
  <sheetViews>
    <sheetView tabSelected="1" topLeftCell="A12" zoomScale="70" zoomScaleNormal="70" zoomScalePageLayoutView="130" workbookViewId="0">
      <selection activeCell="B15" sqref="B15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61" t="s">
        <v>33</v>
      </c>
      <c r="B1" s="62"/>
      <c r="C1" s="62"/>
      <c r="D1" s="62"/>
      <c r="E1" s="62"/>
      <c r="F1" s="62"/>
      <c r="G1" s="62"/>
      <c r="H1" s="63"/>
    </row>
    <row r="2" spans="1:8" x14ac:dyDescent="0.35">
      <c r="A2" s="64"/>
      <c r="B2" s="65"/>
      <c r="C2" s="65"/>
      <c r="D2" s="65"/>
      <c r="E2" s="65"/>
      <c r="F2" s="65"/>
      <c r="G2" s="65"/>
      <c r="H2" s="66"/>
    </row>
    <row r="3" spans="1:8" ht="15" thickBot="1" x14ac:dyDescent="0.4">
      <c r="A3" s="67"/>
      <c r="B3" s="68"/>
      <c r="C3" s="68"/>
      <c r="D3" s="68"/>
      <c r="E3" s="68"/>
      <c r="F3" s="68"/>
      <c r="G3" s="68"/>
      <c r="H3" s="69"/>
    </row>
    <row r="4" spans="1:8" x14ac:dyDescent="0.35">
      <c r="A4" s="70" t="s">
        <v>34</v>
      </c>
      <c r="B4" s="71"/>
      <c r="C4" s="71"/>
      <c r="D4" s="71"/>
      <c r="E4" s="71"/>
      <c r="F4" s="71"/>
      <c r="G4" s="71"/>
      <c r="H4" s="72"/>
    </row>
    <row r="5" spans="1:8" s="6" customFormat="1" ht="52" customHeight="1" x14ac:dyDescent="0.35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86</v>
      </c>
      <c r="G5" s="4" t="s">
        <v>38</v>
      </c>
      <c r="H5" s="5" t="s">
        <v>20</v>
      </c>
    </row>
    <row r="6" spans="1:8" ht="54" customHeight="1" x14ac:dyDescent="0.35">
      <c r="A6" s="7" t="s">
        <v>39</v>
      </c>
      <c r="B6" s="3" t="s">
        <v>40</v>
      </c>
      <c r="C6" s="8" t="s">
        <v>41</v>
      </c>
      <c r="D6" s="9" t="s">
        <v>42</v>
      </c>
      <c r="E6" s="10"/>
      <c r="F6" s="4" t="s">
        <v>43</v>
      </c>
      <c r="G6" s="9" t="str">
        <f>Sheet1!B2</f>
        <v>Finanzas Internacionales</v>
      </c>
      <c r="H6" s="11"/>
    </row>
    <row r="7" spans="1:8" ht="51.5" customHeight="1" thickBot="1" x14ac:dyDescent="0.4">
      <c r="A7" s="12" t="s">
        <v>44</v>
      </c>
      <c r="B7" s="13">
        <v>3</v>
      </c>
      <c r="C7" s="14" t="s">
        <v>45</v>
      </c>
      <c r="D7" s="13">
        <v>36</v>
      </c>
      <c r="E7" s="14" t="s">
        <v>46</v>
      </c>
      <c r="F7" s="13">
        <v>108</v>
      </c>
      <c r="G7" s="14" t="s">
        <v>47</v>
      </c>
      <c r="H7" s="15">
        <f>D7+F7</f>
        <v>144</v>
      </c>
    </row>
    <row r="8" spans="1:8" ht="14.5" customHeight="1" x14ac:dyDescent="0.35">
      <c r="A8" s="73" t="s">
        <v>48</v>
      </c>
      <c r="B8" s="74"/>
      <c r="C8" s="74"/>
      <c r="D8" s="74"/>
      <c r="E8" s="74"/>
      <c r="F8" s="74"/>
      <c r="G8" s="74"/>
      <c r="H8" s="75"/>
    </row>
    <row r="9" spans="1:8" ht="60.5" x14ac:dyDescent="0.35">
      <c r="A9" s="16" t="s">
        <v>49</v>
      </c>
      <c r="B9" s="8" t="s">
        <v>21</v>
      </c>
      <c r="C9" s="17"/>
      <c r="D9" s="18" t="s">
        <v>50</v>
      </c>
      <c r="E9" s="19"/>
      <c r="F9" s="20" t="s">
        <v>51</v>
      </c>
      <c r="G9" s="21"/>
      <c r="H9" s="22"/>
    </row>
    <row r="10" spans="1:8" x14ac:dyDescent="0.35">
      <c r="A10" s="76" t="s">
        <v>52</v>
      </c>
      <c r="B10" s="77"/>
      <c r="C10" s="77"/>
      <c r="D10" s="77"/>
      <c r="E10" s="77"/>
      <c r="F10" s="77"/>
      <c r="G10" s="77"/>
      <c r="H10" s="78"/>
    </row>
    <row r="11" spans="1:8" x14ac:dyDescent="0.35">
      <c r="A11" s="2" t="s">
        <v>53</v>
      </c>
      <c r="B11" s="79"/>
      <c r="C11" s="80"/>
      <c r="D11" s="8" t="s">
        <v>54</v>
      </c>
      <c r="E11" s="3" t="s">
        <v>55</v>
      </c>
      <c r="F11" s="8" t="s">
        <v>56</v>
      </c>
      <c r="G11" s="79"/>
      <c r="H11" s="81"/>
    </row>
    <row r="12" spans="1:8" x14ac:dyDescent="0.35">
      <c r="A12" s="76" t="s">
        <v>57</v>
      </c>
      <c r="B12" s="77"/>
      <c r="C12" s="77"/>
      <c r="D12" s="77"/>
      <c r="E12" s="77"/>
      <c r="F12" s="77"/>
      <c r="G12" s="77"/>
      <c r="H12" s="78"/>
    </row>
    <row r="13" spans="1:8" ht="101.5" x14ac:dyDescent="0.35">
      <c r="A13" s="23" t="s">
        <v>58</v>
      </c>
      <c r="B13" s="24" t="str">
        <f>Sheet1!B7</f>
        <v>Desarrollar en los estudiantes la capacidad de analizar los flujos financieros internacionales y sus implicaciones para la gestión empresarial. Se articula con tendencias como la globalización de los mercados, la volatilidad cambiaria, el auge de los derivados internacionales, la regulación transfronteriza y la integración de criterios ESG en la financiación global.</v>
      </c>
      <c r="C13" s="25"/>
      <c r="D13" s="26"/>
      <c r="E13" s="26"/>
      <c r="F13" s="26"/>
      <c r="G13" s="26"/>
      <c r="H13" s="27"/>
    </row>
    <row r="14" spans="1:8" ht="29" x14ac:dyDescent="0.35">
      <c r="A14" s="23" t="s">
        <v>59</v>
      </c>
      <c r="B14" s="24" t="str">
        <f>B15</f>
        <v>- Implementar herramientas analíticas para la gestión financiera.
- Diseñar planes estratégicos para áreas financieras.
- Plantear soluciones a problemas propios de la gestión financiera.</v>
      </c>
      <c r="C14" s="25"/>
      <c r="D14" s="26"/>
      <c r="E14" s="26"/>
      <c r="F14" s="26"/>
      <c r="G14" s="26"/>
      <c r="H14" s="27"/>
    </row>
    <row r="15" spans="1:8" ht="72.5" x14ac:dyDescent="0.35">
      <c r="A15" s="23" t="s">
        <v>60</v>
      </c>
      <c r="B15" s="24" t="str">
        <f>Sheet1!B8</f>
        <v>- Implementar herramientas analíticas para la gestión financiera.
- Diseñar planes estratégicos para áreas financieras.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8" x14ac:dyDescent="0.35">
      <c r="A16" s="23" t="s">
        <v>61</v>
      </c>
      <c r="B16" s="24" t="str">
        <f>Sheet1!B9</f>
        <v>Analiza los flujos financieros internacionales y sus implicaciones para la gestión financiera empresarial.</v>
      </c>
      <c r="C16" s="25"/>
      <c r="D16" s="26"/>
      <c r="E16" s="26"/>
      <c r="F16" s="26"/>
      <c r="G16" s="26"/>
      <c r="H16" s="27"/>
    </row>
    <row r="17" spans="1:10" ht="120" customHeight="1" x14ac:dyDescent="0.35">
      <c r="A17" s="82" t="s">
        <v>62</v>
      </c>
      <c r="B17" s="83"/>
      <c r="C17" s="28" t="str">
        <f>Sheet1!B14</f>
        <v>1. Explicar los fundamentos de las finanzas internacionales y su relación con la gestión empresarial.
2. Aplicar herramientas de análisis a la balanza de pagos y flujos de capital.
3. Analizar riesgos cambiarios y alternativas de cobertura en contextos reales.
4. Diseñar una estrategia integral de finanzas internacionales para una empresa.</v>
      </c>
      <c r="D17" s="29"/>
      <c r="E17" s="29"/>
      <c r="F17" s="29"/>
      <c r="G17" s="29"/>
      <c r="H17" s="30"/>
    </row>
    <row r="18" spans="1:10" ht="24.5" customHeight="1" x14ac:dyDescent="0.35">
      <c r="A18" s="84" t="s">
        <v>63</v>
      </c>
      <c r="B18" s="85"/>
      <c r="C18" s="8" t="s">
        <v>64</v>
      </c>
      <c r="D18" s="3"/>
      <c r="E18" s="8" t="s">
        <v>65</v>
      </c>
      <c r="F18" s="3"/>
      <c r="G18" s="8" t="s">
        <v>66</v>
      </c>
      <c r="H18" s="5" t="s">
        <v>50</v>
      </c>
    </row>
    <row r="19" spans="1:10" ht="18.5" customHeight="1" x14ac:dyDescent="0.35">
      <c r="A19" s="86"/>
      <c r="B19" s="87"/>
      <c r="C19" s="31" t="s">
        <v>67</v>
      </c>
      <c r="D19" s="3" t="s">
        <v>50</v>
      </c>
      <c r="E19" s="8" t="s">
        <v>68</v>
      </c>
      <c r="F19" s="3"/>
      <c r="G19" s="8" t="s">
        <v>69</v>
      </c>
      <c r="H19" s="5"/>
      <c r="I19" s="32"/>
      <c r="J19" s="32"/>
    </row>
    <row r="20" spans="1:10" ht="79" customHeight="1" x14ac:dyDescent="0.35">
      <c r="A20" s="88"/>
      <c r="B20" s="89"/>
      <c r="C20" s="8" t="s">
        <v>70</v>
      </c>
      <c r="D20" s="3"/>
      <c r="E20" s="8" t="s">
        <v>71</v>
      </c>
      <c r="F20" s="3" t="s">
        <v>50</v>
      </c>
      <c r="G20" s="8" t="s">
        <v>72</v>
      </c>
      <c r="H20" s="5" t="s">
        <v>50</v>
      </c>
    </row>
    <row r="21" spans="1:10" ht="14.5" customHeight="1" x14ac:dyDescent="0.35">
      <c r="A21" s="90" t="s">
        <v>73</v>
      </c>
      <c r="B21" s="91"/>
      <c r="C21" s="91"/>
      <c r="D21" s="91"/>
      <c r="E21" s="91"/>
      <c r="F21" s="91"/>
      <c r="G21" s="91"/>
      <c r="H21" s="92"/>
    </row>
    <row r="22" spans="1:10" x14ac:dyDescent="0.35">
      <c r="A22" s="93"/>
      <c r="B22" s="94"/>
      <c r="C22" s="94"/>
      <c r="D22" s="94"/>
      <c r="E22" s="94"/>
      <c r="F22" s="94"/>
      <c r="G22" s="94"/>
      <c r="H22" s="95"/>
    </row>
    <row r="23" spans="1:10" x14ac:dyDescent="0.35">
      <c r="A23" s="93"/>
      <c r="B23" s="94"/>
      <c r="C23" s="94"/>
      <c r="D23" s="94"/>
      <c r="E23" s="94"/>
      <c r="F23" s="94"/>
      <c r="G23" s="94"/>
      <c r="H23" s="95"/>
    </row>
    <row r="24" spans="1:10" x14ac:dyDescent="0.35">
      <c r="A24" s="93"/>
      <c r="B24" s="94"/>
      <c r="C24" s="94"/>
      <c r="D24" s="94"/>
      <c r="E24" s="94"/>
      <c r="F24" s="94"/>
      <c r="G24" s="94"/>
      <c r="H24" s="95"/>
    </row>
    <row r="25" spans="1:10" ht="15" thickBot="1" x14ac:dyDescent="0.4">
      <c r="A25" s="96"/>
      <c r="B25" s="97"/>
      <c r="C25" s="97"/>
      <c r="D25" s="97"/>
      <c r="E25" s="97"/>
      <c r="F25" s="97"/>
      <c r="G25" s="97"/>
      <c r="H25" s="98"/>
    </row>
    <row r="26" spans="1:10" x14ac:dyDescent="0.35">
      <c r="A26" s="99" t="s">
        <v>74</v>
      </c>
      <c r="B26" s="100"/>
      <c r="C26" s="100"/>
      <c r="D26" s="100"/>
      <c r="E26" s="100"/>
      <c r="F26" s="100"/>
      <c r="G26" s="100"/>
      <c r="H26" s="101"/>
    </row>
    <row r="27" spans="1:10" ht="14.5" customHeight="1" x14ac:dyDescent="0.35">
      <c r="A27" s="52" t="s">
        <v>75</v>
      </c>
      <c r="B27" s="53"/>
      <c r="C27" s="53"/>
      <c r="D27" s="53"/>
      <c r="E27" s="53"/>
      <c r="F27" s="53"/>
      <c r="G27" s="53"/>
      <c r="H27" s="54"/>
    </row>
    <row r="28" spans="1:10" x14ac:dyDescent="0.35">
      <c r="A28" s="55"/>
      <c r="B28" s="56"/>
      <c r="C28" s="56"/>
      <c r="D28" s="56"/>
      <c r="E28" s="56"/>
      <c r="F28" s="56"/>
      <c r="G28" s="56"/>
      <c r="H28" s="57"/>
    </row>
    <row r="29" spans="1:10" x14ac:dyDescent="0.35">
      <c r="A29" s="58"/>
      <c r="B29" s="59"/>
      <c r="C29" s="59"/>
      <c r="D29" s="59"/>
      <c r="E29" s="59"/>
      <c r="F29" s="59"/>
      <c r="G29" s="59"/>
      <c r="H29" s="60"/>
    </row>
    <row r="30" spans="1:10" x14ac:dyDescent="0.35">
      <c r="A30" s="33" t="s">
        <v>76</v>
      </c>
      <c r="B30" s="34"/>
      <c r="C30" s="34"/>
      <c r="D30" s="35"/>
      <c r="E30" s="36" t="s">
        <v>77</v>
      </c>
      <c r="F30" s="34"/>
      <c r="G30" s="34"/>
      <c r="H30" s="37"/>
    </row>
    <row r="31" spans="1:10" ht="140.5" customHeight="1" thickBot="1" x14ac:dyDescent="0.4">
      <c r="A31" s="102" t="str">
        <f>Sheet1!B11</f>
        <v>1. Fundamentos de finanzas internacionales.
2. Balanza de pagos y flujos de capital.
3. Mercados cambiarios y determinación del tipo de cambio.
4. Riesgo cambiario y estrategias de cobertura.
5. Instrumentos financieros internacionales.
6. Casos aplicados: empresas multinacionales y mercado colombiano.</v>
      </c>
      <c r="B31" s="103"/>
      <c r="C31" s="103"/>
      <c r="D31" s="104"/>
      <c r="E31" s="105" t="str">
        <f>Sheet1!B12</f>
        <v>Clases magistrales con análisis aplicado.
Talleres prácticos con información de mercados internacionales.
Estudio de casos de multinacionales y pymes exportadoras.
Simulaciones de cobertura cambiaria.</v>
      </c>
      <c r="F31" s="103"/>
      <c r="G31" s="103"/>
      <c r="H31" s="106"/>
    </row>
    <row r="32" spans="1:10" x14ac:dyDescent="0.35">
      <c r="A32" s="107" t="s">
        <v>78</v>
      </c>
      <c r="B32" s="108"/>
      <c r="C32" s="108"/>
      <c r="D32" s="108"/>
      <c r="E32" s="108"/>
      <c r="F32" s="108"/>
      <c r="G32" s="108"/>
      <c r="H32" s="109"/>
    </row>
    <row r="33" spans="1:8" ht="188.5" x14ac:dyDescent="0.35">
      <c r="A33" s="38" t="s">
        <v>79</v>
      </c>
      <c r="B33" s="39" t="str">
        <f>Sheet1!B13</f>
        <v>- Ensayo individual sobre flujos financieros internacionales: 20%
- Taller de análisis de balanza de pagos y tipo de cambio: 20%
- Estudio de caso grupal sobre riesgo cambiario y coberturas: 20%
- Proyecto final: propuesta estratégica de gestión de finanzas internacionales: 40%</v>
      </c>
      <c r="C33" s="39"/>
      <c r="D33" s="40"/>
      <c r="E33" s="41" t="s">
        <v>15</v>
      </c>
      <c r="F33" s="39" t="str">
        <f>Sheet1!B15</f>
        <v>Bases de datos de AMV Colombia, Bloomberg, Reuters, IMF Data, Banco de la República.</v>
      </c>
      <c r="G33" s="39"/>
      <c r="H33" s="42"/>
    </row>
    <row r="34" spans="1:8" ht="61" customHeight="1" x14ac:dyDescent="0.35">
      <c r="A34" s="43" t="s">
        <v>80</v>
      </c>
      <c r="B34" s="44"/>
      <c r="C34" s="44"/>
      <c r="D34" s="45"/>
      <c r="E34" s="46" t="s">
        <v>81</v>
      </c>
      <c r="F34" s="47"/>
      <c r="G34" s="20" t="s">
        <v>82</v>
      </c>
      <c r="H34" s="48">
        <v>0.3</v>
      </c>
    </row>
    <row r="35" spans="1:8" x14ac:dyDescent="0.35">
      <c r="A35" s="110" t="s">
        <v>83</v>
      </c>
      <c r="B35" s="111"/>
      <c r="C35" s="111"/>
      <c r="D35" s="111"/>
      <c r="E35" s="111"/>
      <c r="F35" s="111"/>
      <c r="G35" s="111"/>
      <c r="H35" s="112"/>
    </row>
    <row r="36" spans="1:8" x14ac:dyDescent="0.35">
      <c r="A36" s="33" t="s">
        <v>84</v>
      </c>
      <c r="B36" s="34"/>
      <c r="C36" s="34"/>
      <c r="D36" s="35"/>
      <c r="E36" s="36" t="s">
        <v>85</v>
      </c>
      <c r="F36" s="34"/>
      <c r="G36" s="34"/>
      <c r="H36" s="37"/>
    </row>
    <row r="37" spans="1:8" ht="134" customHeight="1" x14ac:dyDescent="0.35">
      <c r="A37" s="113" t="str">
        <f>Sheet1!B16</f>
        <v>AMV Colombia. (2025). Guías de mercado internacional. https://amvcolombia.org.co/
Krugman, P., &amp; Obstfeld, M. (2018). Economía internacional: Teoría y política (10.ª ed.). Pearson.</v>
      </c>
      <c r="B37" s="114"/>
      <c r="C37" s="114"/>
      <c r="D37" s="115"/>
      <c r="E37" s="49" t="str">
        <f>Sheet1!B17</f>
        <v>Banco de la República. (2024). Informe de balanza de pagos de Colombia.
IMF. (2023). World Economic Outlook.
BIS. (2024). Foreign Exchange and Derivatives Statistics.</v>
      </c>
      <c r="F37" s="50"/>
      <c r="G37" s="50"/>
      <c r="H37" s="51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2025-08-29T17:50:44Z</dcterms:created>
  <dcterms:modified xsi:type="dcterms:W3CDTF">2025-09-02T03:07:52Z</dcterms:modified>
</cp:coreProperties>
</file>