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defaultThemeVersion="124226"/>
  <mc:AlternateContent xmlns:mc="http://schemas.openxmlformats.org/markup-compatibility/2006">
    <mc:Choice Requires="x15">
      <x15ac:absPath xmlns:x15ac="http://schemas.microsoft.com/office/spreadsheetml/2010/11/ac" url="C:\Users\wzuluaga\Downloads\"/>
    </mc:Choice>
  </mc:AlternateContent>
  <xr:revisionPtr revIDLastSave="0" documentId="13_ncr:1_{DF940583-ACDD-4504-A906-7BC32828E9F3}" xr6:coauthVersionLast="47" xr6:coauthVersionMax="47" xr10:uidLastSave="{00000000-0000-0000-0000-000000000000}"/>
  <bookViews>
    <workbookView xWindow="35670" yWindow="3285" windowWidth="9600" windowHeight="8025" xr2:uid="{00000000-000D-0000-FFFF-FFFF00000000}"/>
  </bookViews>
  <sheets>
    <sheet name="Hoja1" sheetId="2" r:id="rId1"/>
    <sheet name="Sheet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2" l="1"/>
  <c r="A37" i="2"/>
  <c r="F33" i="2"/>
  <c r="B33" i="2"/>
  <c r="E31" i="2"/>
  <c r="A31" i="2"/>
  <c r="C17" i="2"/>
  <c r="B16" i="2"/>
  <c r="B15" i="2"/>
  <c r="B13" i="2"/>
  <c r="G6" i="2"/>
  <c r="H7" i="2"/>
</calcChain>
</file>

<file path=xl/sharedStrings.xml><?xml version="1.0" encoding="utf-8"?>
<sst xmlns="http://schemas.openxmlformats.org/spreadsheetml/2006/main" count="94" uniqueCount="87">
  <si>
    <t xml:space="preserve">FORMATO SYLLABUS </t>
  </si>
  <si>
    <t>1.	Información General de la Unidad de Estudio</t>
  </si>
  <si>
    <t>Año</t>
  </si>
  <si>
    <t>Código Plan de estudios</t>
  </si>
  <si>
    <t>Código Unidad de Estudio</t>
  </si>
  <si>
    <t xml:space="preserve">AMA01481 </t>
  </si>
  <si>
    <t>Tipo Unidad de estudio</t>
  </si>
  <si>
    <t>Nuclear</t>
  </si>
  <si>
    <t>Facultad o Área</t>
  </si>
  <si>
    <t>FAFCE</t>
  </si>
  <si>
    <t>Programa</t>
  </si>
  <si>
    <t>Maestría en Gestión Financiera</t>
  </si>
  <si>
    <t>Nombre Unidad  de estudios</t>
  </si>
  <si>
    <t>Créditos Académicos</t>
  </si>
  <si>
    <t>HAD</t>
  </si>
  <si>
    <t>HTA</t>
  </si>
  <si>
    <t>HT</t>
  </si>
  <si>
    <t>2. Modalidad y Metodología</t>
  </si>
  <si>
    <t>Seleccione con una X la modalidad en la que se desarrolla la Unidad.</t>
  </si>
  <si>
    <t>Presencial</t>
  </si>
  <si>
    <t>x</t>
  </si>
  <si>
    <t>Virtual</t>
  </si>
  <si>
    <t>Metodología (Aplica solo para unidades de estudio de la modalidad presencial)</t>
  </si>
  <si>
    <t>PAT</t>
  </si>
  <si>
    <t>In Situ</t>
  </si>
  <si>
    <t>X</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</si>
  <si>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</si>
  <si>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</si>
  <si>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</si>
  <si>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</si>
  <si>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</si>
  <si>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</si>
  <si>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</si>
  <si>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</si>
  <si>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</si>
  <si>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</si>
  <si>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</si>
  <si>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</si>
  <si>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</si>
  <si>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</si>
  <si>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</si>
  <si>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</si>
  <si>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</si>
  <si>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</si>
  <si>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</si>
  <si>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</si>
  <si>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</si>
  <si>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</si>
  <si>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</si>
  <si>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</si>
  <si>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</si>
  <si>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</si>
  <si>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Ingles</t>
  </si>
  <si>
    <t>Porcentaje</t>
  </si>
  <si>
    <t>6.	Bibliografía Obligatoria y Complementaria.</t>
  </si>
  <si>
    <t>Bibliografía Obligatoria</t>
  </si>
  <si>
    <t>Bibliografia Complementaria</t>
  </si>
  <si>
    <t>Campo</t>
  </si>
  <si>
    <t>Contenido</t>
  </si>
  <si>
    <t>Nombre de la Unidad</t>
  </si>
  <si>
    <t>Gestión de Riesgo Empresarial y Financiero</t>
  </si>
  <si>
    <t>Código</t>
  </si>
  <si>
    <t>GRF001</t>
  </si>
  <si>
    <t>Créditos</t>
  </si>
  <si>
    <t>Carácter</t>
  </si>
  <si>
    <t>Modalidad</t>
  </si>
  <si>
    <t>Propósito</t>
  </si>
  <si>
    <t>Desarrollar en los estudiantes la capacidad de identificar, medir y gestionar riesgos financieros y empresariales bajo marcos de referencia internacionales. Se articula con tendencias 2025 como la resiliencia organizacional, la gestión integral de riesgos (ERM), el uso de analítica de datos para detección temprana, la regulación internacional de riesgos (Basilea III, Solvencia II) y la incorporación de criterios ESG en la gestión de riesgos.</t>
  </si>
  <si>
    <t>RAP Asociados</t>
  </si>
  <si>
    <t>- Implementar herramientas analíticas para la gestión financiera.
- Organizar procesos financieros que optimicen la toma de decisiones.
- Plantear soluciones a problemas propios de la gestión financiera.</t>
  </si>
  <si>
    <t>RAU</t>
  </si>
  <si>
    <t>Gestiona los riesgos financieros y empresariales aplicando marcos de referencia internacionales.</t>
  </si>
  <si>
    <t>Competencias</t>
  </si>
  <si>
    <t>Esenciales: Pensamiento crítico, aprendizaje autónomo.
Transversales: Competencia investigativa, sostenibilidad, ética profesional.
Disciplinares: Gestión de riesgos financieros, ERM, compliance.</t>
  </si>
  <si>
    <t>Contenidos</t>
  </si>
  <si>
    <t>1. Fundamentos de la gestión integral de riesgos (ERM).
2. Identificación y clasificación de riesgos: estratégicos, operativos, financieros.
3. Herramientas de medición: VaR, stress testing, escenarios.
4. Normativa y estándares internacionales (Basilea III, COSO ERM).
5. Planes de mitigación y continuidad del negocio.
6. Casos aplicados en empresas del sector real y financiero.</t>
  </si>
  <si>
    <t>Metodologías</t>
  </si>
  <si>
    <t>Clases magistrales y análisis de modelos de riesgo.
Talleres de identificación y evaluación de riesgos.
Estudio de casos empresariales con incidentes reales.
Simulación de escenarios de gestión de crisis.</t>
  </si>
  <si>
    <t>Estrategias de Evaluación</t>
  </si>
  <si>
    <t>- Ensayo individual sobre marcos internacionales de gestión de riesgos: 20%
- Taller de identificación y evaluación de riesgos en una empresa: 20%
- Estudio de caso grupal sobre incidentes de riesgo financiero: 20%
- Proyecto final: plan integral de gestión de riesgos para una organización: 40%</t>
  </si>
  <si>
    <t>Criterios de Evaluación</t>
  </si>
  <si>
    <t>1. Explicar los fundamentos y marcos internacionales de gestión de riesgos.
2. Aplicar herramientas de medición y análisis de riesgos.
3. Analizar incidentes reales y su impacto en las organizaciones.
4. Diseñar un plan integral de gestión de riesgos con enfoque ESG.</t>
  </si>
  <si>
    <t>Excel avanzado, software de gestión de riesgos (RiskMetrics, @RISK), bases de datos regulatorias y sectoriales.</t>
  </si>
  <si>
    <t>Bibliografía Básica</t>
  </si>
  <si>
    <t>Lam, J. (2021). Enterprise Risk Management: From Incentives to Controls (2nd ed.). Wiley.
COSO. (2017). Enterprise Risk Management – Integrating with Strategy and Performance.</t>
  </si>
  <si>
    <t>Bibliografía Complementaria</t>
  </si>
  <si>
    <t>BCBS. (2023). Basilea III: Requerimientos de capital y gestión de riesgos.
ISO. (2018). ISO 31000: Risk Management Guidelines.
Deloitte. (2024). Tendencias en gestión de riesgos empresariales.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</si>
</sst>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1"/>
      <color theme="1"/>
      <name val="Calibri"/>
      <family val="2"/>
      <scheme val="minor"/>
    </font>
    <font>
      <b/>
      <sz val="9"/>
      <color theme="1"/>
      <name val="Calibri"/>
      <family val="2"/>
      <scheme val="minor"/>
    </font>
    <font>
      <sz val="10"/>
      <color rgb="FF231F20"/>
      <name val="Arial"/>
      <family val="2"/>
    </font>
    <font>
      <b/>
      <sz val="10"/>
      <color rgb="FF231F20"/>
      <name val="Arial"/>
      <family val="2"/>
    </font>
  </fonts>
  <fills count="3">
    <fill>
      <patternFill patternType="none"/>
    </fill>
    <fill>
      <patternFill patternType="gray125"/>
    </fill>
    <fill>
      <patternFill patternType="solid">
        <fgColor theme="0"/>
        <bgColor indexed="64"/>
      </patternFill>
    </fill>
  </fills>
  <borders count="36">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diagonal/>
    </border>
    <border>
      <left/>
      <right style="thin">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s>
  <cellStyleXfs count="2">
    <xf numFmtId="0" fontId="0" fillId="0" borderId="0"/>
    <xf numFmtId="9" fontId="2" fillId="0" borderId="0" applyFont="0" applyFill="0" applyBorder="0" applyAlignment="0" applyProtection="0"/>
  </cellStyleXfs>
  <cellXfs count="116">
    <xf numFmtId="0" fontId="0" fillId="0" borderId="0" xfId="0"/>
    <xf numFmtId="0" fontId="1" fillId="0" borderId="1" xfId="0" applyFont="1" applyBorder="1" applyAlignment="1">
      <alignment horizontal="center" vertical="top"/>
    </xf>
    <xf numFmtId="0" fontId="1" fillId="0" borderId="13"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0" fillId="0" borderId="14" xfId="0" applyBorder="1" applyAlignment="1">
      <alignment horizontal="center" vertical="center"/>
    </xf>
    <xf numFmtId="0" fontId="0" fillId="0" borderId="0" xfId="0" applyAlignment="1">
      <alignment vertical="center"/>
    </xf>
    <xf numFmtId="0" fontId="1" fillId="0" borderId="13" xfId="0" applyFont="1" applyBorder="1" applyAlignment="1">
      <alignment horizontal="center" vertical="center" wrapText="1"/>
    </xf>
    <xf numFmtId="0" fontId="1" fillId="0" borderId="1" xfId="0" applyFont="1" applyBorder="1" applyAlignment="1">
      <alignment horizontal="center" vertical="center"/>
    </xf>
    <xf numFmtId="0" fontId="0" fillId="0" borderId="15" xfId="0" applyBorder="1" applyAlignment="1">
      <alignment horizontal="centerContinuous" vertical="center" wrapText="1"/>
    </xf>
    <xf numFmtId="0" fontId="0" fillId="0" borderId="16" xfId="0" applyBorder="1" applyAlignment="1">
      <alignment horizontal="centerContinuous" vertical="center" wrapText="1"/>
    </xf>
    <xf numFmtId="0" fontId="0" fillId="0" borderId="17" xfId="0" applyBorder="1" applyAlignment="1">
      <alignment horizontal="centerContinuous" vertical="center" wrapText="1"/>
    </xf>
    <xf numFmtId="0" fontId="1" fillId="0" borderId="18" xfId="0" applyFont="1" applyBorder="1" applyAlignment="1">
      <alignment horizontal="center" vertical="center" wrapText="1"/>
    </xf>
    <xf numFmtId="0" fontId="0" fillId="0" borderId="19" xfId="0" applyBorder="1" applyAlignment="1">
      <alignment horizontal="center" vertical="center"/>
    </xf>
    <xf numFmtId="0" fontId="1" fillId="0" borderId="19" xfId="0" applyFont="1" applyBorder="1" applyAlignment="1">
      <alignment horizontal="center" vertical="center" wrapText="1"/>
    </xf>
    <xf numFmtId="0" fontId="0" fillId="0" borderId="20" xfId="0" applyBorder="1" applyAlignment="1">
      <alignment horizontal="center" vertical="center"/>
    </xf>
    <xf numFmtId="0" fontId="3" fillId="0" borderId="1" xfId="0" applyFont="1" applyBorder="1" applyAlignment="1">
      <alignment horizontal="center" wrapText="1"/>
    </xf>
    <xf numFmtId="0" fontId="0" fillId="0" borderId="1" xfId="0" applyBorder="1"/>
    <xf numFmtId="0" fontId="0" fillId="0" borderId="21" xfId="0" applyBorder="1" applyAlignment="1">
      <alignment horizontal="center"/>
    </xf>
    <xf numFmtId="0" fontId="0" fillId="0" borderId="22" xfId="0" applyBorder="1" applyAlignment="1">
      <alignment horizontal="center"/>
    </xf>
    <xf numFmtId="0" fontId="1" fillId="0" borderId="23" xfId="0" applyFont="1" applyBorder="1" applyAlignment="1">
      <alignment horizontal="center" vertical="center"/>
    </xf>
    <xf numFmtId="0" fontId="0" fillId="0" borderId="24" xfId="0" applyBorder="1" applyAlignment="1">
      <alignment horizontal="center"/>
    </xf>
    <xf numFmtId="0" fontId="0" fillId="0" borderId="25" xfId="0" applyBorder="1" applyAlignment="1">
      <alignment horizontal="center"/>
    </xf>
    <xf numFmtId="0" fontId="1" fillId="0" borderId="1" xfId="0" applyFont="1" applyBorder="1" applyAlignment="1">
      <alignment horizontal="center" wrapText="1"/>
    </xf>
    <xf numFmtId="0" fontId="0" fillId="0" borderId="22" xfId="0" applyBorder="1" applyAlignment="1">
      <alignment horizontal="centerContinuous" wrapText="1"/>
    </xf>
    <xf numFmtId="0" fontId="0" fillId="0" borderId="24" xfId="0" applyBorder="1" applyAlignment="1">
      <alignment horizontal="centerContinuous"/>
    </xf>
    <xf numFmtId="0" fontId="0" fillId="0" borderId="21" xfId="0" applyBorder="1" applyAlignment="1">
      <alignment horizontal="centerContinuous"/>
    </xf>
    <xf numFmtId="0" fontId="0" fillId="0" borderId="25" xfId="0" applyBorder="1" applyAlignment="1">
      <alignment horizontal="centerContinuous"/>
    </xf>
    <xf numFmtId="0" fontId="0" fillId="0" borderId="15" xfId="0" applyBorder="1" applyAlignment="1">
      <alignment horizontal="centerContinuous" wrapText="1"/>
    </xf>
    <xf numFmtId="0" fontId="0" fillId="0" borderId="27" xfId="0" applyBorder="1" applyAlignment="1">
      <alignment horizontal="centerContinuous" wrapText="1"/>
    </xf>
    <xf numFmtId="0" fontId="0" fillId="0" borderId="17" xfId="0" applyBorder="1" applyAlignment="1">
      <alignment horizontal="centerContinuous" wrapText="1"/>
    </xf>
    <xf numFmtId="0" fontId="1" fillId="2" borderId="1" xfId="0" applyFont="1" applyFill="1" applyBorder="1" applyAlignment="1">
      <alignment horizontal="center" vertical="center"/>
    </xf>
    <xf numFmtId="0" fontId="0" fillId="2" borderId="0" xfId="0" applyFill="1"/>
    <xf numFmtId="0" fontId="1" fillId="0" borderId="28" xfId="0" applyFont="1" applyBorder="1" applyAlignment="1">
      <alignment horizontal="left" vertical="top"/>
    </xf>
    <xf numFmtId="0" fontId="1" fillId="0" borderId="21" xfId="0" applyFont="1" applyBorder="1" applyAlignment="1">
      <alignment horizontal="left" vertical="top"/>
    </xf>
    <xf numFmtId="0" fontId="1" fillId="0" borderId="22" xfId="0" applyFont="1" applyBorder="1" applyAlignment="1">
      <alignment horizontal="left" vertical="top"/>
    </xf>
    <xf numFmtId="0" fontId="1" fillId="0" borderId="24" xfId="0" applyFont="1" applyBorder="1" applyAlignment="1">
      <alignment horizontal="left" vertical="top"/>
    </xf>
    <xf numFmtId="0" fontId="1" fillId="0" borderId="25" xfId="0" applyFont="1" applyBorder="1" applyAlignment="1">
      <alignment horizontal="left" vertical="top"/>
    </xf>
    <xf numFmtId="0" fontId="0" fillId="0" borderId="28" xfId="0" applyBorder="1" applyAlignment="1">
      <alignment horizontal="left" vertical="top" wrapText="1"/>
    </xf>
    <xf numFmtId="0" fontId="0" fillId="0" borderId="21" xfId="0" applyBorder="1" applyAlignment="1">
      <alignment horizontal="centerContinuous" vertical="top" wrapText="1"/>
    </xf>
    <xf numFmtId="0" fontId="0" fillId="0" borderId="22" xfId="0" applyBorder="1" applyAlignment="1">
      <alignment horizontal="centerContinuous" vertical="top" wrapText="1"/>
    </xf>
    <xf numFmtId="0" fontId="1" fillId="0" borderId="24" xfId="0" applyFont="1" applyBorder="1" applyAlignment="1">
      <alignment horizontal="left" vertical="top" wrapText="1"/>
    </xf>
    <xf numFmtId="0" fontId="0" fillId="0" borderId="25" xfId="0" applyBorder="1" applyAlignment="1">
      <alignment horizontal="centerContinuous" vertical="top" wrapText="1"/>
    </xf>
    <xf numFmtId="0" fontId="1" fillId="0" borderId="28" xfId="0" applyFont="1" applyBorder="1" applyAlignment="1">
      <alignment horizontal="centerContinuous" vertical="center" wrapText="1"/>
    </xf>
    <xf numFmtId="0" fontId="1" fillId="0" borderId="21" xfId="0" applyFont="1" applyBorder="1" applyAlignment="1">
      <alignment horizontal="centerContinuous" vertical="center"/>
    </xf>
    <xf numFmtId="0" fontId="1" fillId="0" borderId="22" xfId="0" applyFont="1" applyBorder="1" applyAlignment="1">
      <alignment horizontal="centerContinuous" vertical="center"/>
    </xf>
    <xf numFmtId="0" fontId="0" fillId="0" borderId="15" xfId="0" applyBorder="1" applyAlignment="1">
      <alignment horizontal="center"/>
    </xf>
    <xf numFmtId="0" fontId="0" fillId="0" borderId="16" xfId="0" applyBorder="1" applyAlignment="1">
      <alignment horizontal="center"/>
    </xf>
    <xf numFmtId="9" fontId="0" fillId="0" borderId="14" xfId="1" applyFont="1" applyBorder="1"/>
    <xf numFmtId="0" fontId="0" fillId="0" borderId="15" xfId="0" applyBorder="1" applyAlignment="1">
      <alignment horizontal="centerContinuous" vertical="top" wrapText="1"/>
    </xf>
    <xf numFmtId="0" fontId="0" fillId="0" borderId="27" xfId="0" applyBorder="1" applyAlignment="1">
      <alignment horizontal="centerContinuous" vertical="top" wrapText="1"/>
    </xf>
    <xf numFmtId="0" fontId="0" fillId="0" borderId="16" xfId="0" applyBorder="1" applyAlignment="1">
      <alignment horizontal="centerContinuous" vertical="top" wrapText="1"/>
    </xf>
    <xf numFmtId="0" fontId="0" fillId="0" borderId="28" xfId="0" applyBorder="1" applyAlignment="1">
      <alignment horizontal="center" wrapText="1"/>
    </xf>
    <xf numFmtId="0" fontId="0" fillId="0" borderId="21" xfId="0" applyBorder="1" applyAlignment="1">
      <alignment horizontal="center" wrapText="1"/>
    </xf>
    <xf numFmtId="0" fontId="0" fillId="0" borderId="25" xfId="0" applyBorder="1" applyAlignment="1">
      <alignment horizontal="center" wrapText="1"/>
    </xf>
    <xf numFmtId="0" fontId="0" fillId="0" borderId="5" xfId="0" applyBorder="1" applyAlignment="1">
      <alignment horizontal="center" wrapText="1"/>
    </xf>
    <xf numFmtId="0" fontId="0" fillId="0" borderId="0" xfId="0" applyAlignment="1">
      <alignment horizontal="center" wrapText="1"/>
    </xf>
    <xf numFmtId="0" fontId="0" fillId="0" borderId="6" xfId="0" applyBorder="1" applyAlignment="1">
      <alignment horizontal="center" wrapText="1"/>
    </xf>
    <xf numFmtId="0" fontId="0" fillId="0" borderId="30" xfId="0" applyBorder="1" applyAlignment="1">
      <alignment horizontal="center" wrapText="1"/>
    </xf>
    <xf numFmtId="0" fontId="0" fillId="0" borderId="32" xfId="0" applyBorder="1" applyAlignment="1">
      <alignment horizontal="center" wrapText="1"/>
    </xf>
    <xf numFmtId="0" fontId="0" fillId="0" borderId="33" xfId="0" applyBorder="1" applyAlignment="1">
      <alignment horizont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0" xfId="0" applyFont="1" applyBorder="1" applyAlignment="1">
      <alignment horizontal="center" wrapText="1"/>
    </xf>
    <xf numFmtId="0" fontId="1" fillId="0" borderId="11" xfId="0" applyFont="1" applyBorder="1" applyAlignment="1">
      <alignment horizontal="center" wrapText="1"/>
    </xf>
    <xf numFmtId="0" fontId="1" fillId="0" borderId="12" xfId="0" applyFont="1" applyBorder="1" applyAlignment="1">
      <alignment horizontal="center" wrapText="1"/>
    </xf>
    <xf numFmtId="0" fontId="1" fillId="0" borderId="26" xfId="0" applyFont="1" applyBorder="1" applyAlignment="1">
      <alignment horizontal="center"/>
    </xf>
    <xf numFmtId="0" fontId="1" fillId="0" borderId="27" xfId="0" applyFont="1" applyBorder="1" applyAlignment="1">
      <alignment horizontal="center"/>
    </xf>
    <xf numFmtId="0" fontId="1" fillId="0" borderId="17" xfId="0" applyFon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1" fillId="0" borderId="28" xfId="0" applyFont="1" applyBorder="1" applyAlignment="1">
      <alignment horizontal="center" vertical="center"/>
    </xf>
    <xf numFmtId="0" fontId="1" fillId="0" borderId="22" xfId="0" applyFont="1" applyBorder="1" applyAlignment="1">
      <alignment horizontal="center" vertical="center"/>
    </xf>
    <xf numFmtId="0" fontId="1" fillId="0" borderId="28"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0" fillId="0" borderId="7" xfId="0" applyBorder="1" applyAlignment="1">
      <alignment horizontal="center" vertical="top" wrapText="1"/>
    </xf>
    <xf numFmtId="0" fontId="0" fillId="0" borderId="8" xfId="0" applyBorder="1" applyAlignment="1">
      <alignment horizontal="center" vertical="top" wrapText="1"/>
    </xf>
    <xf numFmtId="0" fontId="0" fillId="0" borderId="34" xfId="0" applyBorder="1" applyAlignment="1">
      <alignment horizontal="center" vertical="top" wrapText="1"/>
    </xf>
    <xf numFmtId="0" fontId="0" fillId="0" borderId="35"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 fillId="0" borderId="30"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0" fontId="0" fillId="0" borderId="15" xfId="0" applyBorder="1" applyAlignment="1">
      <alignment horizontal="center" vertical="top" wrapText="1"/>
    </xf>
    <xf numFmtId="0" fontId="0" fillId="0" borderId="27" xfId="0" applyBorder="1" applyAlignment="1">
      <alignment horizontal="center" vertical="top" wrapText="1"/>
    </xf>
    <xf numFmtId="0" fontId="0" fillId="0" borderId="16" xfId="0" applyBorder="1" applyAlignment="1">
      <alignment horizontal="center" vertical="top" wrapText="1"/>
    </xf>
  </cellXfs>
  <cellStyles count="2">
    <cellStyle name="Normal" xfId="0" builtinId="0"/>
    <cellStyle name="Porcentaje"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6350</xdr:colOff>
      <xdr:row>0</xdr:row>
      <xdr:rowOff>6350</xdr:rowOff>
    </xdr:from>
    <xdr:ext cx="2181225" cy="474436"/>
    <xdr:pic>
      <xdr:nvPicPr>
        <xdr:cNvPr id="2" name="Imagen 1">
          <a:extLst>
            <a:ext uri="{FF2B5EF4-FFF2-40B4-BE49-F238E27FC236}">
              <a16:creationId xmlns:a16="http://schemas.microsoft.com/office/drawing/2014/main" id="{82019BEB-7B8E-4FDC-A971-5DB94772E7E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9525"/>
          <a:ext cx="2181225" cy="474436"/>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34876-E450-4674-9A66-A77B323FB839}">
  <dimension ref="A1:J37"/>
  <sheetViews>
    <sheetView tabSelected="1" zoomScale="70" zoomScaleNormal="70" zoomScalePageLayoutView="130" workbookViewId="0">
      <selection activeCell="D5" sqref="D5"/>
    </sheetView>
  </sheetViews>
  <sheetFormatPr defaultColWidth="11.42578125" defaultRowHeight="14.45"/>
  <cols>
    <col min="1" max="1" width="13.5703125" customWidth="1"/>
    <col min="5" max="5" width="12.140625" customWidth="1"/>
  </cols>
  <sheetData>
    <row r="1" spans="1:8">
      <c r="A1" s="61" t="s">
        <v>0</v>
      </c>
      <c r="B1" s="62"/>
      <c r="C1" s="62"/>
      <c r="D1" s="62"/>
      <c r="E1" s="62"/>
      <c r="F1" s="62"/>
      <c r="G1" s="62"/>
      <c r="H1" s="63"/>
    </row>
    <row r="2" spans="1:8">
      <c r="A2" s="64"/>
      <c r="B2" s="65"/>
      <c r="C2" s="65"/>
      <c r="D2" s="65"/>
      <c r="E2" s="65"/>
      <c r="F2" s="65"/>
      <c r="G2" s="65"/>
      <c r="H2" s="66"/>
    </row>
    <row r="3" spans="1:8" ht="15" thickBot="1">
      <c r="A3" s="67"/>
      <c r="B3" s="68"/>
      <c r="C3" s="68"/>
      <c r="D3" s="68"/>
      <c r="E3" s="68"/>
      <c r="F3" s="68"/>
      <c r="G3" s="68"/>
      <c r="H3" s="69"/>
    </row>
    <row r="4" spans="1:8">
      <c r="A4" s="70" t="s">
        <v>1</v>
      </c>
      <c r="B4" s="71"/>
      <c r="C4" s="71"/>
      <c r="D4" s="71"/>
      <c r="E4" s="71"/>
      <c r="F4" s="71"/>
      <c r="G4" s="71"/>
      <c r="H4" s="72"/>
    </row>
    <row r="5" spans="1:8" s="6" customFormat="1" ht="51.95" customHeight="1">
      <c r="A5" s="2" t="s">
        <v>2</v>
      </c>
      <c r="B5" s="3">
        <v>2026</v>
      </c>
      <c r="C5" s="4" t="s">
        <v>3</v>
      </c>
      <c r="D5" s="3"/>
      <c r="E5" s="4" t="s">
        <v>4</v>
      </c>
      <c r="F5" s="3" t="s">
        <v>5</v>
      </c>
      <c r="G5" s="4" t="s">
        <v>6</v>
      </c>
      <c r="H5" s="5" t="s">
        <v>7</v>
      </c>
    </row>
    <row r="6" spans="1:8" ht="54" customHeight="1">
      <c r="A6" s="7" t="s">
        <v>8</v>
      </c>
      <c r="B6" s="3" t="s">
        <v>9</v>
      </c>
      <c r="C6" s="8" t="s">
        <v>10</v>
      </c>
      <c r="D6" s="9" t="s">
        <v>11</v>
      </c>
      <c r="E6" s="10"/>
      <c r="F6" s="4" t="s">
        <v>12</v>
      </c>
      <c r="G6" s="9" t="str">
        <f>Sheet1!B2</f>
        <v>Gestión de Riesgo Empresarial y Financiero</v>
      </c>
      <c r="H6" s="11"/>
    </row>
    <row r="7" spans="1:8" ht="51.6" customHeight="1" thickBot="1">
      <c r="A7" s="12" t="s">
        <v>13</v>
      </c>
      <c r="B7" s="13">
        <v>3</v>
      </c>
      <c r="C7" s="14" t="s">
        <v>14</v>
      </c>
      <c r="D7" s="13">
        <v>36</v>
      </c>
      <c r="E7" s="14" t="s">
        <v>15</v>
      </c>
      <c r="F7" s="13">
        <v>108</v>
      </c>
      <c r="G7" s="14" t="s">
        <v>16</v>
      </c>
      <c r="H7" s="15">
        <f>D7+F7</f>
        <v>144</v>
      </c>
    </row>
    <row r="8" spans="1:8" ht="14.45" customHeight="1">
      <c r="A8" s="73" t="s">
        <v>17</v>
      </c>
      <c r="B8" s="74"/>
      <c r="C8" s="74"/>
      <c r="D8" s="74"/>
      <c r="E8" s="74"/>
      <c r="F8" s="74"/>
      <c r="G8" s="74"/>
      <c r="H8" s="75"/>
    </row>
    <row r="9" spans="1:8" ht="60.6">
      <c r="A9" s="16" t="s">
        <v>18</v>
      </c>
      <c r="B9" s="8" t="s">
        <v>19</v>
      </c>
      <c r="C9" s="17"/>
      <c r="D9" s="18" t="s">
        <v>20</v>
      </c>
      <c r="E9" s="19"/>
      <c r="F9" s="20" t="s">
        <v>21</v>
      </c>
      <c r="G9" s="21"/>
      <c r="H9" s="22"/>
    </row>
    <row r="10" spans="1:8">
      <c r="A10" s="76" t="s">
        <v>22</v>
      </c>
      <c r="B10" s="77"/>
      <c r="C10" s="77"/>
      <c r="D10" s="77"/>
      <c r="E10" s="77"/>
      <c r="F10" s="77"/>
      <c r="G10" s="77"/>
      <c r="H10" s="78"/>
    </row>
    <row r="11" spans="1:8">
      <c r="A11" s="2" t="s">
        <v>23</v>
      </c>
      <c r="B11" s="79"/>
      <c r="C11" s="80"/>
      <c r="D11" s="8" t="s">
        <v>24</v>
      </c>
      <c r="E11" s="3" t="s">
        <v>25</v>
      </c>
      <c r="F11" s="8" t="s">
        <v>26</v>
      </c>
      <c r="G11" s="79"/>
      <c r="H11" s="81"/>
    </row>
    <row r="12" spans="1:8">
      <c r="A12" s="76" t="s">
        <v>27</v>
      </c>
      <c r="B12" s="77"/>
      <c r="C12" s="77"/>
      <c r="D12" s="77"/>
      <c r="E12" s="77"/>
      <c r="F12" s="77"/>
      <c r="G12" s="77"/>
      <c r="H12" s="78"/>
    </row>
    <row r="13" spans="1:8" ht="116.1">
      <c r="A13" s="23" t="s">
        <v>28</v>
      </c>
      <c r="B13" s="24" t="str">
        <f>Sheet1!B7</f>
        <v>Desarrollar en los estudiantes la capacidad de identificar, medir y gestionar riesgos financieros y empresariales bajo marcos de referencia internacionales. Se articula con tendencias 2025 como la resiliencia organizacional, la gestión integral de riesgos (ERM), el uso de analítica de datos para detección temprana, la regulación internacional de riesgos (Basilea III, Solvencia II) y la incorporación de criterios ESG en la gestión de riesgos.</v>
      </c>
      <c r="C13" s="25"/>
      <c r="D13" s="26"/>
      <c r="E13" s="26"/>
      <c r="F13" s="26"/>
      <c r="G13" s="26"/>
      <c r="H13" s="27"/>
    </row>
    <row r="14" spans="1:8" ht="29.1">
      <c r="A14" s="23" t="s">
        <v>29</v>
      </c>
      <c r="B14" s="24"/>
      <c r="C14" s="25"/>
      <c r="D14" s="26"/>
      <c r="E14" s="26"/>
      <c r="F14" s="26"/>
      <c r="G14" s="26"/>
      <c r="H14" s="27"/>
    </row>
    <row r="15" spans="1:8" ht="87">
      <c r="A15" s="23" t="s">
        <v>30</v>
      </c>
      <c r="B15" s="24" t="str">
        <f>Sheet1!B8</f>
        <v>- Implementar herramientas analíticas para la gestión financiera.
- Organizar procesos financieros que optimicen la toma de decisiones.
- Plantear soluciones a problemas propios de la gestión financiera.</v>
      </c>
      <c r="C15" s="25"/>
      <c r="D15" s="26"/>
      <c r="E15" s="26"/>
      <c r="F15" s="26"/>
      <c r="G15" s="26"/>
      <c r="H15" s="27"/>
    </row>
    <row r="16" spans="1:8" ht="57.95">
      <c r="A16" s="23" t="s">
        <v>31</v>
      </c>
      <c r="B16" s="24" t="str">
        <f>Sheet1!B9</f>
        <v>Gestiona los riesgos financieros y empresariales aplicando marcos de referencia internacionales.</v>
      </c>
      <c r="C16" s="25"/>
      <c r="D16" s="26"/>
      <c r="E16" s="26"/>
      <c r="F16" s="26"/>
      <c r="G16" s="26"/>
      <c r="H16" s="27"/>
    </row>
    <row r="17" spans="1:10" ht="120" customHeight="1">
      <c r="A17" s="82" t="s">
        <v>32</v>
      </c>
      <c r="B17" s="83"/>
      <c r="C17" s="28" t="str">
        <f>Sheet1!B14</f>
        <v>1. Explicar los fundamentos y marcos internacionales de gestión de riesgos.
2. Aplicar herramientas de medición y análisis de riesgos.
3. Analizar incidentes reales y su impacto en las organizaciones.
4. Diseñar un plan integral de gestión de riesgos con enfoque ESG.</v>
      </c>
      <c r="D17" s="29"/>
      <c r="E17" s="29"/>
      <c r="F17" s="29"/>
      <c r="G17" s="29"/>
      <c r="H17" s="30"/>
    </row>
    <row r="18" spans="1:10" ht="24.6" customHeight="1">
      <c r="A18" s="84" t="s">
        <v>33</v>
      </c>
      <c r="B18" s="85"/>
      <c r="C18" s="8" t="s">
        <v>34</v>
      </c>
      <c r="D18" s="3"/>
      <c r="E18" s="8" t="s">
        <v>35</v>
      </c>
      <c r="F18" s="3"/>
      <c r="G18" s="8" t="s">
        <v>36</v>
      </c>
      <c r="H18" s="5" t="s">
        <v>20</v>
      </c>
    </row>
    <row r="19" spans="1:10" ht="18.600000000000001" customHeight="1">
      <c r="A19" s="86"/>
      <c r="B19" s="87"/>
      <c r="C19" s="31" t="s">
        <v>37</v>
      </c>
      <c r="D19" s="3" t="s">
        <v>20</v>
      </c>
      <c r="E19" s="8" t="s">
        <v>38</v>
      </c>
      <c r="F19" s="3"/>
      <c r="G19" s="8" t="s">
        <v>39</v>
      </c>
      <c r="H19" s="5"/>
      <c r="I19" s="32"/>
      <c r="J19" s="32"/>
    </row>
    <row r="20" spans="1:10" ht="78.95" customHeight="1">
      <c r="A20" s="88"/>
      <c r="B20" s="89"/>
      <c r="C20" s="8" t="s">
        <v>40</v>
      </c>
      <c r="D20" s="3"/>
      <c r="E20" s="8" t="s">
        <v>41</v>
      </c>
      <c r="F20" s="3" t="s">
        <v>20</v>
      </c>
      <c r="G20" s="8" t="s">
        <v>42</v>
      </c>
      <c r="H20" s="5" t="s">
        <v>20</v>
      </c>
    </row>
    <row r="21" spans="1:10" ht="14.45" customHeight="1">
      <c r="A21" s="90" t="s">
        <v>43</v>
      </c>
      <c r="B21" s="91"/>
      <c r="C21" s="91"/>
      <c r="D21" s="91"/>
      <c r="E21" s="91"/>
      <c r="F21" s="91"/>
      <c r="G21" s="91"/>
      <c r="H21" s="92"/>
    </row>
    <row r="22" spans="1:10">
      <c r="A22" s="93"/>
      <c r="B22" s="94"/>
      <c r="C22" s="94"/>
      <c r="D22" s="94"/>
      <c r="E22" s="94"/>
      <c r="F22" s="94"/>
      <c r="G22" s="94"/>
      <c r="H22" s="95"/>
    </row>
    <row r="23" spans="1:10">
      <c r="A23" s="93"/>
      <c r="B23" s="94"/>
      <c r="C23" s="94"/>
      <c r="D23" s="94"/>
      <c r="E23" s="94"/>
      <c r="F23" s="94"/>
      <c r="G23" s="94"/>
      <c r="H23" s="95"/>
    </row>
    <row r="24" spans="1:10">
      <c r="A24" s="93"/>
      <c r="B24" s="94"/>
      <c r="C24" s="94"/>
      <c r="D24" s="94"/>
      <c r="E24" s="94"/>
      <c r="F24" s="94"/>
      <c r="G24" s="94"/>
      <c r="H24" s="95"/>
    </row>
    <row r="25" spans="1:10" ht="15" thickBot="1">
      <c r="A25" s="96"/>
      <c r="B25" s="97"/>
      <c r="C25" s="97"/>
      <c r="D25" s="97"/>
      <c r="E25" s="97"/>
      <c r="F25" s="97"/>
      <c r="G25" s="97"/>
      <c r="H25" s="98"/>
    </row>
    <row r="26" spans="1:10">
      <c r="A26" s="99" t="s">
        <v>44</v>
      </c>
      <c r="B26" s="100"/>
      <c r="C26" s="100"/>
      <c r="D26" s="100"/>
      <c r="E26" s="100"/>
      <c r="F26" s="100"/>
      <c r="G26" s="100"/>
      <c r="H26" s="101"/>
    </row>
    <row r="27" spans="1:10" ht="14.45" customHeight="1">
      <c r="A27" s="52" t="s">
        <v>45</v>
      </c>
      <c r="B27" s="53"/>
      <c r="C27" s="53"/>
      <c r="D27" s="53"/>
      <c r="E27" s="53"/>
      <c r="F27" s="53"/>
      <c r="G27" s="53"/>
      <c r="H27" s="54"/>
    </row>
    <row r="28" spans="1:10">
      <c r="A28" s="55"/>
      <c r="B28" s="56"/>
      <c r="C28" s="56"/>
      <c r="D28" s="56"/>
      <c r="E28" s="56"/>
      <c r="F28" s="56"/>
      <c r="G28" s="56"/>
      <c r="H28" s="57"/>
    </row>
    <row r="29" spans="1:10">
      <c r="A29" s="58"/>
      <c r="B29" s="59"/>
      <c r="C29" s="59"/>
      <c r="D29" s="59"/>
      <c r="E29" s="59"/>
      <c r="F29" s="59"/>
      <c r="G29" s="59"/>
      <c r="H29" s="60"/>
    </row>
    <row r="30" spans="1:10">
      <c r="A30" s="33" t="s">
        <v>46</v>
      </c>
      <c r="B30" s="34"/>
      <c r="C30" s="34"/>
      <c r="D30" s="35"/>
      <c r="E30" s="36" t="s">
        <v>47</v>
      </c>
      <c r="F30" s="34"/>
      <c r="G30" s="34"/>
      <c r="H30" s="37"/>
    </row>
    <row r="31" spans="1:10" ht="140.44999999999999" customHeight="1" thickBot="1">
      <c r="A31" s="102" t="str">
        <f>Sheet1!B11</f>
        <v>1. Fundamentos de la gestión integral de riesgos (ERM).
2. Identificación y clasificación de riesgos: estratégicos, operativos, financieros.
3. Herramientas de medición: VaR, stress testing, escenarios.
4. Normativa y estándares internacionales (Basilea III, COSO ERM).
5. Planes de mitigación y continuidad del negocio.
6. Casos aplicados en empresas del sector real y financiero.</v>
      </c>
      <c r="B31" s="103"/>
      <c r="C31" s="103"/>
      <c r="D31" s="104"/>
      <c r="E31" s="105" t="str">
        <f>Sheet1!B12</f>
        <v>Clases magistrales y análisis de modelos de riesgo.
Talleres de identificación y evaluación de riesgos.
Estudio de casos empresariales con incidentes reales.
Simulación de escenarios de gestión de crisis.</v>
      </c>
      <c r="F31" s="103"/>
      <c r="G31" s="103"/>
      <c r="H31" s="106"/>
    </row>
    <row r="32" spans="1:10">
      <c r="A32" s="107" t="s">
        <v>48</v>
      </c>
      <c r="B32" s="108"/>
      <c r="C32" s="108"/>
      <c r="D32" s="108"/>
      <c r="E32" s="108"/>
      <c r="F32" s="108"/>
      <c r="G32" s="108"/>
      <c r="H32" s="109"/>
    </row>
    <row r="33" spans="1:8" ht="203.1">
      <c r="A33" s="38" t="s">
        <v>49</v>
      </c>
      <c r="B33" s="39" t="str">
        <f>Sheet1!B13</f>
        <v>- Ensayo individual sobre marcos internacionales de gestión de riesgos: 20%
- Taller de identificación y evaluación de riesgos en una empresa: 20%
- Estudio de caso grupal sobre incidentes de riesgo financiero: 20%
- Proyecto final: plan integral de gestión de riesgos para una organización: 40%</v>
      </c>
      <c r="C33" s="39"/>
      <c r="D33" s="40"/>
      <c r="E33" s="41" t="s">
        <v>50</v>
      </c>
      <c r="F33" s="39" t="str">
        <f>Sheet1!B15</f>
        <v>Excel avanzado, software de gestión de riesgos (RiskMetrics, @RISK), bases de datos regulatorias y sectoriales.</v>
      </c>
      <c r="G33" s="39"/>
      <c r="H33" s="42"/>
    </row>
    <row r="34" spans="1:8" ht="60.95" customHeight="1">
      <c r="A34" s="43" t="s">
        <v>51</v>
      </c>
      <c r="B34" s="44"/>
      <c r="C34" s="44"/>
      <c r="D34" s="45"/>
      <c r="E34" s="46" t="s">
        <v>52</v>
      </c>
      <c r="F34" s="47"/>
      <c r="G34" s="20" t="s">
        <v>53</v>
      </c>
      <c r="H34" s="48">
        <v>0.3</v>
      </c>
    </row>
    <row r="35" spans="1:8">
      <c r="A35" s="110" t="s">
        <v>54</v>
      </c>
      <c r="B35" s="111"/>
      <c r="C35" s="111"/>
      <c r="D35" s="111"/>
      <c r="E35" s="111"/>
      <c r="F35" s="111"/>
      <c r="G35" s="111"/>
      <c r="H35" s="112"/>
    </row>
    <row r="36" spans="1:8">
      <c r="A36" s="33" t="s">
        <v>55</v>
      </c>
      <c r="B36" s="34"/>
      <c r="C36" s="34"/>
      <c r="D36" s="35"/>
      <c r="E36" s="36" t="s">
        <v>56</v>
      </c>
      <c r="F36" s="34"/>
      <c r="G36" s="34"/>
      <c r="H36" s="37"/>
    </row>
    <row r="37" spans="1:8" ht="134.1" customHeight="1">
      <c r="A37" s="113" t="str">
        <f>Sheet1!B16</f>
        <v>Lam, J. (2021). Enterprise Risk Management: From Incentives to Controls (2nd ed.). Wiley.
COSO. (2017). Enterprise Risk Management – Integrating with Strategy and Performance.</v>
      </c>
      <c r="B37" s="114"/>
      <c r="C37" s="114"/>
      <c r="D37" s="115"/>
      <c r="E37" s="49" t="str">
        <f>Sheet1!B17</f>
        <v>BCBS. (2023). Basilea III: Requerimientos de capital y gestión de riesgos.
ISO. (2018). ISO 31000: Risk Management Guidelines.
Deloitte. (2024). Tendencias en gestión de riesgos empresariales.</v>
      </c>
      <c r="F37" s="50"/>
      <c r="G37" s="50"/>
      <c r="H37" s="51"/>
    </row>
  </sheetData>
  <mergeCells count="17">
    <mergeCell ref="A31:D31"/>
    <mergeCell ref="E31:H31"/>
    <mergeCell ref="A32:H32"/>
    <mergeCell ref="A35:H35"/>
    <mergeCell ref="A37:D37"/>
    <mergeCell ref="A27:H29"/>
    <mergeCell ref="A1:H3"/>
    <mergeCell ref="A4:H4"/>
    <mergeCell ref="A8:H8"/>
    <mergeCell ref="A10:H10"/>
    <mergeCell ref="B11:C11"/>
    <mergeCell ref="G11:H11"/>
    <mergeCell ref="A12:H12"/>
    <mergeCell ref="A17:B17"/>
    <mergeCell ref="A18:B20"/>
    <mergeCell ref="A21:H25"/>
    <mergeCell ref="A26:H26"/>
  </mergeCells>
  <pageMargins left="0.7" right="0.7" top="0.75" bottom="0.75" header="0.3" footer="0.3"/>
  <pageSetup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sheetViews>
  <sheetFormatPr defaultColWidth="8.7109375" defaultRowHeight="14.45"/>
  <sheetData>
    <row r="1" spans="1:2">
      <c r="A1" s="1" t="s">
        <v>57</v>
      </c>
      <c r="B1" s="1" t="s">
        <v>58</v>
      </c>
    </row>
    <row r="2" spans="1:2">
      <c r="A2" t="s">
        <v>59</v>
      </c>
      <c r="B2" t="s">
        <v>60</v>
      </c>
    </row>
    <row r="3" spans="1:2">
      <c r="A3" t="s">
        <v>61</v>
      </c>
      <c r="B3" t="s">
        <v>62</v>
      </c>
    </row>
    <row r="4" spans="1:2">
      <c r="A4" t="s">
        <v>63</v>
      </c>
      <c r="B4">
        <v>3</v>
      </c>
    </row>
    <row r="5" spans="1:2">
      <c r="A5" t="s">
        <v>64</v>
      </c>
      <c r="B5" t="s">
        <v>7</v>
      </c>
    </row>
    <row r="6" spans="1:2">
      <c r="A6" t="s">
        <v>65</v>
      </c>
      <c r="B6" t="s">
        <v>19</v>
      </c>
    </row>
    <row r="7" spans="1:2">
      <c r="A7" t="s">
        <v>66</v>
      </c>
      <c r="B7" t="s">
        <v>67</v>
      </c>
    </row>
    <row r="8" spans="1:2">
      <c r="A8" t="s">
        <v>68</v>
      </c>
      <c r="B8" t="s">
        <v>69</v>
      </c>
    </row>
    <row r="9" spans="1:2">
      <c r="A9" t="s">
        <v>70</v>
      </c>
      <c r="B9" t="s">
        <v>71</v>
      </c>
    </row>
    <row r="10" spans="1:2">
      <c r="A10" t="s">
        <v>72</v>
      </c>
      <c r="B10" t="s">
        <v>73</v>
      </c>
    </row>
    <row r="11" spans="1:2">
      <c r="A11" t="s">
        <v>74</v>
      </c>
      <c r="B11" t="s">
        <v>75</v>
      </c>
    </row>
    <row r="12" spans="1:2">
      <c r="A12" t="s">
        <v>76</v>
      </c>
      <c r="B12" t="s">
        <v>77</v>
      </c>
    </row>
    <row r="13" spans="1:2">
      <c r="A13" t="s">
        <v>78</v>
      </c>
      <c r="B13" t="s">
        <v>79</v>
      </c>
    </row>
    <row r="14" spans="1:2">
      <c r="A14" t="s">
        <v>80</v>
      </c>
      <c r="B14" t="s">
        <v>81</v>
      </c>
    </row>
    <row r="15" spans="1:2">
      <c r="A15" t="s">
        <v>50</v>
      </c>
      <c r="B15" t="s">
        <v>82</v>
      </c>
    </row>
    <row r="16" spans="1:2">
      <c r="A16" t="s">
        <v>83</v>
      </c>
      <c r="B16" t="s">
        <v>84</v>
      </c>
    </row>
    <row r="17" spans="1:2">
      <c r="A17" t="s">
        <v>85</v>
      </c>
      <c r="B17"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FREDY RAFAEL LEYTON GONZALEZ</cp:lastModifiedBy>
  <cp:revision/>
  <dcterms:created xsi:type="dcterms:W3CDTF">2025-08-29T18:03:38Z</dcterms:created>
  <dcterms:modified xsi:type="dcterms:W3CDTF">2026-05-04T23:08:11Z</dcterms:modified>
  <cp:category/>
  <cp:contentStatus/>
</cp:coreProperties>
</file>