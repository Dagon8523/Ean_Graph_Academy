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zuluaga\Downloads\"/>
    </mc:Choice>
  </mc:AlternateContent>
  <xr:revisionPtr revIDLastSave="0" documentId="13_ncr:1_{D7FCB190-1ECD-4F36-A021-958387645250}" xr6:coauthVersionLast="47" xr6:coauthVersionMax="47" xr10:uidLastSave="{00000000-0000-0000-0000-000000000000}"/>
  <bookViews>
    <workbookView xWindow="29295" yWindow="1935" windowWidth="9600" windowHeight="8025" activeTab="1" xr2:uid="{00000000-000D-0000-FFFF-FFFF00000000}"/>
  </bookViews>
  <sheets>
    <sheet name="Sheet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2" l="1"/>
  <c r="E37" i="2"/>
  <c r="A37" i="2"/>
  <c r="F33" i="2"/>
  <c r="B33" i="2"/>
  <c r="E31" i="2"/>
  <c r="A31" i="2"/>
  <c r="C17" i="2"/>
  <c r="B16" i="2"/>
  <c r="B15" i="2"/>
  <c r="B13" i="2"/>
  <c r="G6" i="2"/>
  <c r="H7" i="2"/>
</calcChain>
</file>

<file path=xl/sharedStrings.xml><?xml version="1.0" encoding="utf-8"?>
<sst xmlns="http://schemas.openxmlformats.org/spreadsheetml/2006/main" count="94" uniqueCount="87">
  <si>
    <t>Campo</t>
  </si>
  <si>
    <t>Contenido</t>
  </si>
  <si>
    <t>Nombre de la Unidad</t>
  </si>
  <si>
    <t>Código</t>
  </si>
  <si>
    <t>Créditos</t>
  </si>
  <si>
    <t>Carácter</t>
  </si>
  <si>
    <t>Modalidad</t>
  </si>
  <si>
    <t>Propósito</t>
  </si>
  <si>
    <t>RAP Asociados</t>
  </si>
  <si>
    <t>RAU</t>
  </si>
  <si>
    <t>Competencias</t>
  </si>
  <si>
    <t>Contenidos</t>
  </si>
  <si>
    <t>Metodologías</t>
  </si>
  <si>
    <t>Estrategias de Evaluación</t>
  </si>
  <si>
    <t>Criterios de Evaluación</t>
  </si>
  <si>
    <t>Recursos Tecnológicos</t>
  </si>
  <si>
    <t>Bibliografía Básica</t>
  </si>
  <si>
    <t>Bibliografía Complementaria</t>
  </si>
  <si>
    <t>Valoración de Empresas, Fusiones y Adquisiciones (M&amp;A)</t>
  </si>
  <si>
    <t>MA001</t>
  </si>
  <si>
    <t>Nuclear</t>
  </si>
  <si>
    <t>Presencial</t>
  </si>
  <si>
    <t>Desarrollar la capacidad de los estudiantes para aplicar metodologías de valoración de empresas y proyectos, así como comprender y gestionar procesos de fusiones y adquisiciones. Se articula con tendencias actuales en gestión financiera, como la importancia del CFO estratégico, la analítica avanzada en valoración, la integración de criterios ESG en transacciones y el auge del mercado de M&amp;A en América Latina.</t>
  </si>
  <si>
    <t>- Implementar herramientas analíticas para la gestión financiera.
- Diseñar planes estratégicos para áreas financieras.
- Plantear soluciones a problemas propios de la gestión financiera.</t>
  </si>
  <si>
    <t>Aplica diferentes métodos de valoración de proyectos y empresas en contextos nacionales e internacionales.</t>
  </si>
  <si>
    <t>Esenciales: Aprendizaje autónomo, pensamiento crítico.
Transversales: Competencia digital, investigativa, sostenibilidad.
Disciplinares: Valoración financiera, M&amp;A, estrategia corporativa.</t>
  </si>
  <si>
    <t>1. Fundamentos de valoración financiera.
2. Métodos de valoración: DCF, múltiplos y EVA.
3. Procesos de fusiones y adquisiciones: fases, negociación y sinergias.
4. Aspectos regulatorios y tributarios en operaciones de M&amp;A.
5. Sostenibilidad y criterios ESG en transacciones.
6. Casos aplicados de M&amp;A en Colombia y América Latina.</t>
  </si>
  <si>
    <t>Clases magistrales con soporte práctico.
Talleres de modelación financiera con Excel/Power BI.
Análisis de casos reales de fusiones y adquisiciones.
Simulaciones de negociación en equipos.</t>
  </si>
  <si>
    <t>- Ensayo individual sobre fundamentos de valoración: 20%
- Taller de modelación financiera (DCF, múltiplos): 20%
- Simulación grupal de negociación en un proceso de M&amp;A: 20%
- Proyecto final: valoración de una empresa y propuesta de M&amp;A con criterios ESG: 40%</t>
  </si>
  <si>
    <t>1. Explicar los fundamentos teóricos y metodológicos de la valoración empresarial.
2. Aplicar modelos de valoración financiera en contextos nacionales e internacionales.
3. Analizar casos reales de M&amp;A considerando aspectos regulatorios y de sostenibilidad.
4. Elaborar una propuesta integral de valoración y adquisición con criterios ESG.</t>
  </si>
  <si>
    <t>Excel avanzado, Power BI, bases de datos financieras (Bloomberg/Eikon, SFC), informes sectoriales.</t>
  </si>
  <si>
    <t>Koller, T., Goedhart, M., &amp; Wessels, D. (2020). Valuation: Measuring and managing the value of companies (7th ed.). Wiley Finance.
Damodaran, A. (2021). Investment Valuation (3rd ed.). Wiley.</t>
  </si>
  <si>
    <t>Superintendencia Financiera de Colombia. (2024). Guía para la valoración de entidades financieras en procesos de adquisición. Bogotá: SFC.
EY. (2023). CFO y generación de valor sostenible en entornos de incertidumbre. EY Insights.
Forbes. (2024). Tendencias en M&amp;A en América Latina 2023-2025.</t>
  </si>
  <si>
    <t xml:space="preserve">FORMATO SYLLABUS 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</si>
  <si>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</si>
  <si>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</si>
  <si>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</si>
  <si>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</si>
  <si>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</si>
  <si>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</si>
  <si>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FAFCE</t>
  </si>
  <si>
    <t>Programa</t>
  </si>
  <si>
    <t>Maestría en Gestión Financiera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</si>
  <si>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</si>
  <si>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</si>
  <si>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</si>
  <si>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</si>
  <si>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</si>
  <si>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</si>
  <si>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</si>
  <si>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x</t>
  </si>
  <si>
    <t>Virtual</t>
  </si>
  <si>
    <t>Metodología (Aplica solo para unidades de estudio de la modalidad presencial)</t>
  </si>
  <si>
    <t>PAT</t>
  </si>
  <si>
    <t>In Situ</t>
  </si>
  <si>
    <t>X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</si>
  <si>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</si>
  <si>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</si>
  <si>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</si>
  <si>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</si>
  <si>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</si>
  <si>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</si>
  <si>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</si>
  <si>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</si>
  <si>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</si>
  <si>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</si>
  <si>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</si>
  <si>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</si>
  <si>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</si>
  <si>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</si>
  <si>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</si>
  <si>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</si>
  <si>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</si>
  <si>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</si>
  <si>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</si>
  <si>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</si>
  <si>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</si>
  <si>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</si>
  <si>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</si>
  <si>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</si>
  <si>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Componente de Lengua extranjera</t>
  </si>
  <si>
    <t>Ingles</t>
  </si>
  <si>
    <t>Porcentaje</t>
  </si>
  <si>
    <t>6.	Bibliografía Obligatoria y Complementaria.</t>
  </si>
  <si>
    <t>Bibliografía Obligatoria</t>
  </si>
  <si>
    <t>Bibliografia Complementaria</t>
  </si>
  <si>
    <t xml:space="preserve">AMA01208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</si>
</sst>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5" xfId="0" applyBorder="1" applyAlignment="1">
      <alignment horizontal="centerContinuous" vertical="center" wrapText="1"/>
    </xf>
    <xf numFmtId="0" fontId="0" fillId="0" borderId="16" xfId="0" applyBorder="1" applyAlignment="1">
      <alignment horizontal="centerContinuous" vertical="center" wrapText="1"/>
    </xf>
    <xf numFmtId="0" fontId="0" fillId="0" borderId="17" xfId="0" applyBorder="1" applyAlignment="1">
      <alignment horizontal="centerContinuous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22" xfId="0" applyBorder="1" applyAlignment="1">
      <alignment horizontal="centerContinuous" wrapText="1"/>
    </xf>
    <xf numFmtId="0" fontId="0" fillId="0" borderId="24" xfId="0" applyBorder="1" applyAlignment="1">
      <alignment horizontal="centerContinuous"/>
    </xf>
    <xf numFmtId="0" fontId="0" fillId="0" borderId="21" xfId="0" applyBorder="1" applyAlignment="1">
      <alignment horizontal="centerContinuous"/>
    </xf>
    <xf numFmtId="0" fontId="0" fillId="0" borderId="25" xfId="0" applyBorder="1" applyAlignment="1">
      <alignment horizontal="centerContinuous"/>
    </xf>
    <xf numFmtId="0" fontId="0" fillId="0" borderId="15" xfId="0" applyBorder="1" applyAlignment="1">
      <alignment horizontal="centerContinuous" wrapText="1"/>
    </xf>
    <xf numFmtId="0" fontId="0" fillId="0" borderId="27" xfId="0" applyBorder="1" applyAlignment="1">
      <alignment horizontal="centerContinuous" wrapText="1"/>
    </xf>
    <xf numFmtId="0" fontId="0" fillId="0" borderId="17" xfId="0" applyBorder="1" applyAlignment="1">
      <alignment horizontal="centerContinuous" wrapText="1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1" fillId="0" borderId="28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0" fillId="0" borderId="28" xfId="0" applyBorder="1" applyAlignment="1">
      <alignment horizontal="left" vertical="top" wrapText="1"/>
    </xf>
    <xf numFmtId="0" fontId="0" fillId="0" borderId="21" xfId="0" applyBorder="1" applyAlignment="1">
      <alignment horizontal="centerContinuous" vertical="top" wrapText="1"/>
    </xf>
    <xf numFmtId="0" fontId="0" fillId="0" borderId="22" xfId="0" applyBorder="1" applyAlignment="1">
      <alignment horizontal="centerContinuous" vertical="top" wrapText="1"/>
    </xf>
    <xf numFmtId="0" fontId="1" fillId="0" borderId="24" xfId="0" applyFont="1" applyBorder="1" applyAlignment="1">
      <alignment horizontal="left" vertical="top" wrapText="1"/>
    </xf>
    <xf numFmtId="0" fontId="0" fillId="0" borderId="25" xfId="0" applyBorder="1" applyAlignment="1">
      <alignment horizontal="centerContinuous" vertical="top" wrapText="1"/>
    </xf>
    <xf numFmtId="0" fontId="1" fillId="0" borderId="28" xfId="0" applyFont="1" applyBorder="1" applyAlignment="1">
      <alignment horizontal="centerContinuous" vertical="center" wrapText="1"/>
    </xf>
    <xf numFmtId="0" fontId="1" fillId="0" borderId="21" xfId="0" applyFont="1" applyBorder="1" applyAlignment="1">
      <alignment horizontal="centerContinuous" vertical="center"/>
    </xf>
    <xf numFmtId="0" fontId="1" fillId="0" borderId="22" xfId="0" applyFont="1" applyBorder="1" applyAlignment="1">
      <alignment horizontal="centerContinuous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9" fontId="0" fillId="0" borderId="14" xfId="1" applyFont="1" applyBorder="1"/>
    <xf numFmtId="0" fontId="0" fillId="0" borderId="15" xfId="0" applyBorder="1" applyAlignment="1">
      <alignment horizontal="centerContinuous" vertical="top" wrapText="1"/>
    </xf>
    <xf numFmtId="0" fontId="0" fillId="0" borderId="27" xfId="0" applyBorder="1" applyAlignment="1">
      <alignment horizontal="centerContinuous" vertical="top" wrapText="1"/>
    </xf>
    <xf numFmtId="0" fontId="0" fillId="0" borderId="16" xfId="0" applyBorder="1" applyAlignment="1">
      <alignment horizontal="centerContinuous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0" fillId="0" borderId="15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28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</xdr:colOff>
      <xdr:row>0</xdr:row>
      <xdr:rowOff>6350</xdr:rowOff>
    </xdr:from>
    <xdr:ext cx="2181225" cy="474436"/>
    <xdr:pic>
      <xdr:nvPicPr>
        <xdr:cNvPr id="2" name="Imagen 1">
          <a:extLst>
            <a:ext uri="{FF2B5EF4-FFF2-40B4-BE49-F238E27FC236}">
              <a16:creationId xmlns:a16="http://schemas.microsoft.com/office/drawing/2014/main" id="{590F111E-BA92-455D-8326-0074DB8A0CD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2181225" cy="47443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baseColWidth="10" defaultColWidth="8.7265625"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18</v>
      </c>
    </row>
    <row r="3" spans="1:2" x14ac:dyDescent="0.35">
      <c r="A3" t="s">
        <v>3</v>
      </c>
      <c r="B3" t="s">
        <v>19</v>
      </c>
    </row>
    <row r="4" spans="1:2" x14ac:dyDescent="0.35">
      <c r="A4" t="s">
        <v>4</v>
      </c>
      <c r="B4">
        <v>3</v>
      </c>
    </row>
    <row r="5" spans="1:2" x14ac:dyDescent="0.35">
      <c r="A5" t="s">
        <v>5</v>
      </c>
      <c r="B5" t="s">
        <v>20</v>
      </c>
    </row>
    <row r="6" spans="1:2" x14ac:dyDescent="0.35">
      <c r="A6" t="s">
        <v>6</v>
      </c>
      <c r="B6" t="s">
        <v>21</v>
      </c>
    </row>
    <row r="7" spans="1:2" x14ac:dyDescent="0.35">
      <c r="A7" t="s">
        <v>7</v>
      </c>
      <c r="B7" t="s">
        <v>22</v>
      </c>
    </row>
    <row r="8" spans="1:2" x14ac:dyDescent="0.35">
      <c r="A8" t="s">
        <v>8</v>
      </c>
      <c r="B8" t="s">
        <v>23</v>
      </c>
    </row>
    <row r="9" spans="1:2" x14ac:dyDescent="0.35">
      <c r="A9" t="s">
        <v>9</v>
      </c>
      <c r="B9" t="s">
        <v>24</v>
      </c>
    </row>
    <row r="10" spans="1:2" x14ac:dyDescent="0.35">
      <c r="A10" t="s">
        <v>10</v>
      </c>
      <c r="B10" t="s">
        <v>25</v>
      </c>
    </row>
    <row r="11" spans="1:2" x14ac:dyDescent="0.35">
      <c r="A11" t="s">
        <v>11</v>
      </c>
      <c r="B11" t="s">
        <v>26</v>
      </c>
    </row>
    <row r="12" spans="1:2" x14ac:dyDescent="0.35">
      <c r="A12" t="s">
        <v>12</v>
      </c>
      <c r="B12" t="s">
        <v>27</v>
      </c>
    </row>
    <row r="13" spans="1:2" x14ac:dyDescent="0.35">
      <c r="A13" t="s">
        <v>13</v>
      </c>
      <c r="B13" t="s">
        <v>28</v>
      </c>
    </row>
    <row r="14" spans="1:2" x14ac:dyDescent="0.35">
      <c r="A14" t="s">
        <v>14</v>
      </c>
      <c r="B14" t="s">
        <v>29</v>
      </c>
    </row>
    <row r="15" spans="1:2" x14ac:dyDescent="0.35">
      <c r="A15" t="s">
        <v>15</v>
      </c>
      <c r="B15" t="s">
        <v>30</v>
      </c>
    </row>
    <row r="16" spans="1:2" x14ac:dyDescent="0.35">
      <c r="A16" t="s">
        <v>16</v>
      </c>
      <c r="B16" t="s">
        <v>31</v>
      </c>
    </row>
    <row r="17" spans="1:2" x14ac:dyDescent="0.35">
      <c r="A17" t="s">
        <v>17</v>
      </c>
      <c r="B17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D94AE-17C4-4A23-A7DB-740B8E5A4B3A}">
  <dimension ref="A1:J37"/>
  <sheetViews>
    <sheetView tabSelected="1" topLeftCell="A13" zoomScale="70" zoomScaleNormal="70" zoomScalePageLayoutView="130" workbookViewId="0">
      <selection activeCell="B14" sqref="B14"/>
    </sheetView>
  </sheetViews>
  <sheetFormatPr baseColWidth="10" defaultRowHeight="14.5" x14ac:dyDescent="0.35"/>
  <cols>
    <col min="1" max="1" width="13.6328125" customWidth="1"/>
    <col min="5" max="5" width="12.1796875" customWidth="1"/>
  </cols>
  <sheetData>
    <row r="1" spans="1:8" x14ac:dyDescent="0.35">
      <c r="A1" s="98" t="s">
        <v>33</v>
      </c>
      <c r="B1" s="99"/>
      <c r="C1" s="99"/>
      <c r="D1" s="99"/>
      <c r="E1" s="99"/>
      <c r="F1" s="99"/>
      <c r="G1" s="99"/>
      <c r="H1" s="100"/>
    </row>
    <row r="2" spans="1:8" x14ac:dyDescent="0.35">
      <c r="A2" s="101"/>
      <c r="B2" s="102"/>
      <c r="C2" s="102"/>
      <c r="D2" s="102"/>
      <c r="E2" s="102"/>
      <c r="F2" s="102"/>
      <c r="G2" s="102"/>
      <c r="H2" s="103"/>
    </row>
    <row r="3" spans="1:8" ht="15" thickBot="1" x14ac:dyDescent="0.4">
      <c r="A3" s="104"/>
      <c r="B3" s="105"/>
      <c r="C3" s="105"/>
      <c r="D3" s="105"/>
      <c r="E3" s="105"/>
      <c r="F3" s="105"/>
      <c r="G3" s="105"/>
      <c r="H3" s="106"/>
    </row>
    <row r="4" spans="1:8" x14ac:dyDescent="0.35">
      <c r="A4" s="107" t="s">
        <v>34</v>
      </c>
      <c r="B4" s="108"/>
      <c r="C4" s="108"/>
      <c r="D4" s="108"/>
      <c r="E4" s="108"/>
      <c r="F4" s="108"/>
      <c r="G4" s="108"/>
      <c r="H4" s="109"/>
    </row>
    <row r="5" spans="1:8" s="6" customFormat="1" ht="52" customHeight="1" x14ac:dyDescent="0.35">
      <c r="A5" s="2" t="s">
        <v>35</v>
      </c>
      <c r="B5" s="3">
        <v>2026</v>
      </c>
      <c r="C5" s="4" t="s">
        <v>36</v>
      </c>
      <c r="D5" s="3"/>
      <c r="E5" s="4" t="s">
        <v>37</v>
      </c>
      <c r="F5" s="3" t="s">
        <v>86</v>
      </c>
      <c r="G5" s="4" t="s">
        <v>38</v>
      </c>
      <c r="H5" s="5" t="s">
        <v>20</v>
      </c>
    </row>
    <row r="6" spans="1:8" ht="54" customHeight="1" x14ac:dyDescent="0.35">
      <c r="A6" s="7" t="s">
        <v>39</v>
      </c>
      <c r="B6" s="3" t="s">
        <v>40</v>
      </c>
      <c r="C6" s="8" t="s">
        <v>41</v>
      </c>
      <c r="D6" s="9" t="s">
        <v>42</v>
      </c>
      <c r="E6" s="10"/>
      <c r="F6" s="4" t="s">
        <v>43</v>
      </c>
      <c r="G6" s="9" t="str">
        <f>Sheet1!B2</f>
        <v>Valoración de Empresas, Fusiones y Adquisiciones (M&amp;A)</v>
      </c>
      <c r="H6" s="11"/>
    </row>
    <row r="7" spans="1:8" ht="51.5" customHeight="1" thickBot="1" x14ac:dyDescent="0.4">
      <c r="A7" s="12" t="s">
        <v>44</v>
      </c>
      <c r="B7" s="13">
        <v>3</v>
      </c>
      <c r="C7" s="14" t="s">
        <v>45</v>
      </c>
      <c r="D7" s="13">
        <v>36</v>
      </c>
      <c r="E7" s="14" t="s">
        <v>46</v>
      </c>
      <c r="F7" s="13">
        <v>108</v>
      </c>
      <c r="G7" s="14" t="s">
        <v>47</v>
      </c>
      <c r="H7" s="15">
        <f>D7+F7</f>
        <v>144</v>
      </c>
    </row>
    <row r="8" spans="1:8" ht="14.5" customHeight="1" x14ac:dyDescent="0.35">
      <c r="A8" s="110" t="s">
        <v>48</v>
      </c>
      <c r="B8" s="111"/>
      <c r="C8" s="111"/>
      <c r="D8" s="111"/>
      <c r="E8" s="111"/>
      <c r="F8" s="111"/>
      <c r="G8" s="111"/>
      <c r="H8" s="112"/>
    </row>
    <row r="9" spans="1:8" ht="60.5" x14ac:dyDescent="0.35">
      <c r="A9" s="16" t="s">
        <v>49</v>
      </c>
      <c r="B9" s="8" t="s">
        <v>21</v>
      </c>
      <c r="C9" s="17"/>
      <c r="D9" s="18" t="s">
        <v>50</v>
      </c>
      <c r="E9" s="19"/>
      <c r="F9" s="20" t="s">
        <v>51</v>
      </c>
      <c r="G9" s="21"/>
      <c r="H9" s="22"/>
    </row>
    <row r="10" spans="1:8" x14ac:dyDescent="0.35">
      <c r="A10" s="66" t="s">
        <v>52</v>
      </c>
      <c r="B10" s="67"/>
      <c r="C10" s="67"/>
      <c r="D10" s="67"/>
      <c r="E10" s="67"/>
      <c r="F10" s="67"/>
      <c r="G10" s="67"/>
      <c r="H10" s="68"/>
    </row>
    <row r="11" spans="1:8" x14ac:dyDescent="0.35">
      <c r="A11" s="2" t="s">
        <v>53</v>
      </c>
      <c r="B11" s="113"/>
      <c r="C11" s="114"/>
      <c r="D11" s="8" t="s">
        <v>54</v>
      </c>
      <c r="E11" s="3" t="s">
        <v>55</v>
      </c>
      <c r="F11" s="8" t="s">
        <v>56</v>
      </c>
      <c r="G11" s="113"/>
      <c r="H11" s="115"/>
    </row>
    <row r="12" spans="1:8" x14ac:dyDescent="0.35">
      <c r="A12" s="66" t="s">
        <v>57</v>
      </c>
      <c r="B12" s="67"/>
      <c r="C12" s="67"/>
      <c r="D12" s="67"/>
      <c r="E12" s="67"/>
      <c r="F12" s="67"/>
      <c r="G12" s="67"/>
      <c r="H12" s="68"/>
    </row>
    <row r="13" spans="1:8" ht="116" x14ac:dyDescent="0.35">
      <c r="A13" s="23" t="s">
        <v>58</v>
      </c>
      <c r="B13" s="24" t="str">
        <f>Sheet1!B7</f>
        <v>Desarrollar la capacidad de los estudiantes para aplicar metodologías de valoración de empresas y proyectos, así como comprender y gestionar procesos de fusiones y adquisiciones. Se articula con tendencias actuales en gestión financiera, como la importancia del CFO estratégico, la analítica avanzada en valoración, la integración de criterios ESG en transacciones y el auge del mercado de M&amp;A en América Latina.</v>
      </c>
      <c r="C13" s="25"/>
      <c r="D13" s="26"/>
      <c r="E13" s="26"/>
      <c r="F13" s="26"/>
      <c r="G13" s="26"/>
      <c r="H13" s="27"/>
    </row>
    <row r="14" spans="1:8" ht="29" x14ac:dyDescent="0.35">
      <c r="A14" s="23" t="s">
        <v>59</v>
      </c>
      <c r="B14" s="24" t="str">
        <f>B15</f>
        <v>- Implementar herramientas analíticas para la gestión financiera.
- Diseñar planes estratégicos para áreas financieras.
- Plantear soluciones a problemas propios de la gestión financiera.</v>
      </c>
      <c r="C14" s="25"/>
      <c r="D14" s="26"/>
      <c r="E14" s="26"/>
      <c r="F14" s="26"/>
      <c r="G14" s="26"/>
      <c r="H14" s="27"/>
    </row>
    <row r="15" spans="1:8" ht="72.5" x14ac:dyDescent="0.35">
      <c r="A15" s="23" t="s">
        <v>60</v>
      </c>
      <c r="B15" s="24" t="str">
        <f>Sheet1!B8</f>
        <v>- Implementar herramientas analíticas para la gestión financiera.
- Diseñar planes estratégicos para áreas financieras.
- Plantear soluciones a problemas propios de la gestión financiera.</v>
      </c>
      <c r="C15" s="25"/>
      <c r="D15" s="26"/>
      <c r="E15" s="26"/>
      <c r="F15" s="26"/>
      <c r="G15" s="26"/>
      <c r="H15" s="27"/>
    </row>
    <row r="16" spans="1:8" ht="58" x14ac:dyDescent="0.35">
      <c r="A16" s="23" t="s">
        <v>61</v>
      </c>
      <c r="B16" s="24" t="str">
        <f>Sheet1!B9</f>
        <v>Aplica diferentes métodos de valoración de proyectos y empresas en contextos nacionales e internacionales.</v>
      </c>
      <c r="C16" s="25"/>
      <c r="D16" s="26"/>
      <c r="E16" s="26"/>
      <c r="F16" s="26"/>
      <c r="G16" s="26"/>
      <c r="H16" s="27"/>
    </row>
    <row r="17" spans="1:10" ht="120" customHeight="1" x14ac:dyDescent="0.35">
      <c r="A17" s="69" t="s">
        <v>62</v>
      </c>
      <c r="B17" s="70"/>
      <c r="C17" s="28" t="str">
        <f>Sheet1!B14</f>
        <v>1. Explicar los fundamentos teóricos y metodológicos de la valoración empresarial.
2. Aplicar modelos de valoración financiera en contextos nacionales e internacionales.
3. Analizar casos reales de M&amp;A considerando aspectos regulatorios y de sostenibilidad.
4. Elaborar una propuesta integral de valoración y adquisición con criterios ESG.</v>
      </c>
      <c r="D17" s="29"/>
      <c r="E17" s="29"/>
      <c r="F17" s="29"/>
      <c r="G17" s="29"/>
      <c r="H17" s="30"/>
    </row>
    <row r="18" spans="1:10" ht="24.5" customHeight="1" x14ac:dyDescent="0.35">
      <c r="A18" s="71" t="s">
        <v>63</v>
      </c>
      <c r="B18" s="72"/>
      <c r="C18" s="8" t="s">
        <v>64</v>
      </c>
      <c r="D18" s="3"/>
      <c r="E18" s="8" t="s">
        <v>65</v>
      </c>
      <c r="F18" s="3"/>
      <c r="G18" s="8" t="s">
        <v>66</v>
      </c>
      <c r="H18" s="5" t="s">
        <v>50</v>
      </c>
    </row>
    <row r="19" spans="1:10" ht="18.5" customHeight="1" x14ac:dyDescent="0.35">
      <c r="A19" s="73"/>
      <c r="B19" s="74"/>
      <c r="C19" s="31" t="s">
        <v>67</v>
      </c>
      <c r="D19" s="3" t="s">
        <v>50</v>
      </c>
      <c r="E19" s="8" t="s">
        <v>68</v>
      </c>
      <c r="F19" s="3"/>
      <c r="G19" s="8" t="s">
        <v>69</v>
      </c>
      <c r="H19" s="5"/>
      <c r="I19" s="32"/>
      <c r="J19" s="32"/>
    </row>
    <row r="20" spans="1:10" ht="79" customHeight="1" x14ac:dyDescent="0.35">
      <c r="A20" s="75"/>
      <c r="B20" s="76"/>
      <c r="C20" s="8" t="s">
        <v>70</v>
      </c>
      <c r="D20" s="3"/>
      <c r="E20" s="8" t="s">
        <v>71</v>
      </c>
      <c r="F20" s="3" t="s">
        <v>50</v>
      </c>
      <c r="G20" s="8" t="s">
        <v>72</v>
      </c>
      <c r="H20" s="5" t="s">
        <v>50</v>
      </c>
    </row>
    <row r="21" spans="1:10" ht="14.5" customHeight="1" x14ac:dyDescent="0.35">
      <c r="A21" s="77" t="s">
        <v>73</v>
      </c>
      <c r="B21" s="78"/>
      <c r="C21" s="78"/>
      <c r="D21" s="78"/>
      <c r="E21" s="78"/>
      <c r="F21" s="78"/>
      <c r="G21" s="78"/>
      <c r="H21" s="79"/>
    </row>
    <row r="22" spans="1:10" x14ac:dyDescent="0.35">
      <c r="A22" s="80"/>
      <c r="B22" s="81"/>
      <c r="C22" s="81"/>
      <c r="D22" s="81"/>
      <c r="E22" s="81"/>
      <c r="F22" s="81"/>
      <c r="G22" s="81"/>
      <c r="H22" s="82"/>
    </row>
    <row r="23" spans="1:10" x14ac:dyDescent="0.35">
      <c r="A23" s="80"/>
      <c r="B23" s="81"/>
      <c r="C23" s="81"/>
      <c r="D23" s="81"/>
      <c r="E23" s="81"/>
      <c r="F23" s="81"/>
      <c r="G23" s="81"/>
      <c r="H23" s="82"/>
    </row>
    <row r="24" spans="1:10" x14ac:dyDescent="0.35">
      <c r="A24" s="80"/>
      <c r="B24" s="81"/>
      <c r="C24" s="81"/>
      <c r="D24" s="81"/>
      <c r="E24" s="81"/>
      <c r="F24" s="81"/>
      <c r="G24" s="81"/>
      <c r="H24" s="82"/>
    </row>
    <row r="25" spans="1:10" ht="15" thickBot="1" x14ac:dyDescent="0.4">
      <c r="A25" s="83"/>
      <c r="B25" s="84"/>
      <c r="C25" s="84"/>
      <c r="D25" s="84"/>
      <c r="E25" s="84"/>
      <c r="F25" s="84"/>
      <c r="G25" s="84"/>
      <c r="H25" s="85"/>
    </row>
    <row r="26" spans="1:10" x14ac:dyDescent="0.35">
      <c r="A26" s="86" t="s">
        <v>74</v>
      </c>
      <c r="B26" s="87"/>
      <c r="C26" s="87"/>
      <c r="D26" s="87"/>
      <c r="E26" s="87"/>
      <c r="F26" s="87"/>
      <c r="G26" s="87"/>
      <c r="H26" s="88"/>
    </row>
    <row r="27" spans="1:10" ht="14.5" customHeight="1" x14ac:dyDescent="0.35">
      <c r="A27" s="89" t="s">
        <v>75</v>
      </c>
      <c r="B27" s="90"/>
      <c r="C27" s="90"/>
      <c r="D27" s="90"/>
      <c r="E27" s="90"/>
      <c r="F27" s="90"/>
      <c r="G27" s="90"/>
      <c r="H27" s="91"/>
    </row>
    <row r="28" spans="1:10" x14ac:dyDescent="0.35">
      <c r="A28" s="92"/>
      <c r="B28" s="93"/>
      <c r="C28" s="93"/>
      <c r="D28" s="93"/>
      <c r="E28" s="93"/>
      <c r="F28" s="93"/>
      <c r="G28" s="93"/>
      <c r="H28" s="94"/>
    </row>
    <row r="29" spans="1:10" x14ac:dyDescent="0.35">
      <c r="A29" s="95"/>
      <c r="B29" s="96"/>
      <c r="C29" s="96"/>
      <c r="D29" s="96"/>
      <c r="E29" s="96"/>
      <c r="F29" s="96"/>
      <c r="G29" s="96"/>
      <c r="H29" s="97"/>
    </row>
    <row r="30" spans="1:10" x14ac:dyDescent="0.35">
      <c r="A30" s="33" t="s">
        <v>76</v>
      </c>
      <c r="B30" s="34"/>
      <c r="C30" s="34"/>
      <c r="D30" s="35"/>
      <c r="E30" s="36" t="s">
        <v>77</v>
      </c>
      <c r="F30" s="34"/>
      <c r="G30" s="34"/>
      <c r="H30" s="37"/>
    </row>
    <row r="31" spans="1:10" ht="140.5" customHeight="1" thickBot="1" x14ac:dyDescent="0.4">
      <c r="A31" s="52" t="str">
        <f>Sheet1!B11</f>
        <v>1. Fundamentos de valoración financiera.
2. Métodos de valoración: DCF, múltiplos y EVA.
3. Procesos de fusiones y adquisiciones: fases, negociación y sinergias.
4. Aspectos regulatorios y tributarios en operaciones de M&amp;A.
5. Sostenibilidad y criterios ESG en transacciones.
6. Casos aplicados de M&amp;A en Colombia y América Latina.</v>
      </c>
      <c r="B31" s="53"/>
      <c r="C31" s="53"/>
      <c r="D31" s="54"/>
      <c r="E31" s="55" t="str">
        <f>Sheet1!B12</f>
        <v>Clases magistrales con soporte práctico.
Talleres de modelación financiera con Excel/Power BI.
Análisis de casos reales de fusiones y adquisiciones.
Simulaciones de negociación en equipos.</v>
      </c>
      <c r="F31" s="53"/>
      <c r="G31" s="53"/>
      <c r="H31" s="56"/>
    </row>
    <row r="32" spans="1:10" x14ac:dyDescent="0.35">
      <c r="A32" s="57" t="s">
        <v>78</v>
      </c>
      <c r="B32" s="58"/>
      <c r="C32" s="58"/>
      <c r="D32" s="58"/>
      <c r="E32" s="58"/>
      <c r="F32" s="58"/>
      <c r="G32" s="58"/>
      <c r="H32" s="59"/>
    </row>
    <row r="33" spans="1:8" ht="203" x14ac:dyDescent="0.35">
      <c r="A33" s="38" t="s">
        <v>79</v>
      </c>
      <c r="B33" s="39" t="str">
        <f>Sheet1!B13</f>
        <v>- Ensayo individual sobre fundamentos de valoración: 20%
- Taller de modelación financiera (DCF, múltiplos): 20%
- Simulación grupal de negociación en un proceso de M&amp;A: 20%
- Proyecto final: valoración de una empresa y propuesta de M&amp;A con criterios ESG: 40%</v>
      </c>
      <c r="C33" s="39"/>
      <c r="D33" s="40"/>
      <c r="E33" s="41" t="s">
        <v>15</v>
      </c>
      <c r="F33" s="39" t="str">
        <f>Sheet1!B15</f>
        <v>Excel avanzado, Power BI, bases de datos financieras (Bloomberg/Eikon, SFC), informes sectoriales.</v>
      </c>
      <c r="G33" s="39"/>
      <c r="H33" s="42"/>
    </row>
    <row r="34" spans="1:8" ht="61" customHeight="1" x14ac:dyDescent="0.35">
      <c r="A34" s="43" t="s">
        <v>80</v>
      </c>
      <c r="B34" s="44"/>
      <c r="C34" s="44"/>
      <c r="D34" s="45"/>
      <c r="E34" s="46" t="s">
        <v>81</v>
      </c>
      <c r="F34" s="47"/>
      <c r="G34" s="20" t="s">
        <v>82</v>
      </c>
      <c r="H34" s="48">
        <v>0.3</v>
      </c>
    </row>
    <row r="35" spans="1:8" x14ac:dyDescent="0.35">
      <c r="A35" s="60" t="s">
        <v>83</v>
      </c>
      <c r="B35" s="61"/>
      <c r="C35" s="61"/>
      <c r="D35" s="61"/>
      <c r="E35" s="61"/>
      <c r="F35" s="61"/>
      <c r="G35" s="61"/>
      <c r="H35" s="62"/>
    </row>
    <row r="36" spans="1:8" x14ac:dyDescent="0.35">
      <c r="A36" s="33" t="s">
        <v>84</v>
      </c>
      <c r="B36" s="34"/>
      <c r="C36" s="34"/>
      <c r="D36" s="35"/>
      <c r="E36" s="36" t="s">
        <v>85</v>
      </c>
      <c r="F36" s="34"/>
      <c r="G36" s="34"/>
      <c r="H36" s="37"/>
    </row>
    <row r="37" spans="1:8" ht="134" customHeight="1" x14ac:dyDescent="0.35">
      <c r="A37" s="63" t="str">
        <f>Sheet1!B16</f>
        <v>Koller, T., Goedhart, M., &amp; Wessels, D. (2020). Valuation: Measuring and managing the value of companies (7th ed.). Wiley Finance.
Damodaran, A. (2021). Investment Valuation (3rd ed.). Wiley.</v>
      </c>
      <c r="B37" s="64"/>
      <c r="C37" s="64"/>
      <c r="D37" s="65"/>
      <c r="E37" s="49" t="str">
        <f>Sheet1!B17</f>
        <v>Superintendencia Financiera de Colombia. (2024). Guía para la valoración de entidades financieras en procesos de adquisición. Bogotá: SFC.
EY. (2023). CFO y generación de valor sostenible en entornos de incertidumbre. EY Insights.
Forbes. (2024). Tendencias en M&amp;A en América Latina 2023-2025.</v>
      </c>
      <c r="F37" s="50"/>
      <c r="G37" s="50"/>
      <c r="H37" s="51"/>
    </row>
  </sheetData>
  <mergeCells count="17">
    <mergeCell ref="A27:H29"/>
    <mergeCell ref="A1:H3"/>
    <mergeCell ref="A4:H4"/>
    <mergeCell ref="A8:H8"/>
    <mergeCell ref="A10:H10"/>
    <mergeCell ref="B11:C11"/>
    <mergeCell ref="G11:H11"/>
    <mergeCell ref="A12:H12"/>
    <mergeCell ref="A17:B17"/>
    <mergeCell ref="A18:B20"/>
    <mergeCell ref="A21:H25"/>
    <mergeCell ref="A26:H26"/>
    <mergeCell ref="A31:D31"/>
    <mergeCell ref="E31:H31"/>
    <mergeCell ref="A32:H32"/>
    <mergeCell ref="A35:H35"/>
    <mergeCell ref="A37:D37"/>
  </mergeCells>
  <pageMargins left="0.7" right="0.7" top="0.75" bottom="0.75" header="0.3" footer="0.3"/>
  <pageSetup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 ZULUAGA MUÑOZ</cp:lastModifiedBy>
  <dcterms:created xsi:type="dcterms:W3CDTF">2025-08-29T17:31:11Z</dcterms:created>
  <dcterms:modified xsi:type="dcterms:W3CDTF">2025-09-02T03:06:10Z</dcterms:modified>
</cp:coreProperties>
</file>