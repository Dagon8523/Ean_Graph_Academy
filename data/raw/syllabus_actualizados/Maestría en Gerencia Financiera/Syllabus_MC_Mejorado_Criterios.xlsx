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D8EB00C9-2D77-46CD-9BBD-8F7A6C32ACAA}" xr6:coauthVersionLast="47" xr6:coauthVersionMax="47" xr10:uidLastSave="{00000000-0000-0000-0000-000000000000}"/>
  <bookViews>
    <workbookView xWindow="28890" yWindow="600" windowWidth="9600" windowHeight="4905" xr2:uid="{00000000-000D-0000-FFFF-FFFF00000000}"/>
  </bookViews>
  <sheets>
    <sheet name="Hoja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E37" i="2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<sst xmlns="http://schemas.openxmlformats.org/spreadsheetml/2006/main" count="94" uniqueCount="87">
  <si>
    <t>Campo</t>
  </si>
  <si>
    <t>Contenido</t>
  </si>
  <si>
    <t>Nombre de la Unidad</t>
  </si>
  <si>
    <t>Código</t>
  </si>
  <si>
    <t>Créditos</t>
  </si>
  <si>
    <t>Carácter</t>
  </si>
  <si>
    <t>Modalidad</t>
  </si>
  <si>
    <t>Propósito</t>
  </si>
  <si>
    <t>RAP Asociados</t>
  </si>
  <si>
    <t>RAU</t>
  </si>
  <si>
    <t>Competencias</t>
  </si>
  <si>
    <t>Contenidos</t>
  </si>
  <si>
    <t>Metodologías</t>
  </si>
  <si>
    <t>Estrategias de Evaluación</t>
  </si>
  <si>
    <t>Criterios de Evaluación</t>
  </si>
  <si>
    <t>Recursos Tecnológicos</t>
  </si>
  <si>
    <t>Bibliografía Básica</t>
  </si>
  <si>
    <t>Bibliografía Complementaria</t>
  </si>
  <si>
    <t>Mercado de Capitales</t>
  </si>
  <si>
    <t>MC001</t>
  </si>
  <si>
    <t>Nuclear</t>
  </si>
  <si>
    <t>Presencial</t>
  </si>
  <si>
    <t>Fortalecer la capacidad de los estudiantes para interpretar el funcionamiento del mercado de capitales y evaluar los instrumentos financieros disponibles para la financiación e inversión. Se conecta con tendencias globales y nacionales como el crecimiento de la inversión sostenible, la digitalización del mercado de valores, la aparición de fintech en el trading y la consolidación del mercado colombiano bajo estándares internacionales de transparencia y gobierno corporativo.</t>
  </si>
  <si>
    <t>- Implementar herramientas analíticas para la gestión financiera.
- Organizar procesos financieros que optimicen la toma de decisiones.
- Plantear soluciones a problemas propios de la gestión financiera.</t>
  </si>
  <si>
    <t>Interpreta el funcionamiento del mercado de capitales y los instrumentos financieros disponibles.</t>
  </si>
  <si>
    <t>Esenciales: Pensamiento crítico, aprendizaje autónomo.
Transversales: Competencia digital, visión global, sostenibilidad.
Disciplinares: Mercado de valores, instrumentos financieros, gobierno corporativo.</t>
  </si>
  <si>
    <t>1. Introducción al mercado de capitales y su estructura.
2. Instrumentos financieros: acciones, bonos, ETF y otros.
3. Funcionamiento del mercado primario y secundario.
4. Regulación y supervisión en Colombia (AMV, SFC).
5. Tendencias: inversión sostenible, fintech y digitalización del trading.
6. Casos aplicados de inversión y financiación en Colombia y LatAm.</t>
  </si>
  <si>
    <t>Clases magistrales con análisis de mercado.
Talleres prácticos de valoración de instrumentos financieros.
Estudio de casos sobre emisiones en Colombia.
Simulación de portafolios de inversión.</t>
  </si>
  <si>
    <t>- Ensayo individual sobre funcionamiento del mercado de capitales: 20%
- Taller de análisis y valoración de instrumentos financieros: 20%
- Estudio de caso grupal sobre emisiones en Colombia: 20%
- Proyecto final: simulación de portafolio de inversión y presentación ejecutiva: 40%</t>
  </si>
  <si>
    <t>1. Explicar la estructura y los actores del mercado de capitales.
2. Aplicar herramientas de análisis para valorar instrumentos financieros.
3. Analizar casos de emisión y negociación en mercados de valores.
4. Diseñar un portafolio de inversión con criterios de sostenibilidad.</t>
  </si>
  <si>
    <t>AMV Colombia, Bloomberg, Reuters, bases de datos SFC, plataformas de simulación bursátil.</t>
  </si>
  <si>
    <t>AMV Colombia. (2025). Guías de mercado de capitales. https://amvcolombia.org.co/
Fabozzi, F. (2021). Capital Markets: Institutions, Instruments, and Risk Management. MIT Press.</t>
  </si>
  <si>
    <t>Superintendencia Financiera de Colombia. (2024). Informes de mercado de valores.
OECD. (2023). Trends in Capital Markets Regulation.
CFA Institute. (2022). Capital Markets Report.</t>
  </si>
  <si>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</si>
  <si>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</si>
  <si>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</si>
  <si>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</si>
  <si>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</si>
  <si>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</si>
  <si>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</si>
  <si>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</si>
  <si>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</si>
  <si>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</si>
  <si>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</si>
  <si>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</si>
  <si>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</si>
  <si>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</si>
  <si>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</si>
  <si>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</si>
  <si>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</si>
  <si>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</si>
  <si>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</si>
  <si>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</si>
  <si>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</si>
  <si>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</si>
  <si>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</si>
  <si>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</si>
  <si>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</si>
  <si>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</si>
  <si>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</si>
  <si>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</si>
  <si>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</si>
  <si>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</si>
  <si>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</si>
  <si>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</si>
  <si>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</si>
  <si>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</si>
  <si>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</si>
  <si>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</si>
  <si>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</si>
  <si>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</si>
  <si>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</si>
  <si>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</si>
  <si>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</si>
  <si>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</si>
  <si>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</si>
  <si>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</si>
  <si>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</si>
  <si>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</si>
  <si>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</si>
  <si>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</si>
  <si>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</si>
  <si>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</si>
  <si>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</si>
  <si>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</si>
  <si>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</si>
  <si>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 xml:space="preserve">AMA01605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</si>
</sst>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65996B29-BC88-47A8-91CC-740D74172D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EC1B-0EAA-44A0-AE46-3950537A1E83}">
  <dimension ref="A1:J37"/>
  <sheetViews>
    <sheetView tabSelected="1" zoomScale="70" zoomScaleNormal="70" zoomScalePageLayoutView="130" workbookViewId="0">
      <selection activeCell="B5" sqref="B5"/>
    </sheetView>
  </sheetViews>
  <sheetFormatPr baseColWidth="10" defaultRowHeight="14.5" x14ac:dyDescent="0.35"/>
  <cols>
    <col min="1" max="1" width="13.6328125" customWidth="1"/>
    <col min="5" max="5" width="12.1796875" customWidth="1"/>
  </cols>
  <sheetData>
    <row r="1" spans="1:8" x14ac:dyDescent="0.35">
      <c r="A1" s="2" t="s">
        <v>33</v>
      </c>
      <c r="B1" s="3"/>
      <c r="C1" s="3"/>
      <c r="D1" s="3"/>
      <c r="E1" s="3"/>
      <c r="F1" s="3"/>
      <c r="G1" s="3"/>
      <c r="H1" s="4"/>
    </row>
    <row r="2" spans="1:8" x14ac:dyDescent="0.35">
      <c r="A2" s="5"/>
      <c r="B2" s="6"/>
      <c r="C2" s="6"/>
      <c r="D2" s="6"/>
      <c r="E2" s="6"/>
      <c r="F2" s="6"/>
      <c r="G2" s="6"/>
      <c r="H2" s="7"/>
    </row>
    <row r="3" spans="1:8" ht="15" thickBot="1" x14ac:dyDescent="0.4">
      <c r="A3" s="8"/>
      <c r="B3" s="9"/>
      <c r="C3" s="9"/>
      <c r="D3" s="9"/>
      <c r="E3" s="9"/>
      <c r="F3" s="9"/>
      <c r="G3" s="9"/>
      <c r="H3" s="10"/>
    </row>
    <row r="4" spans="1:8" x14ac:dyDescent="0.35">
      <c r="A4" s="11" t="s">
        <v>34</v>
      </c>
      <c r="B4" s="12"/>
      <c r="C4" s="12"/>
      <c r="D4" s="12"/>
      <c r="E4" s="12"/>
      <c r="F4" s="12"/>
      <c r="G4" s="12"/>
      <c r="H4" s="13"/>
    </row>
    <row r="5" spans="1:8" s="18" customFormat="1" ht="52" customHeight="1" x14ac:dyDescent="0.35">
      <c r="A5" s="14" t="s">
        <v>35</v>
      </c>
      <c r="B5" s="15">
        <v>2026</v>
      </c>
      <c r="C5" s="16" t="s">
        <v>36</v>
      </c>
      <c r="D5" s="15"/>
      <c r="E5" s="16" t="s">
        <v>37</v>
      </c>
      <c r="F5" s="15" t="s">
        <v>86</v>
      </c>
      <c r="G5" s="16" t="s">
        <v>38</v>
      </c>
      <c r="H5" s="17" t="s">
        <v>20</v>
      </c>
    </row>
    <row r="6" spans="1:8" ht="54" customHeight="1" x14ac:dyDescent="0.35">
      <c r="A6" s="19" t="s">
        <v>39</v>
      </c>
      <c r="B6" s="15" t="s">
        <v>40</v>
      </c>
      <c r="C6" s="20" t="s">
        <v>41</v>
      </c>
      <c r="D6" s="21" t="s">
        <v>42</v>
      </c>
      <c r="E6" s="22"/>
      <c r="F6" s="16" t="s">
        <v>43</v>
      </c>
      <c r="G6" s="21" t="str">
        <f>Sheet1!B2</f>
        <v>Mercado de Capitales</v>
      </c>
      <c r="H6" s="23"/>
    </row>
    <row r="7" spans="1:8" ht="51.5" customHeight="1" thickBot="1" x14ac:dyDescent="0.4">
      <c r="A7" s="24" t="s">
        <v>44</v>
      </c>
      <c r="B7" s="25">
        <v>3</v>
      </c>
      <c r="C7" s="26" t="s">
        <v>45</v>
      </c>
      <c r="D7" s="25">
        <v>36</v>
      </c>
      <c r="E7" s="26" t="s">
        <v>46</v>
      </c>
      <c r="F7" s="25">
        <v>108</v>
      </c>
      <c r="G7" s="26" t="s">
        <v>47</v>
      </c>
      <c r="H7" s="27">
        <f>D7+F7</f>
        <v>144</v>
      </c>
    </row>
    <row r="8" spans="1:8" ht="14.5" customHeight="1" x14ac:dyDescent="0.35">
      <c r="A8" s="28" t="s">
        <v>48</v>
      </c>
      <c r="B8" s="29"/>
      <c r="C8" s="29"/>
      <c r="D8" s="29"/>
      <c r="E8" s="29"/>
      <c r="F8" s="29"/>
      <c r="G8" s="29"/>
      <c r="H8" s="30"/>
    </row>
    <row r="9" spans="1:8" ht="60.5" x14ac:dyDescent="0.35">
      <c r="A9" s="31" t="s">
        <v>49</v>
      </c>
      <c r="B9" s="20" t="s">
        <v>21</v>
      </c>
      <c r="C9" s="32"/>
      <c r="D9" s="33" t="s">
        <v>50</v>
      </c>
      <c r="E9" s="34"/>
      <c r="F9" s="35" t="s">
        <v>51</v>
      </c>
      <c r="G9" s="36"/>
      <c r="H9" s="37"/>
    </row>
    <row r="10" spans="1:8" x14ac:dyDescent="0.35">
      <c r="A10" s="38" t="s">
        <v>52</v>
      </c>
      <c r="B10" s="39"/>
      <c r="C10" s="39"/>
      <c r="D10" s="39"/>
      <c r="E10" s="39"/>
      <c r="F10" s="39"/>
      <c r="G10" s="39"/>
      <c r="H10" s="40"/>
    </row>
    <row r="11" spans="1:8" x14ac:dyDescent="0.35">
      <c r="A11" s="14" t="s">
        <v>53</v>
      </c>
      <c r="B11" s="41"/>
      <c r="C11" s="42"/>
      <c r="D11" s="20" t="s">
        <v>54</v>
      </c>
      <c r="E11" s="15" t="s">
        <v>55</v>
      </c>
      <c r="F11" s="20" t="s">
        <v>56</v>
      </c>
      <c r="G11" s="41"/>
      <c r="H11" s="43"/>
    </row>
    <row r="12" spans="1:8" x14ac:dyDescent="0.35">
      <c r="A12" s="38" t="s">
        <v>57</v>
      </c>
      <c r="B12" s="39"/>
      <c r="C12" s="39"/>
      <c r="D12" s="39"/>
      <c r="E12" s="39"/>
      <c r="F12" s="39"/>
      <c r="G12" s="39"/>
      <c r="H12" s="40"/>
    </row>
    <row r="13" spans="1:8" ht="130.5" x14ac:dyDescent="0.35">
      <c r="A13" s="44" t="s">
        <v>58</v>
      </c>
      <c r="B13" s="45" t="str">
        <f>Sheet1!B7</f>
        <v>Fortalecer la capacidad de los estudiantes para interpretar el funcionamiento del mercado de capitales y evaluar los instrumentos financieros disponibles para la financiación e inversión. Se conecta con tendencias globales y nacionales como el crecimiento de la inversión sostenible, la digitalización del mercado de valores, la aparición de fintech en el trading y la consolidación del mercado colombiano bajo estándares internacionales de transparencia y gobierno corporativo.</v>
      </c>
      <c r="C13" s="46"/>
      <c r="D13" s="47"/>
      <c r="E13" s="47"/>
      <c r="F13" s="47"/>
      <c r="G13" s="47"/>
      <c r="H13" s="48"/>
    </row>
    <row r="14" spans="1:8" ht="29" x14ac:dyDescent="0.35">
      <c r="A14" s="44" t="s">
        <v>59</v>
      </c>
      <c r="B14" s="45" t="str">
        <f>B15</f>
        <v>- Implementar herramientas analíticas para la gestión financiera.
- Organizar procesos financieros que optimicen la toma de decisiones.
- Plantear soluciones a problemas propios de la gestión financiera.</v>
      </c>
      <c r="C14" s="46"/>
      <c r="D14" s="47"/>
      <c r="E14" s="47"/>
      <c r="F14" s="47"/>
      <c r="G14" s="47"/>
      <c r="H14" s="48"/>
    </row>
    <row r="15" spans="1:8" ht="72.5" x14ac:dyDescent="0.35">
      <c r="A15" s="44" t="s">
        <v>60</v>
      </c>
      <c r="B15" s="45" t="str">
        <f>Sheet1!B8</f>
        <v>- Implementar herramientas analíticas para la gestión financiera.
- Organizar procesos financieros que optimicen la toma de decisiones.
- Plantear soluciones a problemas propios de la gestión financiera.</v>
      </c>
      <c r="C15" s="46"/>
      <c r="D15" s="47"/>
      <c r="E15" s="47"/>
      <c r="F15" s="47"/>
      <c r="G15" s="47"/>
      <c r="H15" s="48"/>
    </row>
    <row r="16" spans="1:8" ht="58" x14ac:dyDescent="0.35">
      <c r="A16" s="44" t="s">
        <v>61</v>
      </c>
      <c r="B16" s="45" t="str">
        <f>Sheet1!B9</f>
        <v>Interpreta el funcionamiento del mercado de capitales y los instrumentos financieros disponibles.</v>
      </c>
      <c r="C16" s="46"/>
      <c r="D16" s="47"/>
      <c r="E16" s="47"/>
      <c r="F16" s="47"/>
      <c r="G16" s="47"/>
      <c r="H16" s="48"/>
    </row>
    <row r="17" spans="1:10" ht="120" customHeight="1" x14ac:dyDescent="0.35">
      <c r="A17" s="49" t="s">
        <v>62</v>
      </c>
      <c r="B17" s="50"/>
      <c r="C17" s="51" t="str">
        <f>Sheet1!B14</f>
        <v>1. Explicar la estructura y los actores del mercado de capitales.
2. Aplicar herramientas de análisis para valorar instrumentos financieros.
3. Analizar casos de emisión y negociación en mercados de valores.
4. Diseñar un portafolio de inversión con criterios de sostenibilidad.</v>
      </c>
      <c r="D17" s="52"/>
      <c r="E17" s="52"/>
      <c r="F17" s="52"/>
      <c r="G17" s="52"/>
      <c r="H17" s="53"/>
    </row>
    <row r="18" spans="1:10" ht="24.5" customHeight="1" x14ac:dyDescent="0.35">
      <c r="A18" s="54" t="s">
        <v>63</v>
      </c>
      <c r="B18" s="55"/>
      <c r="C18" s="20" t="s">
        <v>64</v>
      </c>
      <c r="D18" s="15"/>
      <c r="E18" s="20" t="s">
        <v>65</v>
      </c>
      <c r="F18" s="15"/>
      <c r="G18" s="20" t="s">
        <v>66</v>
      </c>
      <c r="H18" s="17" t="s">
        <v>50</v>
      </c>
    </row>
    <row r="19" spans="1:10" ht="18.5" customHeight="1" x14ac:dyDescent="0.35">
      <c r="A19" s="56"/>
      <c r="B19" s="57"/>
      <c r="C19" s="58" t="s">
        <v>67</v>
      </c>
      <c r="D19" s="15" t="s">
        <v>50</v>
      </c>
      <c r="E19" s="20" t="s">
        <v>68</v>
      </c>
      <c r="F19" s="15"/>
      <c r="G19" s="20" t="s">
        <v>69</v>
      </c>
      <c r="H19" s="17"/>
      <c r="I19" s="59"/>
      <c r="J19" s="59"/>
    </row>
    <row r="20" spans="1:10" ht="79" customHeight="1" x14ac:dyDescent="0.35">
      <c r="A20" s="60"/>
      <c r="B20" s="61"/>
      <c r="C20" s="20" t="s">
        <v>70</v>
      </c>
      <c r="D20" s="15"/>
      <c r="E20" s="20" t="s">
        <v>71</v>
      </c>
      <c r="F20" s="15" t="s">
        <v>50</v>
      </c>
      <c r="G20" s="20" t="s">
        <v>72</v>
      </c>
      <c r="H20" s="17" t="s">
        <v>50</v>
      </c>
    </row>
    <row r="21" spans="1:10" ht="14.5" customHeight="1" x14ac:dyDescent="0.35">
      <c r="A21" s="62" t="s">
        <v>73</v>
      </c>
      <c r="B21" s="63"/>
      <c r="C21" s="63"/>
      <c r="D21" s="63"/>
      <c r="E21" s="63"/>
      <c r="F21" s="63"/>
      <c r="G21" s="63"/>
      <c r="H21" s="64"/>
    </row>
    <row r="22" spans="1:10" x14ac:dyDescent="0.35">
      <c r="A22" s="65"/>
      <c r="B22" s="66"/>
      <c r="C22" s="66"/>
      <c r="D22" s="66"/>
      <c r="E22" s="66"/>
      <c r="F22" s="66"/>
      <c r="G22" s="66"/>
      <c r="H22" s="67"/>
    </row>
    <row r="23" spans="1:10" x14ac:dyDescent="0.35">
      <c r="A23" s="65"/>
      <c r="B23" s="66"/>
      <c r="C23" s="66"/>
      <c r="D23" s="66"/>
      <c r="E23" s="66"/>
      <c r="F23" s="66"/>
      <c r="G23" s="66"/>
      <c r="H23" s="67"/>
    </row>
    <row r="24" spans="1:10" x14ac:dyDescent="0.35">
      <c r="A24" s="65"/>
      <c r="B24" s="66"/>
      <c r="C24" s="66"/>
      <c r="D24" s="66"/>
      <c r="E24" s="66"/>
      <c r="F24" s="66"/>
      <c r="G24" s="66"/>
      <c r="H24" s="67"/>
    </row>
    <row r="25" spans="1:10" ht="15" thickBot="1" x14ac:dyDescent="0.4">
      <c r="A25" s="68"/>
      <c r="B25" s="69"/>
      <c r="C25" s="69"/>
      <c r="D25" s="69"/>
      <c r="E25" s="69"/>
      <c r="F25" s="69"/>
      <c r="G25" s="69"/>
      <c r="H25" s="70"/>
    </row>
    <row r="26" spans="1:10" x14ac:dyDescent="0.35">
      <c r="A26" s="71" t="s">
        <v>74</v>
      </c>
      <c r="B26" s="72"/>
      <c r="C26" s="72"/>
      <c r="D26" s="72"/>
      <c r="E26" s="72"/>
      <c r="F26" s="72"/>
      <c r="G26" s="72"/>
      <c r="H26" s="73"/>
    </row>
    <row r="27" spans="1:10" ht="14.5" customHeight="1" x14ac:dyDescent="0.35">
      <c r="A27" s="74" t="s">
        <v>75</v>
      </c>
      <c r="B27" s="75"/>
      <c r="C27" s="75"/>
      <c r="D27" s="75"/>
      <c r="E27" s="75"/>
      <c r="F27" s="75"/>
      <c r="G27" s="75"/>
      <c r="H27" s="76"/>
    </row>
    <row r="28" spans="1:10" x14ac:dyDescent="0.35">
      <c r="A28" s="77"/>
      <c r="B28" s="78"/>
      <c r="C28" s="78"/>
      <c r="D28" s="78"/>
      <c r="E28" s="78"/>
      <c r="F28" s="78"/>
      <c r="G28" s="78"/>
      <c r="H28" s="79"/>
    </row>
    <row r="29" spans="1:10" x14ac:dyDescent="0.35">
      <c r="A29" s="80"/>
      <c r="B29" s="81"/>
      <c r="C29" s="81"/>
      <c r="D29" s="81"/>
      <c r="E29" s="81"/>
      <c r="F29" s="81"/>
      <c r="G29" s="81"/>
      <c r="H29" s="82"/>
    </row>
    <row r="30" spans="1:10" x14ac:dyDescent="0.35">
      <c r="A30" s="83" t="s">
        <v>76</v>
      </c>
      <c r="B30" s="84"/>
      <c r="C30" s="84"/>
      <c r="D30" s="85"/>
      <c r="E30" s="86" t="s">
        <v>77</v>
      </c>
      <c r="F30" s="84"/>
      <c r="G30" s="84"/>
      <c r="H30" s="87"/>
    </row>
    <row r="31" spans="1:10" ht="140.5" customHeight="1" thickBot="1" x14ac:dyDescent="0.4">
      <c r="A31" s="88" t="str">
        <f>Sheet1!B11</f>
        <v>1. Introducción al mercado de capitales y su estructura.
2. Instrumentos financieros: acciones, bonos, ETF y otros.
3. Funcionamiento del mercado primario y secundario.
4. Regulación y supervisión en Colombia (AMV, SFC).
5. Tendencias: inversión sostenible, fintech y digitalización del trading.
6. Casos aplicados de inversión y financiación en Colombia y LatAm.</v>
      </c>
      <c r="B31" s="89"/>
      <c r="C31" s="89"/>
      <c r="D31" s="90"/>
      <c r="E31" s="91" t="str">
        <f>Sheet1!B12</f>
        <v>Clases magistrales con análisis de mercado.
Talleres prácticos de valoración de instrumentos financieros.
Estudio de casos sobre emisiones en Colombia.
Simulación de portafolios de inversión.</v>
      </c>
      <c r="F31" s="89"/>
      <c r="G31" s="89"/>
      <c r="H31" s="92"/>
    </row>
    <row r="32" spans="1:10" x14ac:dyDescent="0.35">
      <c r="A32" s="93" t="s">
        <v>78</v>
      </c>
      <c r="B32" s="94"/>
      <c r="C32" s="94"/>
      <c r="D32" s="94"/>
      <c r="E32" s="94"/>
      <c r="F32" s="94"/>
      <c r="G32" s="94"/>
      <c r="H32" s="95"/>
    </row>
    <row r="33" spans="1:8" ht="188.5" x14ac:dyDescent="0.35">
      <c r="A33" s="96" t="s">
        <v>79</v>
      </c>
      <c r="B33" s="97" t="str">
        <f>Sheet1!B13</f>
        <v>- Ensayo individual sobre funcionamiento del mercado de capitales: 20%
- Taller de análisis y valoración de instrumentos financieros: 20%
- Estudio de caso grupal sobre emisiones en Colombia: 20%
- Proyecto final: simulación de portafolio de inversión y presentación ejecutiva: 40%</v>
      </c>
      <c r="C33" s="97"/>
      <c r="D33" s="98"/>
      <c r="E33" s="99" t="s">
        <v>15</v>
      </c>
      <c r="F33" s="97" t="str">
        <f>Sheet1!B15</f>
        <v>AMV Colombia, Bloomberg, Reuters, bases de datos SFC, plataformas de simulación bursátil.</v>
      </c>
      <c r="G33" s="97"/>
      <c r="H33" s="100"/>
    </row>
    <row r="34" spans="1:8" ht="61" customHeight="1" x14ac:dyDescent="0.35">
      <c r="A34" s="101" t="s">
        <v>80</v>
      </c>
      <c r="B34" s="102"/>
      <c r="C34" s="102"/>
      <c r="D34" s="103"/>
      <c r="E34" s="104" t="s">
        <v>81</v>
      </c>
      <c r="F34" s="105"/>
      <c r="G34" s="35" t="s">
        <v>82</v>
      </c>
      <c r="H34" s="106">
        <v>0.3</v>
      </c>
    </row>
    <row r="35" spans="1:8" x14ac:dyDescent="0.35">
      <c r="A35" s="107" t="s">
        <v>83</v>
      </c>
      <c r="B35" s="108"/>
      <c r="C35" s="108"/>
      <c r="D35" s="108"/>
      <c r="E35" s="108"/>
      <c r="F35" s="108"/>
      <c r="G35" s="108"/>
      <c r="H35" s="109"/>
    </row>
    <row r="36" spans="1:8" x14ac:dyDescent="0.35">
      <c r="A36" s="83" t="s">
        <v>84</v>
      </c>
      <c r="B36" s="84"/>
      <c r="C36" s="84"/>
      <c r="D36" s="85"/>
      <c r="E36" s="86" t="s">
        <v>85</v>
      </c>
      <c r="F36" s="84"/>
      <c r="G36" s="84"/>
      <c r="H36" s="87"/>
    </row>
    <row r="37" spans="1:8" ht="134" customHeight="1" x14ac:dyDescent="0.35">
      <c r="A37" s="110" t="str">
        <f>Sheet1!B16</f>
        <v>AMV Colombia. (2025). Guías de mercado de capitales. https://amvcolombia.org.co/
Fabozzi, F. (2021). Capital Markets: Institutions, Instruments, and Risk Management. MIT Press.</v>
      </c>
      <c r="B37" s="111"/>
      <c r="C37" s="111"/>
      <c r="D37" s="112"/>
      <c r="E37" s="113" t="str">
        <f>Sheet1!B17</f>
        <v>Superintendencia Financiera de Colombia. (2024). Informes de mercado de valores.
OECD. (2023). Trends in Capital Markets Regulation.
CFA Institute. (2022). Capital Markets Report.</v>
      </c>
      <c r="F37" s="114"/>
      <c r="G37" s="114"/>
      <c r="H37" s="115"/>
    </row>
  </sheetData>
  <mergeCells count="17">
    <mergeCell ref="A31:D31"/>
    <mergeCell ref="E31:H31"/>
    <mergeCell ref="A32:H32"/>
    <mergeCell ref="A35:H35"/>
    <mergeCell ref="A37:D37"/>
    <mergeCell ref="A12:H12"/>
    <mergeCell ref="A17:B17"/>
    <mergeCell ref="A18:B20"/>
    <mergeCell ref="A21:H25"/>
    <mergeCell ref="A26:H26"/>
    <mergeCell ref="A27:H29"/>
    <mergeCell ref="A1:H3"/>
    <mergeCell ref="A4:H4"/>
    <mergeCell ref="A8:H8"/>
    <mergeCell ref="A10:H10"/>
    <mergeCell ref="B11:C11"/>
    <mergeCell ref="G11:H11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19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 t="s">
        <v>20</v>
      </c>
    </row>
    <row r="6" spans="1:2" x14ac:dyDescent="0.35">
      <c r="A6" t="s">
        <v>6</v>
      </c>
      <c r="B6" t="s">
        <v>21</v>
      </c>
    </row>
    <row r="7" spans="1:2" x14ac:dyDescent="0.35">
      <c r="A7" t="s">
        <v>7</v>
      </c>
      <c r="B7" t="s">
        <v>22</v>
      </c>
    </row>
    <row r="8" spans="1:2" x14ac:dyDescent="0.35">
      <c r="A8" t="s">
        <v>8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10</v>
      </c>
      <c r="B10" t="s">
        <v>25</v>
      </c>
    </row>
    <row r="11" spans="1:2" x14ac:dyDescent="0.35">
      <c r="A11" t="s">
        <v>11</v>
      </c>
      <c r="B11" t="s">
        <v>26</v>
      </c>
    </row>
    <row r="12" spans="1:2" x14ac:dyDescent="0.35">
      <c r="A12" t="s">
        <v>12</v>
      </c>
      <c r="B12" t="s">
        <v>27</v>
      </c>
    </row>
    <row r="13" spans="1:2" x14ac:dyDescent="0.35">
      <c r="A13" t="s">
        <v>13</v>
      </c>
      <c r="B13" t="s">
        <v>28</v>
      </c>
    </row>
    <row r="14" spans="1:2" x14ac:dyDescent="0.35">
      <c r="A14" t="s">
        <v>14</v>
      </c>
      <c r="B14" t="s">
        <v>29</v>
      </c>
    </row>
    <row r="15" spans="1:2" x14ac:dyDescent="0.35">
      <c r="A15" t="s">
        <v>15</v>
      </c>
      <c r="B15" t="s">
        <v>30</v>
      </c>
    </row>
    <row r="16" spans="1:2" x14ac:dyDescent="0.35">
      <c r="A16" t="s">
        <v>16</v>
      </c>
      <c r="B16" t="s">
        <v>31</v>
      </c>
    </row>
    <row r="17" spans="1:2" x14ac:dyDescent="0.35">
      <c r="A17" t="s">
        <v>17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ZULUAGA MUÑOZ</cp:lastModifiedBy>
  <dcterms:created xsi:type="dcterms:W3CDTF">2025-08-29T17:53:50Z</dcterms:created>
  <dcterms:modified xsi:type="dcterms:W3CDTF">2025-09-02T00:27:20Z</dcterms:modified>
</cp:coreProperties>
</file>