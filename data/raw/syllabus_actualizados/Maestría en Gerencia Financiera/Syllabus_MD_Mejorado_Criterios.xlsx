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wzuluaga\Downloads\"/>
    </mc:Choice>
  </mc:AlternateContent>
  <xr:revisionPtr revIDLastSave="0" documentId="13_ncr:1_{EA659E34-F6C3-4C12-A62C-A4A58B3B4DE5}" xr6:coauthVersionLast="47" xr6:coauthVersionMax="47" xr10:uidLastSave="{00000000-0000-0000-0000-000000000000}"/>
  <bookViews>
    <workbookView xWindow="35670" yWindow="3285" windowWidth="9600" windowHeight="8025" xr2:uid="{00000000-000D-0000-FFFF-FFFF00000000}"/>
  </bookViews>
  <sheets>
    <sheet name="Hoja1" sheetId="2" r:id="rId1"/>
    <sheet name="Sheet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7" i="2" l="1"/>
  <c r="A37" i="2"/>
  <c r="F33" i="2"/>
  <c r="B33" i="2"/>
  <c r="E31" i="2"/>
  <c r="A31" i="2"/>
  <c r="C17" i="2"/>
  <c r="B16" i="2"/>
  <c r="B15" i="2"/>
  <c r="B13" i="2"/>
  <c r="G6" i="2"/>
  <c r="H7" i="2"/>
</calcChain>
</file>

<file path=xl/sharedStrings.xml><?xml version="1.0" encoding="utf-8"?>
<sst xmlns="http://schemas.openxmlformats.org/spreadsheetml/2006/main" count="93" uniqueCount="87">
  <si>
    <t>Campo</t>
  </si>
  <si>
    <t>Contenido</t>
  </si>
  <si>
    <t>Nombre de la Unidad</t>
  </si>
  <si>
    <t>Código</t>
  </si>
  <si>
    <t>Créditos</t>
  </si>
  <si>
    <t>Carácter</t>
  </si>
  <si>
    <t>Modalidad</t>
  </si>
  <si>
    <t>Propósito</t>
  </si>
  <si>
    <t>RAP Asociados</t>
  </si>
  <si>
    <t>RAU</t>
  </si>
  <si>
    <t>Competencias</t>
  </si>
  <si>
    <t>Contenidos</t>
  </si>
  <si>
    <t>Metodologías</t>
  </si>
  <si>
    <t>Estrategias de Evaluación</t>
  </si>
  <si>
    <t>Criterios de Evaluación</t>
  </si>
  <si>
    <t>Recursos Tecnológicos</t>
  </si>
  <si>
    <t>Bibliografía Básica</t>
  </si>
  <si>
    <t>Bibliografía Complementaria</t>
  </si>
  <si>
    <t>Mercado de Derivados</t>
  </si>
  <si>
    <t>MD001</t>
  </si>
  <si>
    <t>Nuclear</t>
  </si>
  <si>
    <t>Presencial</t>
  </si>
  <si>
    <t>Lograr que los estudiantes comprendan, evalúen y apliquen los instrumentos derivados como herramientas para la cobertura y la gestión de riesgos financieros. Se articula con tendencias globales como el crecimiento de los derivados sobre commodities y divisas, la gestión de riesgos en mercados volátiles, la digitalización de contratos (smart derivatives) y la incorporación de criterios ESG en la valoración de productos derivados.</t>
  </si>
  <si>
    <t>- Implementar herramientas analíticas para la gestión financiera.
- Organizar procesos financieros que optimicen la toma de decisiones.
- Plantear soluciones a problemas propios de la gestión financiera.</t>
  </si>
  <si>
    <t>Evalúa los instrumentos derivados y su aplicación en la gestión de riesgos financieros.</t>
  </si>
  <si>
    <t>Esenciales: Pensamiento crítico, aprendizaje autónomo.
Transversales: Competencia digital, visión global, sostenibilidad.
Disciplinares: Derivados financieros, gestión de riesgo, mercados internacionales.</t>
  </si>
  <si>
    <t>1. Introducción a los derivados financieros: forwards, futuros, opciones y swaps.
2. Mercados organizados vs. mercados OTC.
3. Estrategias de cobertura con derivados.
4. Valoración de contratos de derivados.
5. Riesgos asociados a los derivados: crédito, liquidez y mercado.
6. Casos aplicados de derivados en Colombia y América Latina.</t>
  </si>
  <si>
    <t>Clases magistrales con ejemplos prácticos.
Talleres de valoración de contratos de derivados.
Estudio de casos empresariales sobre cobertura.
Simulaciones de portafolios con derivados.</t>
  </si>
  <si>
    <t>- Ensayo individual sobre fundamentos de derivados: 20%
- Taller de valoración de contratos derivados (Excel/AMV): 20%
- Estudio de caso grupal de cobertura cambiaria con derivados: 20%
- Proyecto final: diseño de una estrategia de gestión de riesgos con derivados: 40%</t>
  </si>
  <si>
    <t>1. Explicar los fundamentos y la tipología de los instrumentos derivados.
2. Aplicar técnicas de valoración de contratos de derivados.
3. Analizar estrategias de cobertura en contextos reales.
4. Diseñar una propuesta de gestión de riesgos financieros mediante derivados.</t>
  </si>
  <si>
    <t>Plataformas AMV Colombia, Excel avanzado, Bloomberg, Reuters, software de simulación financiera.</t>
  </si>
  <si>
    <t>AMV Colombia. (2025). Guías de derivados. https://amvcolombia.org.co/
Hull, J. (2018). Options, Futures, and Other Derivatives (10th ed.). Pearson.</t>
  </si>
  <si>
    <t>BIS. (2024). Derivatives Market Statistics.
CFA Institute. (2023). Derivatives and Risk Management.
Jorion, P. (2020). Financial Risk Manager Handbook. Wiley.</t>
  </si>
  <si>
    <t xml:space="preserve">FORMATO SYLLABUS </t>
  </si>
  <si>
    <t>1.	Información General de la Unidad de Estudio</t>
  </si>
  <si>
    <t>Año</t>
  </si>
  <si>
    <t>Código Plan de estudios</t>
  </si>
  <si>
    <t>Código Unidad de Estudio</t>
  </si>
  <si>
    <t>Tipo Unidad de estudio</t>
  </si>
  <si>
    <t>Facultad o Área</t>
  </si>
  <si>
    <t>FAFCE</t>
  </si>
  <si>
    <t>Programa</t>
  </si>
  <si>
    <t>Maestría en Gestión Financiera</t>
  </si>
  <si>
    <t>Nombre Unidad  de estudios</t>
  </si>
  <si>
    <t>Créditos Académicos</t>
  </si>
  <si>
    <t>HAD</t>
  </si>
  <si>
    <t>HTA</t>
  </si>
  <si>
    <t>HT</t>
  </si>
  <si>
    <t>2. Modalidad y Metodología</t>
  </si>
  <si>
    <t>Seleccione con una X la modalidad en la que se desarrolla la Unidad.</t>
  </si>
  <si>
    <t>x</t>
  </si>
  <si>
    <t>Virtual</t>
  </si>
  <si>
    <t>Metodología (Aplica solo para unidades de estudio de la modalidad presencial)</t>
  </si>
  <si>
    <t>PAT</t>
  </si>
  <si>
    <t>In Situ</t>
  </si>
  <si>
    <t>X</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</si>
  <si>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</si>
  <si>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</si>
  <si>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</si>
  <si>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</si>
  <si>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</si>
  <si>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</si>
  <si>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</si>
  <si>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</si>
  <si>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</si>
  <si>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</si>
  <si>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</si>
  <si>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</si>
  <si>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</si>
  <si>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</si>
  <si>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</si>
  <si>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</si>
  <si>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</si>
  <si>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</si>
  <si>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</si>
  <si>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</si>
  <si>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</si>
  <si>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</si>
  <si>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</si>
  <si>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</si>
  <si>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Componente de Lengua extranjera</t>
  </si>
  <si>
    <t>Ingles</t>
  </si>
  <si>
    <t>Porcentaje</t>
  </si>
  <si>
    <t>6.	Bibliografía Obligatoria y Complementaria.</t>
  </si>
  <si>
    <t>Bibliografía Obligatoria</t>
  </si>
  <si>
    <t>Bibliografia Complementaria</t>
  </si>
  <si>
    <t>AMA01505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</si>
</sst>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b/>
      <sz val="9"/>
      <color theme="1"/>
      <name val="Calibri"/>
      <family val="2"/>
      <scheme val="minor"/>
    </font>
    <font>
      <sz val="10"/>
      <color rgb="FF231F20"/>
      <name val="Arial"/>
      <family val="2"/>
    </font>
    <font>
      <b/>
      <sz val="10"/>
      <color rgb="FF231F20"/>
      <name val="Arial"/>
      <family val="2"/>
    </font>
  </fonts>
  <fills count="3">
    <fill>
      <patternFill patternType="none"/>
    </fill>
    <fill>
      <patternFill patternType="gray125"/>
    </fill>
    <fill>
      <patternFill patternType="solid">
        <fgColor theme="0"/>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9" fontId="2" fillId="0" borderId="0" applyFont="0" applyFill="0" applyBorder="0" applyAlignment="0" applyProtection="0"/>
  </cellStyleXfs>
  <cellXfs count="116">
    <xf numFmtId="0" fontId="0" fillId="0" borderId="0" xfId="0"/>
    <xf numFmtId="0" fontId="1" fillId="0" borderId="1" xfId="0" applyFont="1" applyBorder="1" applyAlignment="1">
      <alignment horizontal="center" vertical="top"/>
    </xf>
    <xf numFmtId="0" fontId="1" fillId="0" borderId="13"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4" xfId="0" applyBorder="1" applyAlignment="1">
      <alignment horizontal="center" vertical="center"/>
    </xf>
    <xf numFmtId="0" fontId="0" fillId="0" borderId="0" xfId="0" applyAlignment="1">
      <alignment vertical="center"/>
    </xf>
    <xf numFmtId="0" fontId="1" fillId="0" borderId="13" xfId="0" applyFont="1" applyBorder="1" applyAlignment="1">
      <alignment horizontal="center" vertical="center" wrapText="1"/>
    </xf>
    <xf numFmtId="0" fontId="1" fillId="0" borderId="1" xfId="0" applyFont="1" applyBorder="1" applyAlignment="1">
      <alignment horizontal="center" vertical="center"/>
    </xf>
    <xf numFmtId="0" fontId="0" fillId="0" borderId="15" xfId="0" applyBorder="1" applyAlignment="1">
      <alignment horizontal="centerContinuous" vertical="center" wrapText="1"/>
    </xf>
    <xf numFmtId="0" fontId="0" fillId="0" borderId="16" xfId="0" applyBorder="1" applyAlignment="1">
      <alignment horizontal="centerContinuous" vertical="center" wrapText="1"/>
    </xf>
    <xf numFmtId="0" fontId="0" fillId="0" borderId="17" xfId="0" applyBorder="1" applyAlignment="1">
      <alignment horizontal="centerContinuous" vertical="center" wrapText="1"/>
    </xf>
    <xf numFmtId="0" fontId="1" fillId="0" borderId="18" xfId="0" applyFont="1" applyBorder="1" applyAlignment="1">
      <alignment horizontal="center" vertical="center" wrapText="1"/>
    </xf>
    <xf numFmtId="0" fontId="0" fillId="0" borderId="19" xfId="0" applyBorder="1" applyAlignment="1">
      <alignment horizontal="center" vertical="center"/>
    </xf>
    <xf numFmtId="0" fontId="1" fillId="0" borderId="19" xfId="0" applyFont="1" applyBorder="1" applyAlignment="1">
      <alignment horizontal="center" vertical="center" wrapText="1"/>
    </xf>
    <xf numFmtId="0" fontId="0" fillId="0" borderId="20" xfId="0" applyBorder="1" applyAlignment="1">
      <alignment horizontal="center" vertical="center"/>
    </xf>
    <xf numFmtId="0" fontId="3" fillId="0" borderId="1" xfId="0" applyFont="1" applyBorder="1" applyAlignment="1">
      <alignment horizontal="center" wrapText="1"/>
    </xf>
    <xf numFmtId="0" fontId="0" fillId="0" borderId="1" xfId="0" applyBorder="1"/>
    <xf numFmtId="0" fontId="0" fillId="0" borderId="21" xfId="0" applyBorder="1" applyAlignment="1">
      <alignment horizontal="center"/>
    </xf>
    <xf numFmtId="0" fontId="0" fillId="0" borderId="22" xfId="0" applyBorder="1" applyAlignment="1">
      <alignment horizontal="center"/>
    </xf>
    <xf numFmtId="0" fontId="1" fillId="0" borderId="23" xfId="0" applyFont="1" applyBorder="1" applyAlignment="1">
      <alignment horizontal="center" vertical="center"/>
    </xf>
    <xf numFmtId="0" fontId="0" fillId="0" borderId="24" xfId="0" applyBorder="1" applyAlignment="1">
      <alignment horizontal="center"/>
    </xf>
    <xf numFmtId="0" fontId="0" fillId="0" borderId="25" xfId="0" applyBorder="1" applyAlignment="1">
      <alignment horizontal="center"/>
    </xf>
    <xf numFmtId="0" fontId="1" fillId="0" borderId="1" xfId="0" applyFont="1" applyBorder="1" applyAlignment="1">
      <alignment horizontal="center" wrapText="1"/>
    </xf>
    <xf numFmtId="0" fontId="0" fillId="0" borderId="22" xfId="0" applyBorder="1" applyAlignment="1">
      <alignment horizontal="centerContinuous" wrapText="1"/>
    </xf>
    <xf numFmtId="0" fontId="0" fillId="0" borderId="24" xfId="0" applyBorder="1" applyAlignment="1">
      <alignment horizontal="centerContinuous"/>
    </xf>
    <xf numFmtId="0" fontId="0" fillId="0" borderId="21" xfId="0" applyBorder="1" applyAlignment="1">
      <alignment horizontal="centerContinuous"/>
    </xf>
    <xf numFmtId="0" fontId="0" fillId="0" borderId="25" xfId="0" applyBorder="1" applyAlignment="1">
      <alignment horizontal="centerContinuous"/>
    </xf>
    <xf numFmtId="0" fontId="0" fillId="0" borderId="15" xfId="0" applyBorder="1" applyAlignment="1">
      <alignment horizontal="centerContinuous" wrapText="1"/>
    </xf>
    <xf numFmtId="0" fontId="0" fillId="0" borderId="27" xfId="0" applyBorder="1" applyAlignment="1">
      <alignment horizontal="centerContinuous" wrapText="1"/>
    </xf>
    <xf numFmtId="0" fontId="0" fillId="0" borderId="17" xfId="0" applyBorder="1" applyAlignment="1">
      <alignment horizontal="centerContinuous" wrapText="1"/>
    </xf>
    <xf numFmtId="0" fontId="1" fillId="2" borderId="1" xfId="0" applyFont="1" applyFill="1" applyBorder="1" applyAlignment="1">
      <alignment horizontal="center" vertical="center"/>
    </xf>
    <xf numFmtId="0" fontId="0" fillId="2" borderId="0" xfId="0" applyFill="1"/>
    <xf numFmtId="0" fontId="1" fillId="0" borderId="28" xfId="0" applyFont="1" applyBorder="1" applyAlignment="1">
      <alignment horizontal="left" vertical="top"/>
    </xf>
    <xf numFmtId="0" fontId="1" fillId="0" borderId="21" xfId="0" applyFont="1" applyBorder="1" applyAlignment="1">
      <alignment horizontal="left" vertical="top"/>
    </xf>
    <xf numFmtId="0" fontId="1" fillId="0" borderId="22" xfId="0" applyFont="1" applyBorder="1" applyAlignment="1">
      <alignment horizontal="left" vertical="top"/>
    </xf>
    <xf numFmtId="0" fontId="1" fillId="0" borderId="24" xfId="0" applyFont="1" applyBorder="1" applyAlignment="1">
      <alignment horizontal="left" vertical="top"/>
    </xf>
    <xf numFmtId="0" fontId="1" fillId="0" borderId="25" xfId="0" applyFont="1" applyBorder="1" applyAlignment="1">
      <alignment horizontal="left" vertical="top"/>
    </xf>
    <xf numFmtId="0" fontId="0" fillId="0" borderId="28" xfId="0" applyBorder="1" applyAlignment="1">
      <alignment horizontal="left" vertical="top" wrapText="1"/>
    </xf>
    <xf numFmtId="0" fontId="0" fillId="0" borderId="21" xfId="0" applyBorder="1" applyAlignment="1">
      <alignment horizontal="centerContinuous" vertical="top" wrapText="1"/>
    </xf>
    <xf numFmtId="0" fontId="0" fillId="0" borderId="22" xfId="0" applyBorder="1" applyAlignment="1">
      <alignment horizontal="centerContinuous" vertical="top" wrapText="1"/>
    </xf>
    <xf numFmtId="0" fontId="1" fillId="0" borderId="24" xfId="0" applyFont="1" applyBorder="1" applyAlignment="1">
      <alignment horizontal="left" vertical="top" wrapText="1"/>
    </xf>
    <xf numFmtId="0" fontId="0" fillId="0" borderId="25" xfId="0" applyBorder="1" applyAlignment="1">
      <alignment horizontal="centerContinuous" vertical="top" wrapText="1"/>
    </xf>
    <xf numFmtId="0" fontId="1" fillId="0" borderId="28" xfId="0" applyFont="1" applyBorder="1" applyAlignment="1">
      <alignment horizontal="centerContinuous" vertical="center" wrapText="1"/>
    </xf>
    <xf numFmtId="0" fontId="1" fillId="0" borderId="21" xfId="0" applyFont="1" applyBorder="1" applyAlignment="1">
      <alignment horizontal="centerContinuous" vertical="center"/>
    </xf>
    <xf numFmtId="0" fontId="1" fillId="0" borderId="22" xfId="0" applyFont="1" applyBorder="1" applyAlignment="1">
      <alignment horizontal="centerContinuous" vertical="center"/>
    </xf>
    <xf numFmtId="0" fontId="0" fillId="0" borderId="15" xfId="0" applyBorder="1" applyAlignment="1">
      <alignment horizontal="center"/>
    </xf>
    <xf numFmtId="0" fontId="0" fillId="0" borderId="16" xfId="0" applyBorder="1" applyAlignment="1">
      <alignment horizontal="center"/>
    </xf>
    <xf numFmtId="9" fontId="0" fillId="0" borderId="14" xfId="1" applyFont="1" applyBorder="1"/>
    <xf numFmtId="0" fontId="0" fillId="0" borderId="15" xfId="0" applyBorder="1" applyAlignment="1">
      <alignment horizontal="centerContinuous" vertical="top" wrapText="1"/>
    </xf>
    <xf numFmtId="0" fontId="0" fillId="0" borderId="27" xfId="0" applyBorder="1" applyAlignment="1">
      <alignment horizontal="centerContinuous" vertical="top" wrapText="1"/>
    </xf>
    <xf numFmtId="0" fontId="0" fillId="0" borderId="16" xfId="0" applyBorder="1" applyAlignment="1">
      <alignment horizontal="centerContinuous"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34" xfId="0" applyBorder="1" applyAlignment="1">
      <alignment horizontal="center" vertical="top" wrapText="1"/>
    </xf>
    <xf numFmtId="0" fontId="0" fillId="0" borderId="35"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 fillId="0" borderId="30"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0" fontId="0" fillId="0" borderId="15" xfId="0" applyBorder="1" applyAlignment="1">
      <alignment horizontal="center" vertical="top" wrapText="1"/>
    </xf>
    <xf numFmtId="0" fontId="0" fillId="0" borderId="27" xfId="0" applyBorder="1" applyAlignment="1">
      <alignment horizontal="center" vertical="top" wrapText="1"/>
    </xf>
    <xf numFmtId="0" fontId="0" fillId="0" borderId="16" xfId="0" applyBorder="1" applyAlignment="1">
      <alignment horizontal="center" vertical="top" wrapText="1"/>
    </xf>
    <xf numFmtId="0" fontId="1" fillId="0" borderId="26" xfId="0" applyFont="1" applyBorder="1" applyAlignment="1">
      <alignment horizontal="center"/>
    </xf>
    <xf numFmtId="0" fontId="1" fillId="0" borderId="27" xfId="0" applyFont="1" applyBorder="1" applyAlignment="1">
      <alignment horizontal="center"/>
    </xf>
    <xf numFmtId="0" fontId="1" fillId="0" borderId="17" xfId="0" applyFont="1" applyBorder="1" applyAlignment="1">
      <alignment horizontal="center"/>
    </xf>
    <xf numFmtId="0" fontId="1" fillId="0" borderId="28" xfId="0" applyFont="1" applyBorder="1" applyAlignment="1">
      <alignment horizontal="center" vertical="center"/>
    </xf>
    <xf numFmtId="0" fontId="1" fillId="0" borderId="22" xfId="0" applyFont="1" applyBorder="1" applyAlignment="1">
      <alignment horizontal="center" vertical="center"/>
    </xf>
    <xf numFmtId="0" fontId="1" fillId="0" borderId="28"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0" fillId="0" borderId="28" xfId="0" applyBorder="1" applyAlignment="1">
      <alignment horizontal="center" wrapText="1"/>
    </xf>
    <xf numFmtId="0" fontId="0" fillId="0" borderId="21" xfId="0" applyBorder="1" applyAlignment="1">
      <alignment horizontal="center" wrapText="1"/>
    </xf>
    <xf numFmtId="0" fontId="0" fillId="0" borderId="25" xfId="0" applyBorder="1" applyAlignment="1">
      <alignment horizontal="center" wrapText="1"/>
    </xf>
    <xf numFmtId="0" fontId="0" fillId="0" borderId="5"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0" fontId="0" fillId="0" borderId="30" xfId="0" applyBorder="1" applyAlignment="1">
      <alignment horizontal="center" wrapText="1"/>
    </xf>
    <xf numFmtId="0" fontId="0" fillId="0" borderId="32" xfId="0" applyBorder="1" applyAlignment="1">
      <alignment horizontal="center" wrapText="1"/>
    </xf>
    <xf numFmtId="0" fontId="0" fillId="0" borderId="33" xfId="0" applyBorder="1" applyAlignment="1">
      <alignment horizont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12" xfId="0" applyFont="1" applyBorder="1" applyAlignment="1">
      <alignment horizont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cellXfs>
  <cellStyles count="2">
    <cellStyle name="Normal" xfId="0" builtinId="0"/>
    <cellStyle name="Porcentaj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6350</xdr:colOff>
      <xdr:row>0</xdr:row>
      <xdr:rowOff>6350</xdr:rowOff>
    </xdr:from>
    <xdr:ext cx="2181225" cy="474436"/>
    <xdr:pic>
      <xdr:nvPicPr>
        <xdr:cNvPr id="2" name="Imagen 1">
          <a:extLst>
            <a:ext uri="{FF2B5EF4-FFF2-40B4-BE49-F238E27FC236}">
              <a16:creationId xmlns:a16="http://schemas.microsoft.com/office/drawing/2014/main" id="{2F1D7393-9BCD-4E95-ACEA-F8286BD7D9C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181225" cy="474436"/>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DBE81-AD7F-4BD5-A391-D253AB75DBA4}">
  <dimension ref="A1:J37"/>
  <sheetViews>
    <sheetView tabSelected="1" topLeftCell="A7" zoomScale="70" zoomScaleNormal="70" zoomScalePageLayoutView="130" workbookViewId="0">
      <selection activeCell="F5" sqref="F5"/>
    </sheetView>
  </sheetViews>
  <sheetFormatPr baseColWidth="10" defaultRowHeight="14.5" x14ac:dyDescent="0.35"/>
  <cols>
    <col min="1" max="1" width="13.6328125" customWidth="1"/>
    <col min="5" max="5" width="12.1796875" customWidth="1"/>
  </cols>
  <sheetData>
    <row r="1" spans="1:8" x14ac:dyDescent="0.35">
      <c r="A1" s="98" t="s">
        <v>33</v>
      </c>
      <c r="B1" s="99"/>
      <c r="C1" s="99"/>
      <c r="D1" s="99"/>
      <c r="E1" s="99"/>
      <c r="F1" s="99"/>
      <c r="G1" s="99"/>
      <c r="H1" s="100"/>
    </row>
    <row r="2" spans="1:8" x14ac:dyDescent="0.35">
      <c r="A2" s="101"/>
      <c r="B2" s="102"/>
      <c r="C2" s="102"/>
      <c r="D2" s="102"/>
      <c r="E2" s="102"/>
      <c r="F2" s="102"/>
      <c r="G2" s="102"/>
      <c r="H2" s="103"/>
    </row>
    <row r="3" spans="1:8" ht="15" thickBot="1" x14ac:dyDescent="0.4">
      <c r="A3" s="104"/>
      <c r="B3" s="105"/>
      <c r="C3" s="105"/>
      <c r="D3" s="105"/>
      <c r="E3" s="105"/>
      <c r="F3" s="105"/>
      <c r="G3" s="105"/>
      <c r="H3" s="106"/>
    </row>
    <row r="4" spans="1:8" x14ac:dyDescent="0.35">
      <c r="A4" s="107" t="s">
        <v>34</v>
      </c>
      <c r="B4" s="108"/>
      <c r="C4" s="108"/>
      <c r="D4" s="108"/>
      <c r="E4" s="108"/>
      <c r="F4" s="108"/>
      <c r="G4" s="108"/>
      <c r="H4" s="109"/>
    </row>
    <row r="5" spans="1:8" s="6" customFormat="1" ht="52" customHeight="1" x14ac:dyDescent="0.35">
      <c r="A5" s="2" t="s">
        <v>35</v>
      </c>
      <c r="B5" s="3">
        <v>2026</v>
      </c>
      <c r="C5" s="4" t="s">
        <v>36</v>
      </c>
      <c r="D5" s="3"/>
      <c r="E5" s="4" t="s">
        <v>37</v>
      </c>
      <c r="F5" s="3"/>
      <c r="G5" s="4" t="s">
        <v>38</v>
      </c>
      <c r="H5" s="5" t="s">
        <v>86</v>
      </c>
    </row>
    <row r="6" spans="1:8" ht="54" customHeight="1" x14ac:dyDescent="0.35">
      <c r="A6" s="7" t="s">
        <v>39</v>
      </c>
      <c r="B6" s="3" t="s">
        <v>40</v>
      </c>
      <c r="C6" s="8" t="s">
        <v>41</v>
      </c>
      <c r="D6" s="9" t="s">
        <v>42</v>
      </c>
      <c r="E6" s="10"/>
      <c r="F6" s="4" t="s">
        <v>43</v>
      </c>
      <c r="G6" s="9" t="str">
        <f>Sheet1!B2</f>
        <v>Mercado de Derivados</v>
      </c>
      <c r="H6" s="11"/>
    </row>
    <row r="7" spans="1:8" ht="51.5" customHeight="1" thickBot="1" x14ac:dyDescent="0.4">
      <c r="A7" s="12" t="s">
        <v>44</v>
      </c>
      <c r="B7" s="13">
        <v>3</v>
      </c>
      <c r="C7" s="14" t="s">
        <v>45</v>
      </c>
      <c r="D7" s="13">
        <v>36</v>
      </c>
      <c r="E7" s="14" t="s">
        <v>46</v>
      </c>
      <c r="F7" s="13">
        <v>108</v>
      </c>
      <c r="G7" s="14" t="s">
        <v>47</v>
      </c>
      <c r="H7" s="15">
        <f>D7+F7</f>
        <v>144</v>
      </c>
    </row>
    <row r="8" spans="1:8" ht="14.5" customHeight="1" x14ac:dyDescent="0.35">
      <c r="A8" s="110" t="s">
        <v>48</v>
      </c>
      <c r="B8" s="111"/>
      <c r="C8" s="111"/>
      <c r="D8" s="111"/>
      <c r="E8" s="111"/>
      <c r="F8" s="111"/>
      <c r="G8" s="111"/>
      <c r="H8" s="112"/>
    </row>
    <row r="9" spans="1:8" ht="60.5" x14ac:dyDescent="0.35">
      <c r="A9" s="16" t="s">
        <v>49</v>
      </c>
      <c r="B9" s="8" t="s">
        <v>21</v>
      </c>
      <c r="C9" s="17"/>
      <c r="D9" s="18" t="s">
        <v>50</v>
      </c>
      <c r="E9" s="19"/>
      <c r="F9" s="20" t="s">
        <v>51</v>
      </c>
      <c r="G9" s="21"/>
      <c r="H9" s="22"/>
    </row>
    <row r="10" spans="1:8" x14ac:dyDescent="0.35">
      <c r="A10" s="66" t="s">
        <v>52</v>
      </c>
      <c r="B10" s="67"/>
      <c r="C10" s="67"/>
      <c r="D10" s="67"/>
      <c r="E10" s="67"/>
      <c r="F10" s="67"/>
      <c r="G10" s="67"/>
      <c r="H10" s="68"/>
    </row>
    <row r="11" spans="1:8" x14ac:dyDescent="0.35">
      <c r="A11" s="2" t="s">
        <v>53</v>
      </c>
      <c r="B11" s="113"/>
      <c r="C11" s="114"/>
      <c r="D11" s="8" t="s">
        <v>54</v>
      </c>
      <c r="E11" s="3" t="s">
        <v>55</v>
      </c>
      <c r="F11" s="8" t="s">
        <v>56</v>
      </c>
      <c r="G11" s="113"/>
      <c r="H11" s="115"/>
    </row>
    <row r="12" spans="1:8" x14ac:dyDescent="0.35">
      <c r="A12" s="66" t="s">
        <v>57</v>
      </c>
      <c r="B12" s="67"/>
      <c r="C12" s="67"/>
      <c r="D12" s="67"/>
      <c r="E12" s="67"/>
      <c r="F12" s="67"/>
      <c r="G12" s="67"/>
      <c r="H12" s="68"/>
    </row>
    <row r="13" spans="1:8" ht="116" x14ac:dyDescent="0.35">
      <c r="A13" s="23" t="s">
        <v>58</v>
      </c>
      <c r="B13" s="24" t="str">
        <f>Sheet1!B7</f>
        <v>Lograr que los estudiantes comprendan, evalúen y apliquen los instrumentos derivados como herramientas para la cobertura y la gestión de riesgos financieros. Se articula con tendencias globales como el crecimiento de los derivados sobre commodities y divisas, la gestión de riesgos en mercados volátiles, la digitalización de contratos (smart derivatives) y la incorporación de criterios ESG en la valoración de productos derivados.</v>
      </c>
      <c r="C13" s="25"/>
      <c r="D13" s="26"/>
      <c r="E13" s="26"/>
      <c r="F13" s="26"/>
      <c r="G13" s="26"/>
      <c r="H13" s="27"/>
    </row>
    <row r="14" spans="1:8" ht="29" x14ac:dyDescent="0.35">
      <c r="A14" s="23" t="s">
        <v>59</v>
      </c>
      <c r="B14" s="24"/>
      <c r="C14" s="25"/>
      <c r="D14" s="26"/>
      <c r="E14" s="26"/>
      <c r="F14" s="26"/>
      <c r="G14" s="26"/>
      <c r="H14" s="27"/>
    </row>
    <row r="15" spans="1:8" ht="87" x14ac:dyDescent="0.35">
      <c r="A15" s="23" t="s">
        <v>60</v>
      </c>
      <c r="B15" s="24" t="str">
        <f>Sheet1!B8</f>
        <v>- Implementar herramientas analíticas para la gestión financiera.
- Organizar procesos financieros que optimicen la toma de decisiones.
- Plantear soluciones a problemas propios de la gestión financiera.</v>
      </c>
      <c r="C15" s="25"/>
      <c r="D15" s="26"/>
      <c r="E15" s="26"/>
      <c r="F15" s="26"/>
      <c r="G15" s="26"/>
      <c r="H15" s="27"/>
    </row>
    <row r="16" spans="1:8" ht="58" x14ac:dyDescent="0.35">
      <c r="A16" s="23" t="s">
        <v>61</v>
      </c>
      <c r="B16" s="24" t="str">
        <f>Sheet1!B9</f>
        <v>Evalúa los instrumentos derivados y su aplicación en la gestión de riesgos financieros.</v>
      </c>
      <c r="C16" s="25"/>
      <c r="D16" s="26"/>
      <c r="E16" s="26"/>
      <c r="F16" s="26"/>
      <c r="G16" s="26"/>
      <c r="H16" s="27"/>
    </row>
    <row r="17" spans="1:10" ht="120" customHeight="1" x14ac:dyDescent="0.35">
      <c r="A17" s="69" t="s">
        <v>62</v>
      </c>
      <c r="B17" s="70"/>
      <c r="C17" s="28" t="str">
        <f>Sheet1!B14</f>
        <v>1. Explicar los fundamentos y la tipología de los instrumentos derivados.
2. Aplicar técnicas de valoración de contratos de derivados.
3. Analizar estrategias de cobertura en contextos reales.
4. Diseñar una propuesta de gestión de riesgos financieros mediante derivados.</v>
      </c>
      <c r="D17" s="29"/>
      <c r="E17" s="29"/>
      <c r="F17" s="29"/>
      <c r="G17" s="29"/>
      <c r="H17" s="30"/>
    </row>
    <row r="18" spans="1:10" ht="24.5" customHeight="1" x14ac:dyDescent="0.35">
      <c r="A18" s="71" t="s">
        <v>63</v>
      </c>
      <c r="B18" s="72"/>
      <c r="C18" s="8" t="s">
        <v>64</v>
      </c>
      <c r="D18" s="3"/>
      <c r="E18" s="8" t="s">
        <v>65</v>
      </c>
      <c r="F18" s="3"/>
      <c r="G18" s="8" t="s">
        <v>66</v>
      </c>
      <c r="H18" s="5" t="s">
        <v>50</v>
      </c>
    </row>
    <row r="19" spans="1:10" ht="18.5" customHeight="1" x14ac:dyDescent="0.35">
      <c r="A19" s="73"/>
      <c r="B19" s="74"/>
      <c r="C19" s="31" t="s">
        <v>67</v>
      </c>
      <c r="D19" s="3" t="s">
        <v>50</v>
      </c>
      <c r="E19" s="8" t="s">
        <v>68</v>
      </c>
      <c r="F19" s="3"/>
      <c r="G19" s="8" t="s">
        <v>69</v>
      </c>
      <c r="H19" s="5"/>
      <c r="I19" s="32"/>
      <c r="J19" s="32"/>
    </row>
    <row r="20" spans="1:10" ht="79" customHeight="1" x14ac:dyDescent="0.35">
      <c r="A20" s="75"/>
      <c r="B20" s="76"/>
      <c r="C20" s="8" t="s">
        <v>70</v>
      </c>
      <c r="D20" s="3"/>
      <c r="E20" s="8" t="s">
        <v>71</v>
      </c>
      <c r="F20" s="3" t="s">
        <v>50</v>
      </c>
      <c r="G20" s="8" t="s">
        <v>72</v>
      </c>
      <c r="H20" s="5" t="s">
        <v>50</v>
      </c>
    </row>
    <row r="21" spans="1:10" ht="14.5" customHeight="1" x14ac:dyDescent="0.35">
      <c r="A21" s="77" t="s">
        <v>73</v>
      </c>
      <c r="B21" s="78"/>
      <c r="C21" s="78"/>
      <c r="D21" s="78"/>
      <c r="E21" s="78"/>
      <c r="F21" s="78"/>
      <c r="G21" s="78"/>
      <c r="H21" s="79"/>
    </row>
    <row r="22" spans="1:10" x14ac:dyDescent="0.35">
      <c r="A22" s="80"/>
      <c r="B22" s="81"/>
      <c r="C22" s="81"/>
      <c r="D22" s="81"/>
      <c r="E22" s="81"/>
      <c r="F22" s="81"/>
      <c r="G22" s="81"/>
      <c r="H22" s="82"/>
    </row>
    <row r="23" spans="1:10" x14ac:dyDescent="0.35">
      <c r="A23" s="80"/>
      <c r="B23" s="81"/>
      <c r="C23" s="81"/>
      <c r="D23" s="81"/>
      <c r="E23" s="81"/>
      <c r="F23" s="81"/>
      <c r="G23" s="81"/>
      <c r="H23" s="82"/>
    </row>
    <row r="24" spans="1:10" x14ac:dyDescent="0.35">
      <c r="A24" s="80"/>
      <c r="B24" s="81"/>
      <c r="C24" s="81"/>
      <c r="D24" s="81"/>
      <c r="E24" s="81"/>
      <c r="F24" s="81"/>
      <c r="G24" s="81"/>
      <c r="H24" s="82"/>
    </row>
    <row r="25" spans="1:10" ht="15" thickBot="1" x14ac:dyDescent="0.4">
      <c r="A25" s="83"/>
      <c r="B25" s="84"/>
      <c r="C25" s="84"/>
      <c r="D25" s="84"/>
      <c r="E25" s="84"/>
      <c r="F25" s="84"/>
      <c r="G25" s="84"/>
      <c r="H25" s="85"/>
    </row>
    <row r="26" spans="1:10" x14ac:dyDescent="0.35">
      <c r="A26" s="86" t="s">
        <v>74</v>
      </c>
      <c r="B26" s="87"/>
      <c r="C26" s="87"/>
      <c r="D26" s="87"/>
      <c r="E26" s="87"/>
      <c r="F26" s="87"/>
      <c r="G26" s="87"/>
      <c r="H26" s="88"/>
    </row>
    <row r="27" spans="1:10" ht="14.5" customHeight="1" x14ac:dyDescent="0.35">
      <c r="A27" s="89" t="s">
        <v>75</v>
      </c>
      <c r="B27" s="90"/>
      <c r="C27" s="90"/>
      <c r="D27" s="90"/>
      <c r="E27" s="90"/>
      <c r="F27" s="90"/>
      <c r="G27" s="90"/>
      <c r="H27" s="91"/>
    </row>
    <row r="28" spans="1:10" x14ac:dyDescent="0.35">
      <c r="A28" s="92"/>
      <c r="B28" s="93"/>
      <c r="C28" s="93"/>
      <c r="D28" s="93"/>
      <c r="E28" s="93"/>
      <c r="F28" s="93"/>
      <c r="G28" s="93"/>
      <c r="H28" s="94"/>
    </row>
    <row r="29" spans="1:10" x14ac:dyDescent="0.35">
      <c r="A29" s="95"/>
      <c r="B29" s="96"/>
      <c r="C29" s="96"/>
      <c r="D29" s="96"/>
      <c r="E29" s="96"/>
      <c r="F29" s="96"/>
      <c r="G29" s="96"/>
      <c r="H29" s="97"/>
    </row>
    <row r="30" spans="1:10" x14ac:dyDescent="0.35">
      <c r="A30" s="33" t="s">
        <v>76</v>
      </c>
      <c r="B30" s="34"/>
      <c r="C30" s="34"/>
      <c r="D30" s="35"/>
      <c r="E30" s="36" t="s">
        <v>77</v>
      </c>
      <c r="F30" s="34"/>
      <c r="G30" s="34"/>
      <c r="H30" s="37"/>
    </row>
    <row r="31" spans="1:10" ht="140.5" customHeight="1" thickBot="1" x14ac:dyDescent="0.4">
      <c r="A31" s="52" t="str">
        <f>Sheet1!B11</f>
        <v>1. Introducción a los derivados financieros: forwards, futuros, opciones y swaps.
2. Mercados organizados vs. mercados OTC.
3. Estrategias de cobertura con derivados.
4. Valoración de contratos de derivados.
5. Riesgos asociados a los derivados: crédito, liquidez y mercado.
6. Casos aplicados de derivados en Colombia y América Latina.</v>
      </c>
      <c r="B31" s="53"/>
      <c r="C31" s="53"/>
      <c r="D31" s="54"/>
      <c r="E31" s="55" t="str">
        <f>Sheet1!B12</f>
        <v>Clases magistrales con ejemplos prácticos.
Talleres de valoración de contratos de derivados.
Estudio de casos empresariales sobre cobertura.
Simulaciones de portafolios con derivados.</v>
      </c>
      <c r="F31" s="53"/>
      <c r="G31" s="53"/>
      <c r="H31" s="56"/>
    </row>
    <row r="32" spans="1:10" x14ac:dyDescent="0.35">
      <c r="A32" s="57" t="s">
        <v>78</v>
      </c>
      <c r="B32" s="58"/>
      <c r="C32" s="58"/>
      <c r="D32" s="58"/>
      <c r="E32" s="58"/>
      <c r="F32" s="58"/>
      <c r="G32" s="58"/>
      <c r="H32" s="59"/>
    </row>
    <row r="33" spans="1:8" ht="188.5" x14ac:dyDescent="0.35">
      <c r="A33" s="38" t="s">
        <v>79</v>
      </c>
      <c r="B33" s="39" t="str">
        <f>Sheet1!B13</f>
        <v>- Ensayo individual sobre fundamentos de derivados: 20%
- Taller de valoración de contratos derivados (Excel/AMV): 20%
- Estudio de caso grupal de cobertura cambiaria con derivados: 20%
- Proyecto final: diseño de una estrategia de gestión de riesgos con derivados: 40%</v>
      </c>
      <c r="C33" s="39"/>
      <c r="D33" s="40"/>
      <c r="E33" s="41" t="s">
        <v>15</v>
      </c>
      <c r="F33" s="39" t="str">
        <f>Sheet1!B15</f>
        <v>Plataformas AMV Colombia, Excel avanzado, Bloomberg, Reuters, software de simulación financiera.</v>
      </c>
      <c r="G33" s="39"/>
      <c r="H33" s="42"/>
    </row>
    <row r="34" spans="1:8" ht="61" customHeight="1" x14ac:dyDescent="0.35">
      <c r="A34" s="43" t="s">
        <v>80</v>
      </c>
      <c r="B34" s="44"/>
      <c r="C34" s="44"/>
      <c r="D34" s="45"/>
      <c r="E34" s="46" t="s">
        <v>81</v>
      </c>
      <c r="F34" s="47"/>
      <c r="G34" s="20" t="s">
        <v>82</v>
      </c>
      <c r="H34" s="48">
        <v>0.3</v>
      </c>
    </row>
    <row r="35" spans="1:8" x14ac:dyDescent="0.35">
      <c r="A35" s="60" t="s">
        <v>83</v>
      </c>
      <c r="B35" s="61"/>
      <c r="C35" s="61"/>
      <c r="D35" s="61"/>
      <c r="E35" s="61"/>
      <c r="F35" s="61"/>
      <c r="G35" s="61"/>
      <c r="H35" s="62"/>
    </row>
    <row r="36" spans="1:8" x14ac:dyDescent="0.35">
      <c r="A36" s="33" t="s">
        <v>84</v>
      </c>
      <c r="B36" s="34"/>
      <c r="C36" s="34"/>
      <c r="D36" s="35"/>
      <c r="E36" s="36" t="s">
        <v>85</v>
      </c>
      <c r="F36" s="34"/>
      <c r="G36" s="34"/>
      <c r="H36" s="37"/>
    </row>
    <row r="37" spans="1:8" ht="134" customHeight="1" x14ac:dyDescent="0.35">
      <c r="A37" s="63" t="str">
        <f>Sheet1!B16</f>
        <v>AMV Colombia. (2025). Guías de derivados. https://amvcolombia.org.co/
Hull, J. (2018). Options, Futures, and Other Derivatives (10th ed.). Pearson.</v>
      </c>
      <c r="B37" s="64"/>
      <c r="C37" s="64"/>
      <c r="D37" s="65"/>
      <c r="E37" s="49" t="str">
        <f>Sheet1!B17</f>
        <v>BIS. (2024). Derivatives Market Statistics.
CFA Institute. (2023). Derivatives and Risk Management.
Jorion, P. (2020). Financial Risk Manager Handbook. Wiley.</v>
      </c>
      <c r="F37" s="50"/>
      <c r="G37" s="50"/>
      <c r="H37" s="51"/>
    </row>
  </sheetData>
  <mergeCells count="17">
    <mergeCell ref="A27:H29"/>
    <mergeCell ref="A1:H3"/>
    <mergeCell ref="A4:H4"/>
    <mergeCell ref="A8:H8"/>
    <mergeCell ref="A10:H10"/>
    <mergeCell ref="B11:C11"/>
    <mergeCell ref="G11:H11"/>
    <mergeCell ref="A12:H12"/>
    <mergeCell ref="A17:B17"/>
    <mergeCell ref="A18:B20"/>
    <mergeCell ref="A21:H25"/>
    <mergeCell ref="A26:H26"/>
    <mergeCell ref="A31:D31"/>
    <mergeCell ref="E31:H31"/>
    <mergeCell ref="A32:H32"/>
    <mergeCell ref="A35:H35"/>
    <mergeCell ref="A37:D37"/>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heetViews>
  <sheetFormatPr baseColWidth="10" defaultColWidth="8.7265625" defaultRowHeight="14.5" x14ac:dyDescent="0.35"/>
  <sheetData>
    <row r="1" spans="1:2" x14ac:dyDescent="0.35">
      <c r="A1" s="1" t="s">
        <v>0</v>
      </c>
      <c r="B1" s="1" t="s">
        <v>1</v>
      </c>
    </row>
    <row r="2" spans="1:2" x14ac:dyDescent="0.35">
      <c r="A2" t="s">
        <v>2</v>
      </c>
      <c r="B2" t="s">
        <v>18</v>
      </c>
    </row>
    <row r="3" spans="1:2" x14ac:dyDescent="0.35">
      <c r="A3" t="s">
        <v>3</v>
      </c>
      <c r="B3" t="s">
        <v>19</v>
      </c>
    </row>
    <row r="4" spans="1:2" x14ac:dyDescent="0.35">
      <c r="A4" t="s">
        <v>4</v>
      </c>
      <c r="B4">
        <v>3</v>
      </c>
    </row>
    <row r="5" spans="1:2" x14ac:dyDescent="0.35">
      <c r="A5" t="s">
        <v>5</v>
      </c>
      <c r="B5" t="s">
        <v>20</v>
      </c>
    </row>
    <row r="6" spans="1:2" x14ac:dyDescent="0.35">
      <c r="A6" t="s">
        <v>6</v>
      </c>
      <c r="B6" t="s">
        <v>21</v>
      </c>
    </row>
    <row r="7" spans="1:2" x14ac:dyDescent="0.35">
      <c r="A7" t="s">
        <v>7</v>
      </c>
      <c r="B7" t="s">
        <v>22</v>
      </c>
    </row>
    <row r="8" spans="1:2" x14ac:dyDescent="0.35">
      <c r="A8" t="s">
        <v>8</v>
      </c>
      <c r="B8" t="s">
        <v>23</v>
      </c>
    </row>
    <row r="9" spans="1:2" x14ac:dyDescent="0.35">
      <c r="A9" t="s">
        <v>9</v>
      </c>
      <c r="B9" t="s">
        <v>24</v>
      </c>
    </row>
    <row r="10" spans="1:2" x14ac:dyDescent="0.35">
      <c r="A10" t="s">
        <v>10</v>
      </c>
      <c r="B10" t="s">
        <v>25</v>
      </c>
    </row>
    <row r="11" spans="1:2" x14ac:dyDescent="0.35">
      <c r="A11" t="s">
        <v>11</v>
      </c>
      <c r="B11" t="s">
        <v>26</v>
      </c>
    </row>
    <row r="12" spans="1:2" x14ac:dyDescent="0.35">
      <c r="A12" t="s">
        <v>12</v>
      </c>
      <c r="B12" t="s">
        <v>27</v>
      </c>
    </row>
    <row r="13" spans="1:2" x14ac:dyDescent="0.35">
      <c r="A13" t="s">
        <v>13</v>
      </c>
      <c r="B13" t="s">
        <v>28</v>
      </c>
    </row>
    <row r="14" spans="1:2" x14ac:dyDescent="0.35">
      <c r="A14" t="s">
        <v>14</v>
      </c>
      <c r="B14" t="s">
        <v>29</v>
      </c>
    </row>
    <row r="15" spans="1:2" x14ac:dyDescent="0.35">
      <c r="A15" t="s">
        <v>15</v>
      </c>
      <c r="B15" t="s">
        <v>30</v>
      </c>
    </row>
    <row r="16" spans="1:2" x14ac:dyDescent="0.35">
      <c r="A16" t="s">
        <v>16</v>
      </c>
      <c r="B16" t="s">
        <v>31</v>
      </c>
    </row>
    <row r="17" spans="1:2" x14ac:dyDescent="0.35">
      <c r="A17" t="s">
        <v>17</v>
      </c>
      <c r="B1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WILLIAM ZULUAGA MUÑOZ</cp:lastModifiedBy>
  <dcterms:created xsi:type="dcterms:W3CDTF">2025-08-29T17:58:22Z</dcterms:created>
  <dcterms:modified xsi:type="dcterms:W3CDTF">2025-09-02T01:20:28Z</dcterms:modified>
</cp:coreProperties>
</file>