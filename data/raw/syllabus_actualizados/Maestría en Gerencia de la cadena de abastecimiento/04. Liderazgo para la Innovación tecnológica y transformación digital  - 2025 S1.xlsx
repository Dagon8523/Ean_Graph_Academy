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elosa\OneDrive - universidadean.edu.co\Sprint-s\Sprint4\Maestria en Gerencia de la Cadena de Abastecimiento\08. Sylllabus-2025\Nucleares\"/>
    </mc:Choice>
  </mc:AlternateContent>
  <xr:revisionPtr revIDLastSave="0" documentId="13_ncr:1_{1B169B1C-6B98-4EFF-B05F-1B3CB63AD936}" xr6:coauthVersionLast="47" xr6:coauthVersionMax="47" xr10:uidLastSave="{00000000-0000-0000-0000-000000000000}"/>
  <bookViews>
    <workbookView xWindow="-4695" yWindow="-16320" windowWidth="29040" windowHeight="15720" xr2:uid="{55CF6E6E-881E-4A46-9AC0-9D112659EA3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<sst xmlns="http://schemas.openxmlformats.org/spreadsheetml/2006/main" count="93" uniqueCount="82">
  <si>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</si>
  <si>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</si>
  <si>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</si>
  <si>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</si>
  <si>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</si>
  <si>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</si>
  <si>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</si>
  <si>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</si>
  <si>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</si>
  <si>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</si>
  <si>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</si>
  <si>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</si>
  <si>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</si>
  <si>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Virtual</t>
  </si>
  <si>
    <t>Presencial</t>
  </si>
  <si>
    <t>Seleccione con una X la modalidad en la que se desarrolla la Unidad.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</si>
  <si>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</si>
  <si>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</si>
  <si>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</si>
  <si>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</si>
  <si>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</si>
  <si>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</si>
  <si>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</si>
  <si>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</si>
  <si>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</si>
  <si>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</si>
  <si>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</si>
  <si>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</si>
  <si>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</si>
  <si>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</si>
  <si>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</si>
  <si>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</si>
  <si>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</si>
  <si>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</si>
  <si>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>Competencias del modelo educativo a desarrollar (Seleccione con X aquellas competencias del modelo educativo que se desarrollarán en la Unidad de Estudio).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</si>
  <si>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</si>
  <si>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</si>
  <si>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5.	Esquema de Calificación, Recursos y Componente de Lengua Extranjera</t>
  </si>
  <si>
    <t>Componente de Lengua extranjera</t>
  </si>
  <si>
    <t>Procentaje</t>
  </si>
  <si>
    <t>6.	Bibliografía Obligatoria y Complementaria.</t>
  </si>
  <si>
    <t>Nuclear</t>
  </si>
  <si>
    <t>Transversal</t>
  </si>
  <si>
    <t>Electiva</t>
  </si>
  <si>
    <t>Requisito de Grado</t>
  </si>
  <si>
    <t>Facultad o Área</t>
  </si>
  <si>
    <t>FAFCE</t>
  </si>
  <si>
    <t>FIN</t>
  </si>
  <si>
    <t>FCSH</t>
  </si>
  <si>
    <t>EMPRENDIMIENTO</t>
  </si>
  <si>
    <t>INVESTIGACIÓN</t>
  </si>
  <si>
    <t>IDIOMAS</t>
  </si>
  <si>
    <t>PRÁCTICA</t>
  </si>
  <si>
    <t>CIENCIAS BÁSICAS</t>
  </si>
  <si>
    <t>SOCIOHUMANISTICA</t>
  </si>
  <si>
    <t>Inglés</t>
  </si>
  <si>
    <t>Alemán</t>
  </si>
  <si>
    <t>Italiano</t>
  </si>
  <si>
    <t>Francés</t>
  </si>
  <si>
    <t>Portugués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</si>
  <si>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</si>
  <si>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Metodología (Aplica solo para unidades de estudio de la modalidad presencial)</t>
  </si>
  <si>
    <t>VMV0000</t>
  </si>
  <si>
    <t>Maestría en Gerencia de la Cadena de Abastecimiento</t>
  </si>
  <si>
    <t>x</t>
  </si>
  <si>
    <t>Ingles</t>
  </si>
  <si>
    <r>
      <t xml:space="preserve">Estrategias Pedagógicas:
</t>
    </r>
    <r>
      <rPr>
        <sz val="9"/>
        <color theme="1"/>
        <rFont val="Arial Narrow"/>
        <family val="2"/>
      </rPr>
      <t>Clases magistrales contextualizadas
Estudios de caso reales
Aprendizaje basado en problemas (ABP)
Simulaciones y uso de software especializado
Mapeo y análisis de infraestructura
Trabajo colaborativo en equipos
Lecturas guiadas y discusiones
Charlas con expertos del sector
Diseño y presentación de proyectos aplicados
Resolución de ejercicios cuantitativos</t>
    </r>
    <r>
      <rPr>
        <b/>
        <sz val="11"/>
        <color theme="1"/>
        <rFont val="Calibri"/>
        <family val="2"/>
        <scheme val="minor"/>
      </rPr>
      <t xml:space="preserve">
</t>
    </r>
  </si>
  <si>
    <t>1. Dominio conceptual y técnico</t>
  </si>
  <si>
    <t>2. Aplicación práctica en contextos reales o simulados</t>
  </si>
  <si>
    <t>3. Trabajo colaborativo y comunicación profesional</t>
  </si>
  <si>
    <t>4. Desarrollo de pensamiento crítico e investigativo</t>
  </si>
  <si>
    <r>
      <t xml:space="preserve">Recursos Tecnológicos
</t>
    </r>
    <r>
      <rPr>
        <sz val="11"/>
        <rFont val="Calibri"/>
        <family val="2"/>
        <scheme val="minor"/>
      </rPr>
      <t>Biblioteca virtual (Bases de datos)
Plataforma LMS
Correo electrónico</t>
    </r>
    <r>
      <rPr>
        <b/>
        <sz val="11"/>
        <color theme="1"/>
        <rFont val="Calibri"/>
        <family val="2"/>
        <scheme val="minor"/>
      </rPr>
      <t xml:space="preserve">
Bases de datos
Excel
Software Flexsim.</t>
    </r>
  </si>
  <si>
    <t>MAVGCABOG002</t>
  </si>
  <si>
    <t xml:space="preserve">Gestionar procesos de operación en empresas de ingeniería  con principios de planeación, control y mejora continua </t>
  </si>
  <si>
    <t xml:space="preserve">Liderazgo para la Innovación tecnológica y transformación digital </t>
  </si>
  <si>
    <t>En ingeniería, donde los proyectos complejos exigen alta colaboración, el liderazgo efectivo y la comprensión del comportamiento organizacional son cruciales. Este curso prepara a los estudiantes para aplicar los principios del liderazgo y el comportamiento organizacional en la gestión y el logro de resultados en empresas del sector. Se enfoca en desarrollar la capacidad de gestionar equipos de alto desempeño mediante un liderazgo humanista y centrado en las personas, lo cual se justifica por la necesidad de que los futuros líderes de ingeniería construyan equipos sólidos, fomenten una cultura organizacional positiva y se comuniquen eficazmente para alcanzar los objetivos del negocio</t>
  </si>
  <si>
    <t>Integrar procesos operativos y comerciales de la cadena de abastecimiento  mediante  el uso de metodologías analíticas, tecnologías digitales y prácticas colaborativas asegurando la eficiencia, continuidad y sostenibilidad de las operaciones a lo largo de toda la red logística.</t>
  </si>
  <si>
    <t>Gestionar soluciones integrales en los procesos de planeación, aprovisionamiento, producción, distribución y logística inversa,  teniendo en cuenta metodologías analíticas, tecnologías digitales y prácticas colaborativas, con el fin de asegurar la eficiencia, continuidad y sostenibilidad de las operaciones en toda la cadena de abastecimiento.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</si>
  <si>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</t>
    </r>
    <r>
      <rPr>
        <sz val="8"/>
        <color rgb="FF0070C0"/>
        <rFont val="Arial Narrow"/>
        <family val="2"/>
      </rPr>
      <t>Guía 1 20%
Guía 2 25%
Guía 3 20%
Foro 10%
Pruebas post-test. 10%
Talleres encuentro Final / Prueba extemporánea. 15%</t>
    </r>
  </si>
  <si>
    <r>
      <t xml:space="preserve">Bibliografía Obligatoria
</t>
    </r>
    <r>
      <rPr>
        <sz val="8"/>
        <color rgb="FF0070C0"/>
        <rFont val="Calibri"/>
        <family val="2"/>
        <scheme val="minor"/>
      </rPr>
      <t xml:space="preserve">
Pink, D. H. (2009). Drive: The surprising truth about what motivates us. Riverhead Books.
Sinek, S. (2014). Leaders eat last: Why some teams pull together and others don't. Portfolio.
Brown, B. (2012). Daring greatly: How the courage to be vulnerable transforms the way we live, love, parent, and lead. Gotham Books.
Northouse, P. G. (2021). Leadership: Theory and practice (9th ed.). Sage publications.</t>
    </r>
  </si>
  <si>
    <r>
      <rPr>
        <b/>
        <sz val="8"/>
        <color theme="1"/>
        <rFont val="Arial Narrow"/>
        <family val="2"/>
      </rPr>
      <t>Bibliografia Complementaria</t>
    </r>
    <r>
      <rPr>
        <sz val="8"/>
        <color theme="1"/>
        <rFont val="Arial Narrow"/>
        <family val="2"/>
      </rPr>
      <t xml:space="preserve">
</t>
    </r>
    <r>
      <rPr>
        <sz val="8"/>
        <color rgb="FF0070C0"/>
        <rFont val="Arial Narrow"/>
        <family val="2"/>
      </rPr>
      <t xml:space="preserve">
Griffin, R. W., &amp; Moorhead, G. (2018). Organizational behavior: Managing people and organizations (13th ed.). Cengage Learning.
Robbins, S. P., &amp; Judge, T. A. (2017). Organizational behavior (17th ed.). Pearson Education.</t>
    </r>
  </si>
  <si>
    <r>
      <t xml:space="preserve">Contenidos Unidad de estudio:
</t>
    </r>
    <r>
      <rPr>
        <b/>
        <sz val="8"/>
        <color rgb="FF0070C0"/>
        <rFont val="Calibri"/>
        <family val="2"/>
        <scheme val="minor"/>
      </rPr>
      <t>Módulo 1: Fundamentos del Liderazgo Humanista
Orígenes y evolución del liderazgo humanista. 
Principios y valores del liderazgo centrado en las personas. 
Módulo 2: Gestión de Equipos de Alto Desempeño
Características de los equipos de alto rendimiento. 
Técnicas y herramientas para la formación, desarrollo y mantenimiento de estos equipos. 
Módulo 3: Cultura Organizacional y Liderazgo
Definición y componentes de la cultura organizacional. 
Cómo el liderazgo influye en la cultura y viceversa. 
Módulo 4: Comunicación, Desarrollo y Ética para el Bienestar del Equipo
Comunicación Efectiva y Empática:
• Técnicas de comunicación centradas en las personas. 
• La escucha activa y la retroalimentación constructiva. 
Desarrollo y Bienestar del Empleado:
• Técnicas para el desarrollo profesional y personal del equipo. 
• Importancia del equilibrio trabajo-vida y cómo promoverlo. 
Ética en el Liderazgo:
• Desafíos éticos en la gestión y cómo abordarlos. 
• Casos prácticos sobre dilemas éticos en el liderazgo.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</si>
</sst>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1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0070C0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9" fontId="0" fillId="0" borderId="6" xfId="1" applyFont="1" applyBorder="1"/>
    <xf numFmtId="0" fontId="7" fillId="3" borderId="5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/>
    </xf>
    <xf numFmtId="0" fontId="7" fillId="3" borderId="7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0" fillId="3" borderId="20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0" fillId="3" borderId="22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23" xfId="0" applyFill="1" applyBorder="1" applyAlignment="1">
      <alignment horizontal="left" vertical="top" wrapText="1"/>
    </xf>
    <xf numFmtId="0" fontId="0" fillId="3" borderId="24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3" borderId="25" xfId="0" applyFill="1" applyBorder="1" applyAlignment="1">
      <alignment horizontal="left" vertical="top" wrapText="1"/>
    </xf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14" fillId="3" borderId="17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0" fontId="12" fillId="3" borderId="14" xfId="0" applyFont="1" applyFill="1" applyBorder="1" applyAlignment="1">
      <alignment horizontal="center" wrapText="1"/>
    </xf>
    <xf numFmtId="0" fontId="12" fillId="3" borderId="15" xfId="0" applyFont="1" applyFill="1" applyBorder="1" applyAlignment="1">
      <alignment horizontal="center" wrapText="1"/>
    </xf>
    <xf numFmtId="0" fontId="12" fillId="3" borderId="16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2</xdr:col>
      <xdr:colOff>666750</xdr:colOff>
      <xdr:row>2</xdr:row>
      <xdr:rowOff>130175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6E62C-4E8C-4878-B5CE-3D463FA2E2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6350"/>
          <a:ext cx="2222500" cy="485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DC3D-A3A8-44DE-A9BB-BCDEA6AF9E5B}">
  <dimension ref="A1:J80"/>
  <sheetViews>
    <sheetView tabSelected="1" topLeftCell="A29" zoomScale="115" zoomScaleNormal="115" zoomScalePageLayoutView="130" workbookViewId="0">
      <selection activeCell="J52" sqref="J52"/>
    </sheetView>
  </sheetViews>
  <sheetFormatPr baseColWidth="10" defaultRowHeight="15" x14ac:dyDescent="0.25"/>
  <cols>
    <col min="4" max="4" width="16.42578125" bestFit="1" customWidth="1"/>
  </cols>
  <sheetData>
    <row r="1" spans="1:8" x14ac:dyDescent="0.25">
      <c r="A1" s="45" t="s">
        <v>0</v>
      </c>
      <c r="B1" s="46"/>
      <c r="C1" s="46"/>
      <c r="D1" s="46"/>
      <c r="E1" s="46"/>
      <c r="F1" s="46"/>
      <c r="G1" s="46"/>
      <c r="H1" s="47"/>
    </row>
    <row r="2" spans="1:8" x14ac:dyDescent="0.25">
      <c r="A2" s="22"/>
      <c r="B2" s="14"/>
      <c r="C2" s="14"/>
      <c r="D2" s="14"/>
      <c r="E2" s="14"/>
      <c r="F2" s="14"/>
      <c r="G2" s="14"/>
      <c r="H2" s="48"/>
    </row>
    <row r="3" spans="1:8" ht="15.75" thickBot="1" x14ac:dyDescent="0.3">
      <c r="A3" s="23"/>
      <c r="B3" s="15"/>
      <c r="C3" s="15"/>
      <c r="D3" s="15"/>
      <c r="E3" s="15"/>
      <c r="F3" s="15"/>
      <c r="G3" s="15"/>
      <c r="H3" s="49"/>
    </row>
    <row r="4" spans="1:8" x14ac:dyDescent="0.25">
      <c r="A4" s="45" t="s">
        <v>1</v>
      </c>
      <c r="B4" s="46"/>
      <c r="C4" s="46"/>
      <c r="D4" s="46"/>
      <c r="E4" s="46"/>
      <c r="F4" s="46"/>
      <c r="G4" s="46"/>
      <c r="H4" s="47"/>
    </row>
    <row r="5" spans="1:8" s="1" customFormat="1" ht="45" x14ac:dyDescent="0.25">
      <c r="A5" s="5" t="s">
        <v>2</v>
      </c>
      <c r="B5" s="52">
        <v>2025</v>
      </c>
      <c r="C5" s="8" t="s">
        <v>3</v>
      </c>
      <c r="D5" s="52" t="s">
        <v>72</v>
      </c>
      <c r="E5" s="8" t="s">
        <v>4</v>
      </c>
      <c r="F5" s="52" t="s">
        <v>62</v>
      </c>
      <c r="G5" s="8" t="s">
        <v>5</v>
      </c>
      <c r="H5" s="51" t="s">
        <v>41</v>
      </c>
    </row>
    <row r="6" spans="1:8" ht="45" x14ac:dyDescent="0.25">
      <c r="A6" s="10" t="s">
        <v>45</v>
      </c>
      <c r="B6" s="2" t="s">
        <v>47</v>
      </c>
      <c r="C6" s="6" t="s">
        <v>6</v>
      </c>
      <c r="D6" s="53" t="s">
        <v>63</v>
      </c>
      <c r="E6" s="53"/>
      <c r="F6" s="8" t="s">
        <v>7</v>
      </c>
      <c r="G6" s="94" t="s">
        <v>74</v>
      </c>
      <c r="H6" s="94"/>
    </row>
    <row r="7" spans="1:8" ht="45.75" thickBot="1" x14ac:dyDescent="0.3">
      <c r="A7" s="7" t="s">
        <v>8</v>
      </c>
      <c r="B7" s="54">
        <v>3</v>
      </c>
      <c r="C7" s="9" t="s">
        <v>9</v>
      </c>
      <c r="D7" s="54">
        <v>36</v>
      </c>
      <c r="E7" s="9" t="s">
        <v>10</v>
      </c>
      <c r="F7" s="54">
        <v>108</v>
      </c>
      <c r="G7" s="9" t="s">
        <v>11</v>
      </c>
      <c r="H7" s="3">
        <f>D7+F7</f>
        <v>144</v>
      </c>
    </row>
    <row r="8" spans="1:8" x14ac:dyDescent="0.25">
      <c r="A8" s="50" t="s">
        <v>12</v>
      </c>
      <c r="B8" s="17"/>
      <c r="C8" s="17"/>
      <c r="D8" s="17"/>
      <c r="E8" s="17"/>
      <c r="F8" s="17"/>
      <c r="G8" s="17"/>
      <c r="H8" s="34"/>
    </row>
    <row r="9" spans="1:8" x14ac:dyDescent="0.25">
      <c r="A9" s="38" t="s">
        <v>15</v>
      </c>
      <c r="B9" s="39"/>
      <c r="C9" s="14" t="s">
        <v>14</v>
      </c>
      <c r="D9" s="24"/>
      <c r="E9" s="24"/>
      <c r="F9" s="14" t="s">
        <v>13</v>
      </c>
      <c r="G9" s="55" t="s">
        <v>64</v>
      </c>
      <c r="H9" s="56"/>
    </row>
    <row r="10" spans="1:8" ht="32.1" customHeight="1" x14ac:dyDescent="0.25">
      <c r="A10" s="38"/>
      <c r="B10" s="39"/>
      <c r="C10" s="14"/>
      <c r="D10" s="24"/>
      <c r="E10" s="24"/>
      <c r="F10" s="14"/>
      <c r="G10" s="55"/>
      <c r="H10" s="56"/>
    </row>
    <row r="11" spans="1:8" x14ac:dyDescent="0.25">
      <c r="A11" s="40" t="s">
        <v>61</v>
      </c>
      <c r="B11" s="41"/>
      <c r="C11" s="41"/>
      <c r="D11" s="41"/>
      <c r="E11" s="41"/>
      <c r="F11" s="41"/>
      <c r="G11" s="41"/>
      <c r="H11" s="42"/>
    </row>
    <row r="12" spans="1:8" x14ac:dyDescent="0.25">
      <c r="A12" s="5" t="s">
        <v>16</v>
      </c>
      <c r="B12" s="43"/>
      <c r="C12" s="43"/>
      <c r="D12" s="6" t="s">
        <v>17</v>
      </c>
      <c r="E12" s="2"/>
      <c r="F12" s="6" t="s">
        <v>18</v>
      </c>
      <c r="G12" s="43"/>
      <c r="H12" s="44"/>
    </row>
    <row r="13" spans="1:8" x14ac:dyDescent="0.25">
      <c r="A13" s="40" t="s">
        <v>19</v>
      </c>
      <c r="B13" s="41"/>
      <c r="C13" s="41"/>
      <c r="D13" s="41"/>
      <c r="E13" s="41"/>
      <c r="F13" s="41"/>
      <c r="G13" s="41"/>
      <c r="H13" s="42"/>
    </row>
    <row r="14" spans="1:8" ht="15" customHeight="1" x14ac:dyDescent="0.25">
      <c r="A14" s="38" t="s">
        <v>20</v>
      </c>
      <c r="B14" s="39"/>
      <c r="C14" s="88" t="s">
        <v>75</v>
      </c>
      <c r="D14" s="89"/>
      <c r="E14" s="89"/>
      <c r="F14" s="89"/>
      <c r="G14" s="89"/>
      <c r="H14" s="90"/>
    </row>
    <row r="15" spans="1:8" ht="68.25" customHeight="1" x14ac:dyDescent="0.25">
      <c r="A15" s="38"/>
      <c r="B15" s="39"/>
      <c r="C15" s="91"/>
      <c r="D15" s="92"/>
      <c r="E15" s="92"/>
      <c r="F15" s="92"/>
      <c r="G15" s="92"/>
      <c r="H15" s="93"/>
    </row>
    <row r="16" spans="1:8" ht="61.5" customHeight="1" x14ac:dyDescent="0.25">
      <c r="A16" s="38" t="s">
        <v>21</v>
      </c>
      <c r="B16" s="39"/>
      <c r="C16" s="88" t="s">
        <v>76</v>
      </c>
      <c r="D16" s="89"/>
      <c r="E16" s="89"/>
      <c r="F16" s="89"/>
      <c r="G16" s="89"/>
      <c r="H16" s="90"/>
    </row>
    <row r="17" spans="1:10" x14ac:dyDescent="0.25">
      <c r="A17" s="38" t="s">
        <v>22</v>
      </c>
      <c r="B17" s="39"/>
      <c r="C17" s="88" t="s">
        <v>77</v>
      </c>
      <c r="D17" s="89"/>
      <c r="E17" s="89"/>
      <c r="F17" s="89"/>
      <c r="G17" s="89"/>
      <c r="H17" s="90"/>
    </row>
    <row r="18" spans="1:10" ht="78" customHeight="1" x14ac:dyDescent="0.25">
      <c r="A18" s="38"/>
      <c r="B18" s="39"/>
      <c r="C18" s="91"/>
      <c r="D18" s="92"/>
      <c r="E18" s="92"/>
      <c r="F18" s="92"/>
      <c r="G18" s="92"/>
      <c r="H18" s="93"/>
    </row>
    <row r="19" spans="1:10" ht="15" customHeight="1" x14ac:dyDescent="0.25">
      <c r="A19" s="38" t="s">
        <v>23</v>
      </c>
      <c r="B19" s="39"/>
      <c r="C19" s="88" t="s">
        <v>73</v>
      </c>
      <c r="D19" s="89"/>
      <c r="E19" s="89"/>
      <c r="F19" s="89"/>
      <c r="G19" s="89"/>
      <c r="H19" s="90"/>
    </row>
    <row r="20" spans="1:10" ht="24.75" customHeight="1" x14ac:dyDescent="0.25">
      <c r="A20" s="38"/>
      <c r="B20" s="39"/>
      <c r="C20" s="91"/>
      <c r="D20" s="92"/>
      <c r="E20" s="92"/>
      <c r="F20" s="92"/>
      <c r="G20" s="92"/>
      <c r="H20" s="93"/>
    </row>
    <row r="21" spans="1:10" x14ac:dyDescent="0.25">
      <c r="A21" s="22" t="s">
        <v>24</v>
      </c>
      <c r="B21" s="14"/>
      <c r="C21" s="80" t="s">
        <v>67</v>
      </c>
      <c r="D21" s="81"/>
      <c r="E21" s="81"/>
      <c r="F21" s="81"/>
      <c r="G21" s="81"/>
      <c r="H21" s="82"/>
    </row>
    <row r="22" spans="1:10" x14ac:dyDescent="0.25">
      <c r="A22" s="22"/>
      <c r="B22" s="14"/>
      <c r="C22" s="80" t="s">
        <v>68</v>
      </c>
      <c r="D22" s="81"/>
      <c r="E22" s="81"/>
      <c r="F22" s="81"/>
      <c r="G22" s="81"/>
      <c r="H22" s="82"/>
    </row>
    <row r="23" spans="1:10" x14ac:dyDescent="0.25">
      <c r="A23" s="22"/>
      <c r="B23" s="14"/>
      <c r="C23" s="80" t="s">
        <v>69</v>
      </c>
      <c r="D23" s="81"/>
      <c r="E23" s="81"/>
      <c r="F23" s="81"/>
      <c r="G23" s="81"/>
      <c r="H23" s="82"/>
    </row>
    <row r="24" spans="1:10" x14ac:dyDescent="0.25">
      <c r="A24" s="22"/>
      <c r="B24" s="14"/>
      <c r="C24" s="80" t="s">
        <v>70</v>
      </c>
      <c r="D24" s="81"/>
      <c r="E24" s="81"/>
      <c r="F24" s="81"/>
      <c r="G24" s="81"/>
      <c r="H24" s="82"/>
    </row>
    <row r="25" spans="1:10" x14ac:dyDescent="0.25">
      <c r="A25" s="22"/>
      <c r="B25" s="14"/>
      <c r="C25" s="77"/>
      <c r="D25" s="78"/>
      <c r="E25" s="78"/>
      <c r="F25" s="78"/>
      <c r="G25" s="78"/>
      <c r="H25" s="79"/>
    </row>
    <row r="26" spans="1:10" x14ac:dyDescent="0.25">
      <c r="A26" s="22"/>
      <c r="B26" s="14"/>
      <c r="C26" s="77"/>
      <c r="D26" s="78"/>
      <c r="E26" s="78"/>
      <c r="F26" s="78"/>
      <c r="G26" s="78"/>
      <c r="H26" s="79"/>
    </row>
    <row r="27" spans="1:10" ht="24.6" customHeight="1" x14ac:dyDescent="0.25">
      <c r="A27" s="26" t="s">
        <v>34</v>
      </c>
      <c r="B27" s="27"/>
      <c r="C27" s="6" t="s">
        <v>25</v>
      </c>
      <c r="D27" s="52" t="s">
        <v>64</v>
      </c>
      <c r="E27" s="6" t="s">
        <v>26</v>
      </c>
      <c r="F27" s="52" t="s">
        <v>64</v>
      </c>
      <c r="G27" s="6" t="s">
        <v>27</v>
      </c>
      <c r="H27" s="52" t="s">
        <v>64</v>
      </c>
    </row>
    <row r="28" spans="1:10" ht="18.600000000000001" customHeight="1" x14ac:dyDescent="0.25">
      <c r="A28" s="26"/>
      <c r="B28" s="27"/>
      <c r="C28" s="12" t="s">
        <v>28</v>
      </c>
      <c r="D28" s="52" t="s">
        <v>64</v>
      </c>
      <c r="E28" s="6" t="s">
        <v>29</v>
      </c>
      <c r="F28" s="52" t="s">
        <v>64</v>
      </c>
      <c r="G28" s="6" t="s">
        <v>30</v>
      </c>
      <c r="H28" s="52" t="s">
        <v>64</v>
      </c>
      <c r="I28" s="13"/>
      <c r="J28" s="13"/>
    </row>
    <row r="29" spans="1:10" ht="78.95" customHeight="1" x14ac:dyDescent="0.25">
      <c r="A29" s="26"/>
      <c r="B29" s="27"/>
      <c r="C29" s="6" t="s">
        <v>31</v>
      </c>
      <c r="D29" s="52" t="s">
        <v>64</v>
      </c>
      <c r="E29" s="6" t="s">
        <v>32</v>
      </c>
      <c r="F29" s="52" t="s">
        <v>64</v>
      </c>
      <c r="G29" s="6" t="s">
        <v>33</v>
      </c>
      <c r="H29" s="52" t="s">
        <v>64</v>
      </c>
    </row>
    <row r="30" spans="1:10" ht="14.45" customHeight="1" x14ac:dyDescent="0.25">
      <c r="A30" s="28" t="s">
        <v>35</v>
      </c>
      <c r="B30" s="29"/>
      <c r="C30" s="29"/>
      <c r="D30" s="29"/>
      <c r="E30" s="29"/>
      <c r="F30" s="29"/>
      <c r="G30" s="29"/>
      <c r="H30" s="30"/>
    </row>
    <row r="31" spans="1:10" x14ac:dyDescent="0.25">
      <c r="A31" s="28"/>
      <c r="B31" s="29"/>
      <c r="C31" s="29"/>
      <c r="D31" s="29"/>
      <c r="E31" s="29"/>
      <c r="F31" s="29"/>
      <c r="G31" s="29"/>
      <c r="H31" s="30"/>
    </row>
    <row r="32" spans="1:10" x14ac:dyDescent="0.25">
      <c r="A32" s="28"/>
      <c r="B32" s="29"/>
      <c r="C32" s="29"/>
      <c r="D32" s="29"/>
      <c r="E32" s="29"/>
      <c r="F32" s="29"/>
      <c r="G32" s="29"/>
      <c r="H32" s="30"/>
    </row>
    <row r="33" spans="1:8" x14ac:dyDescent="0.25">
      <c r="A33" s="28"/>
      <c r="B33" s="29"/>
      <c r="C33" s="29"/>
      <c r="D33" s="29"/>
      <c r="E33" s="29"/>
      <c r="F33" s="29"/>
      <c r="G33" s="29"/>
      <c r="H33" s="30"/>
    </row>
    <row r="34" spans="1:8" ht="15.75" thickBot="1" x14ac:dyDescent="0.3">
      <c r="A34" s="31"/>
      <c r="B34" s="32"/>
      <c r="C34" s="32"/>
      <c r="D34" s="32"/>
      <c r="E34" s="32"/>
      <c r="F34" s="32"/>
      <c r="G34" s="32"/>
      <c r="H34" s="33"/>
    </row>
    <row r="35" spans="1:8" x14ac:dyDescent="0.25">
      <c r="A35" s="16" t="s">
        <v>36</v>
      </c>
      <c r="B35" s="17"/>
      <c r="C35" s="17"/>
      <c r="D35" s="17"/>
      <c r="E35" s="17"/>
      <c r="F35" s="17"/>
      <c r="G35" s="17"/>
      <c r="H35" s="34"/>
    </row>
    <row r="36" spans="1:8" x14ac:dyDescent="0.25">
      <c r="A36" s="35" t="s">
        <v>60</v>
      </c>
      <c r="B36" s="36"/>
      <c r="C36" s="36"/>
      <c r="D36" s="36"/>
      <c r="E36" s="36"/>
      <c r="F36" s="36"/>
      <c r="G36" s="36"/>
      <c r="H36" s="37"/>
    </row>
    <row r="37" spans="1:8" x14ac:dyDescent="0.25">
      <c r="A37" s="35"/>
      <c r="B37" s="36"/>
      <c r="C37" s="36"/>
      <c r="D37" s="36"/>
      <c r="E37" s="36"/>
      <c r="F37" s="36"/>
      <c r="G37" s="36"/>
      <c r="H37" s="37"/>
    </row>
    <row r="38" spans="1:8" x14ac:dyDescent="0.25">
      <c r="A38" s="35"/>
      <c r="B38" s="36"/>
      <c r="C38" s="36"/>
      <c r="D38" s="36"/>
      <c r="E38" s="36"/>
      <c r="F38" s="36"/>
      <c r="G38" s="36"/>
      <c r="H38" s="37"/>
    </row>
    <row r="39" spans="1:8" x14ac:dyDescent="0.25">
      <c r="A39" s="58" t="s">
        <v>81</v>
      </c>
      <c r="B39" s="59"/>
      <c r="C39" s="59"/>
      <c r="D39" s="59"/>
      <c r="E39" s="63" t="s">
        <v>66</v>
      </c>
      <c r="F39" s="64"/>
      <c r="G39" s="64"/>
      <c r="H39" s="65"/>
    </row>
    <row r="40" spans="1:8" x14ac:dyDescent="0.25">
      <c r="A40" s="60"/>
      <c r="B40" s="59"/>
      <c r="C40" s="59"/>
      <c r="D40" s="59"/>
      <c r="E40" s="64"/>
      <c r="F40" s="64"/>
      <c r="G40" s="64"/>
      <c r="H40" s="65"/>
    </row>
    <row r="41" spans="1:8" x14ac:dyDescent="0.25">
      <c r="A41" s="60"/>
      <c r="B41" s="59"/>
      <c r="C41" s="59"/>
      <c r="D41" s="59"/>
      <c r="E41" s="64"/>
      <c r="F41" s="64"/>
      <c r="G41" s="64"/>
      <c r="H41" s="65"/>
    </row>
    <row r="42" spans="1:8" x14ac:dyDescent="0.25">
      <c r="A42" s="60"/>
      <c r="B42" s="59"/>
      <c r="C42" s="59"/>
      <c r="D42" s="59"/>
      <c r="E42" s="64"/>
      <c r="F42" s="64"/>
      <c r="G42" s="64"/>
      <c r="H42" s="65"/>
    </row>
    <row r="43" spans="1:8" x14ac:dyDescent="0.25">
      <c r="A43" s="60"/>
      <c r="B43" s="59"/>
      <c r="C43" s="59"/>
      <c r="D43" s="59"/>
      <c r="E43" s="64"/>
      <c r="F43" s="64"/>
      <c r="G43" s="64"/>
      <c r="H43" s="65"/>
    </row>
    <row r="44" spans="1:8" x14ac:dyDescent="0.25">
      <c r="A44" s="60"/>
      <c r="B44" s="59"/>
      <c r="C44" s="59"/>
      <c r="D44" s="59"/>
      <c r="E44" s="64"/>
      <c r="F44" s="64"/>
      <c r="G44" s="64"/>
      <c r="H44" s="65"/>
    </row>
    <row r="45" spans="1:8" x14ac:dyDescent="0.25">
      <c r="A45" s="60"/>
      <c r="B45" s="59"/>
      <c r="C45" s="59"/>
      <c r="D45" s="59"/>
      <c r="E45" s="64"/>
      <c r="F45" s="64"/>
      <c r="G45" s="64"/>
      <c r="H45" s="65"/>
    </row>
    <row r="46" spans="1:8" x14ac:dyDescent="0.25">
      <c r="A46" s="60"/>
      <c r="B46" s="59"/>
      <c r="C46" s="59"/>
      <c r="D46" s="59"/>
      <c r="E46" s="64"/>
      <c r="F46" s="64"/>
      <c r="G46" s="64"/>
      <c r="H46" s="65"/>
    </row>
    <row r="47" spans="1:8" ht="56.25" customHeight="1" thickBot="1" x14ac:dyDescent="0.3">
      <c r="A47" s="61"/>
      <c r="B47" s="62"/>
      <c r="C47" s="62"/>
      <c r="D47" s="62"/>
      <c r="E47" s="66"/>
      <c r="F47" s="66"/>
      <c r="G47" s="66"/>
      <c r="H47" s="67"/>
    </row>
    <row r="48" spans="1:8" x14ac:dyDescent="0.25">
      <c r="A48" s="19" t="s">
        <v>37</v>
      </c>
      <c r="B48" s="20"/>
      <c r="C48" s="20"/>
      <c r="D48" s="20"/>
      <c r="E48" s="20"/>
      <c r="F48" s="20"/>
      <c r="G48" s="20"/>
      <c r="H48" s="21"/>
    </row>
    <row r="49" spans="1:8" ht="15" customHeight="1" x14ac:dyDescent="0.25">
      <c r="A49" s="68" t="s">
        <v>78</v>
      </c>
      <c r="B49" s="69"/>
      <c r="C49" s="69"/>
      <c r="D49" s="70"/>
      <c r="E49" s="63" t="s">
        <v>71</v>
      </c>
      <c r="F49" s="64"/>
      <c r="G49" s="64"/>
      <c r="H49" s="65"/>
    </row>
    <row r="50" spans="1:8" x14ac:dyDescent="0.25">
      <c r="A50" s="71"/>
      <c r="B50" s="72"/>
      <c r="C50" s="72"/>
      <c r="D50" s="73"/>
      <c r="E50" s="64"/>
      <c r="F50" s="64"/>
      <c r="G50" s="64"/>
      <c r="H50" s="65"/>
    </row>
    <row r="51" spans="1:8" x14ac:dyDescent="0.25">
      <c r="A51" s="71"/>
      <c r="B51" s="72"/>
      <c r="C51" s="72"/>
      <c r="D51" s="73"/>
      <c r="E51" s="64"/>
      <c r="F51" s="64"/>
      <c r="G51" s="64"/>
      <c r="H51" s="65"/>
    </row>
    <row r="52" spans="1:8" x14ac:dyDescent="0.25">
      <c r="A52" s="71"/>
      <c r="B52" s="72"/>
      <c r="C52" s="72"/>
      <c r="D52" s="73"/>
      <c r="E52" s="64"/>
      <c r="F52" s="64"/>
      <c r="G52" s="64"/>
      <c r="H52" s="65"/>
    </row>
    <row r="53" spans="1:8" x14ac:dyDescent="0.25">
      <c r="A53" s="71"/>
      <c r="B53" s="72"/>
      <c r="C53" s="72"/>
      <c r="D53" s="73"/>
      <c r="E53" s="64"/>
      <c r="F53" s="64"/>
      <c r="G53" s="64"/>
      <c r="H53" s="65"/>
    </row>
    <row r="54" spans="1:8" x14ac:dyDescent="0.25">
      <c r="A54" s="71"/>
      <c r="B54" s="72"/>
      <c r="C54" s="72"/>
      <c r="D54" s="73"/>
      <c r="E54" s="64"/>
      <c r="F54" s="64"/>
      <c r="G54" s="64"/>
      <c r="H54" s="65"/>
    </row>
    <row r="55" spans="1:8" x14ac:dyDescent="0.25">
      <c r="A55" s="71"/>
      <c r="B55" s="72"/>
      <c r="C55" s="72"/>
      <c r="D55" s="73"/>
      <c r="E55" s="64"/>
      <c r="F55" s="64"/>
      <c r="G55" s="64"/>
      <c r="H55" s="65"/>
    </row>
    <row r="56" spans="1:8" x14ac:dyDescent="0.25">
      <c r="A56" s="71"/>
      <c r="B56" s="72"/>
      <c r="C56" s="72"/>
      <c r="D56" s="73"/>
      <c r="E56" s="64"/>
      <c r="F56" s="64"/>
      <c r="G56" s="64"/>
      <c r="H56" s="65"/>
    </row>
    <row r="57" spans="1:8" x14ac:dyDescent="0.25">
      <c r="A57" s="71"/>
      <c r="B57" s="72"/>
      <c r="C57" s="72"/>
      <c r="D57" s="73"/>
      <c r="E57" s="64"/>
      <c r="F57" s="64"/>
      <c r="G57" s="64"/>
      <c r="H57" s="65"/>
    </row>
    <row r="58" spans="1:8" x14ac:dyDescent="0.25">
      <c r="A58" s="71"/>
      <c r="B58" s="72"/>
      <c r="C58" s="72"/>
      <c r="D58" s="73"/>
      <c r="E58" s="64"/>
      <c r="F58" s="64"/>
      <c r="G58" s="64"/>
      <c r="H58" s="65"/>
    </row>
    <row r="59" spans="1:8" ht="25.5" customHeight="1" x14ac:dyDescent="0.25">
      <c r="A59" s="74"/>
      <c r="B59" s="75"/>
      <c r="C59" s="75"/>
      <c r="D59" s="76"/>
      <c r="E59" s="64"/>
      <c r="F59" s="64"/>
      <c r="G59" s="64"/>
      <c r="H59" s="65"/>
    </row>
    <row r="60" spans="1:8" x14ac:dyDescent="0.25">
      <c r="A60" s="22" t="s">
        <v>38</v>
      </c>
      <c r="B60" s="14"/>
      <c r="C60" s="14"/>
      <c r="D60" s="14"/>
      <c r="E60" s="24" t="s">
        <v>65</v>
      </c>
      <c r="F60" s="24"/>
      <c r="G60" s="14" t="s">
        <v>39</v>
      </c>
      <c r="H60" s="57">
        <v>0.4</v>
      </c>
    </row>
    <row r="61" spans="1:8" x14ac:dyDescent="0.25">
      <c r="A61" s="22"/>
      <c r="B61" s="14"/>
      <c r="C61" s="14"/>
      <c r="D61" s="14"/>
      <c r="E61" s="24"/>
      <c r="F61" s="24"/>
      <c r="G61" s="14"/>
      <c r="H61" s="4"/>
    </row>
    <row r="62" spans="1:8" x14ac:dyDescent="0.25">
      <c r="A62" s="22"/>
      <c r="B62" s="14"/>
      <c r="C62" s="14"/>
      <c r="D62" s="14"/>
      <c r="E62" s="24"/>
      <c r="F62" s="24"/>
      <c r="G62" s="14"/>
      <c r="H62" s="4"/>
    </row>
    <row r="63" spans="1:8" x14ac:dyDescent="0.25">
      <c r="A63" s="22"/>
      <c r="B63" s="14"/>
      <c r="C63" s="14"/>
      <c r="D63" s="14"/>
      <c r="E63" s="24"/>
      <c r="F63" s="24"/>
      <c r="G63" s="14"/>
      <c r="H63" s="4"/>
    </row>
    <row r="64" spans="1:8" ht="15.75" thickBot="1" x14ac:dyDescent="0.3">
      <c r="A64" s="23"/>
      <c r="B64" s="15"/>
      <c r="C64" s="15"/>
      <c r="D64" s="15"/>
      <c r="E64" s="25"/>
      <c r="F64" s="25"/>
      <c r="G64" s="15"/>
      <c r="H64" s="4"/>
    </row>
    <row r="65" spans="1:8" x14ac:dyDescent="0.25">
      <c r="A65" s="16" t="s">
        <v>40</v>
      </c>
      <c r="B65" s="17"/>
      <c r="C65" s="17"/>
      <c r="D65" s="17"/>
      <c r="E65" s="17"/>
      <c r="F65" s="17"/>
      <c r="G65" s="17"/>
      <c r="H65" s="18"/>
    </row>
    <row r="66" spans="1:8" x14ac:dyDescent="0.25">
      <c r="A66" s="58" t="s">
        <v>79</v>
      </c>
      <c r="B66" s="59"/>
      <c r="C66" s="59"/>
      <c r="D66" s="59"/>
      <c r="E66" s="83" t="s">
        <v>80</v>
      </c>
      <c r="F66" s="84"/>
      <c r="G66" s="84"/>
      <c r="H66" s="85"/>
    </row>
    <row r="67" spans="1:8" x14ac:dyDescent="0.25">
      <c r="A67" s="60"/>
      <c r="B67" s="59"/>
      <c r="C67" s="59"/>
      <c r="D67" s="59"/>
      <c r="E67" s="84"/>
      <c r="F67" s="84"/>
      <c r="G67" s="84"/>
      <c r="H67" s="85"/>
    </row>
    <row r="68" spans="1:8" x14ac:dyDescent="0.25">
      <c r="A68" s="60"/>
      <c r="B68" s="59"/>
      <c r="C68" s="59"/>
      <c r="D68" s="59"/>
      <c r="E68" s="84"/>
      <c r="F68" s="84"/>
      <c r="G68" s="84"/>
      <c r="H68" s="85"/>
    </row>
    <row r="69" spans="1:8" x14ac:dyDescent="0.25">
      <c r="A69" s="60"/>
      <c r="B69" s="59"/>
      <c r="C69" s="59"/>
      <c r="D69" s="59"/>
      <c r="E69" s="84"/>
      <c r="F69" s="84"/>
      <c r="G69" s="84"/>
      <c r="H69" s="85"/>
    </row>
    <row r="70" spans="1:8" x14ac:dyDescent="0.25">
      <c r="A70" s="60"/>
      <c r="B70" s="59"/>
      <c r="C70" s="59"/>
      <c r="D70" s="59"/>
      <c r="E70" s="84"/>
      <c r="F70" s="84"/>
      <c r="G70" s="84"/>
      <c r="H70" s="85"/>
    </row>
    <row r="71" spans="1:8" x14ac:dyDescent="0.25">
      <c r="A71" s="60"/>
      <c r="B71" s="59"/>
      <c r="C71" s="59"/>
      <c r="D71" s="59"/>
      <c r="E71" s="84"/>
      <c r="F71" s="84"/>
      <c r="G71" s="84"/>
      <c r="H71" s="85"/>
    </row>
    <row r="72" spans="1:8" x14ac:dyDescent="0.25">
      <c r="A72" s="60"/>
      <c r="B72" s="59"/>
      <c r="C72" s="59"/>
      <c r="D72" s="59"/>
      <c r="E72" s="84"/>
      <c r="F72" s="84"/>
      <c r="G72" s="84"/>
      <c r="H72" s="85"/>
    </row>
    <row r="73" spans="1:8" x14ac:dyDescent="0.25">
      <c r="A73" s="60"/>
      <c r="B73" s="59"/>
      <c r="C73" s="59"/>
      <c r="D73" s="59"/>
      <c r="E73" s="84"/>
      <c r="F73" s="84"/>
      <c r="G73" s="84"/>
      <c r="H73" s="85"/>
    </row>
    <row r="74" spans="1:8" x14ac:dyDescent="0.25">
      <c r="A74" s="60"/>
      <c r="B74" s="59"/>
      <c r="C74" s="59"/>
      <c r="D74" s="59"/>
      <c r="E74" s="84"/>
      <c r="F74" s="84"/>
      <c r="G74" s="84"/>
      <c r="H74" s="85"/>
    </row>
    <row r="75" spans="1:8" x14ac:dyDescent="0.25">
      <c r="A75" s="60"/>
      <c r="B75" s="59"/>
      <c r="C75" s="59"/>
      <c r="D75" s="59"/>
      <c r="E75" s="84"/>
      <c r="F75" s="84"/>
      <c r="G75" s="84"/>
      <c r="H75" s="85"/>
    </row>
    <row r="76" spans="1:8" x14ac:dyDescent="0.25">
      <c r="A76" s="60"/>
      <c r="B76" s="59"/>
      <c r="C76" s="59"/>
      <c r="D76" s="59"/>
      <c r="E76" s="84"/>
      <c r="F76" s="84"/>
      <c r="G76" s="84"/>
      <c r="H76" s="85"/>
    </row>
    <row r="77" spans="1:8" x14ac:dyDescent="0.25">
      <c r="A77" s="60"/>
      <c r="B77" s="59"/>
      <c r="C77" s="59"/>
      <c r="D77" s="59"/>
      <c r="E77" s="84"/>
      <c r="F77" s="84"/>
      <c r="G77" s="84"/>
      <c r="H77" s="85"/>
    </row>
    <row r="78" spans="1:8" x14ac:dyDescent="0.25">
      <c r="A78" s="60"/>
      <c r="B78" s="59"/>
      <c r="C78" s="59"/>
      <c r="D78" s="59"/>
      <c r="E78" s="84"/>
      <c r="F78" s="84"/>
      <c r="G78" s="84"/>
      <c r="H78" s="85"/>
    </row>
    <row r="79" spans="1:8" x14ac:dyDescent="0.25">
      <c r="A79" s="60"/>
      <c r="B79" s="59"/>
      <c r="C79" s="59"/>
      <c r="D79" s="59"/>
      <c r="E79" s="84"/>
      <c r="F79" s="84"/>
      <c r="G79" s="84"/>
      <c r="H79" s="85"/>
    </row>
    <row r="80" spans="1:8" ht="143.25" customHeight="1" thickBot="1" x14ac:dyDescent="0.3">
      <c r="A80" s="61"/>
      <c r="B80" s="62"/>
      <c r="C80" s="62"/>
      <c r="D80" s="62"/>
      <c r="E80" s="86"/>
      <c r="F80" s="86"/>
      <c r="G80" s="86"/>
      <c r="H80" s="87"/>
    </row>
  </sheetData>
  <mergeCells count="46">
    <mergeCell ref="A1:H3"/>
    <mergeCell ref="A4:H4"/>
    <mergeCell ref="D6:E6"/>
    <mergeCell ref="G6:H6"/>
    <mergeCell ref="A8:H8"/>
    <mergeCell ref="A16:B16"/>
    <mergeCell ref="C16:H16"/>
    <mergeCell ref="F9:F10"/>
    <mergeCell ref="C9:C10"/>
    <mergeCell ref="D9:E10"/>
    <mergeCell ref="G9:H10"/>
    <mergeCell ref="A9:B10"/>
    <mergeCell ref="A11:H11"/>
    <mergeCell ref="B12:C12"/>
    <mergeCell ref="G12:H12"/>
    <mergeCell ref="A13:H13"/>
    <mergeCell ref="A14:B15"/>
    <mergeCell ref="C14:H15"/>
    <mergeCell ref="A17:B18"/>
    <mergeCell ref="C17:H18"/>
    <mergeCell ref="A19:B20"/>
    <mergeCell ref="C19:H20"/>
    <mergeCell ref="A21:B26"/>
    <mergeCell ref="C21:H21"/>
    <mergeCell ref="C22:H22"/>
    <mergeCell ref="C23:H23"/>
    <mergeCell ref="C24:H24"/>
    <mergeCell ref="A27:B29"/>
    <mergeCell ref="A30:H34"/>
    <mergeCell ref="A35:H35"/>
    <mergeCell ref="A36:H38"/>
    <mergeCell ref="A39:D47"/>
    <mergeCell ref="E39:H47"/>
    <mergeCell ref="G60:G64"/>
    <mergeCell ref="A65:H65"/>
    <mergeCell ref="A66:D80"/>
    <mergeCell ref="E66:H80"/>
    <mergeCell ref="A48:H48"/>
    <mergeCell ref="A49:D59"/>
    <mergeCell ref="E49:H59"/>
    <mergeCell ref="A60:D64"/>
    <mergeCell ref="E60:F60"/>
    <mergeCell ref="E61:F61"/>
    <mergeCell ref="E62:F62"/>
    <mergeCell ref="E63:F63"/>
    <mergeCell ref="E64:F64"/>
  </mergeCells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ED8D5CB-14A8-4FC6-AAA2-179964CC3F65}">
          <x14:formula1>
            <xm:f>Hoja2!$B$1:$B$9</xm:f>
          </x14:formula1>
          <xm:sqref>B6</xm:sqref>
        </x14:dataValidation>
        <x14:dataValidation type="list" allowBlank="1" showInputMessage="1" showErrorMessage="1" xr:uid="{98948C5C-6181-46E4-B42F-C1D6A778BA4C}">
          <x14:formula1>
            <xm:f>Hoja2!$A$1:$A$4</xm:f>
          </x14:formula1>
          <xm:sqref>H5</xm:sqref>
        </x14:dataValidation>
        <x14:dataValidation type="list" allowBlank="1" showInputMessage="1" showErrorMessage="1" xr:uid="{2052ED0E-ABC6-44E8-A717-49761FF0593A}">
          <x14:formula1>
            <xm:f>Hoja2!$C$1:$C$5</xm:f>
          </x14:formula1>
          <xm:sqref>B7</xm:sqref>
        </x14:dataValidation>
        <x14:dataValidation type="list" allowBlank="1" showInputMessage="1" showErrorMessage="1" xr:uid="{0FB9410C-C552-4D2D-B1F7-EFB5960C8CA8}">
          <x14:formula1>
            <xm:f>Hoja2!$D$1:$D$13</xm:f>
          </x14:formula1>
          <xm:sqref>D7</xm:sqref>
        </x14:dataValidation>
        <x14:dataValidation type="list" allowBlank="1" showInputMessage="1" showErrorMessage="1" xr:uid="{3C7DD019-ED13-4554-B381-71F0040A0737}">
          <x14:formula1>
            <xm:f>Hoja2!$E$1:$E$13</xm:f>
          </x14:formula1>
          <xm:sqref>F7</xm:sqref>
        </x14:dataValidation>
        <x14:dataValidation type="list" allowBlank="1" showInputMessage="1" showErrorMessage="1" xr:uid="{BD302EA6-AE89-8B47-8C24-89CC9E8E9334}">
          <x14:formula1>
            <xm:f>Hoja2!$G$1:$G$10</xm:f>
          </x14:formula1>
          <xm:sqref>H60:H64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D99B-D0EE-416C-A505-7D661AC9F6D4}">
  <dimension ref="A1:G13"/>
  <sheetViews>
    <sheetView workbookViewId="0">
      <selection activeCell="G11" sqref="G11"/>
    </sheetView>
  </sheetViews>
  <sheetFormatPr baseColWidth="10" defaultRowHeight="15" x14ac:dyDescent="0.25"/>
  <cols>
    <col min="1" max="1" width="17.140625" bestFit="1" customWidth="1"/>
    <col min="2" max="2" width="18.28515625" bestFit="1" customWidth="1"/>
  </cols>
  <sheetData>
    <row r="1" spans="1:7" x14ac:dyDescent="0.25">
      <c r="A1" t="s">
        <v>41</v>
      </c>
      <c r="B1" t="s">
        <v>46</v>
      </c>
      <c r="C1">
        <v>2</v>
      </c>
      <c r="D1">
        <v>36</v>
      </c>
      <c r="E1">
        <v>60</v>
      </c>
      <c r="F1" t="s">
        <v>55</v>
      </c>
      <c r="G1" s="11">
        <v>0.1</v>
      </c>
    </row>
    <row r="2" spans="1:7" x14ac:dyDescent="0.25">
      <c r="A2" t="s">
        <v>42</v>
      </c>
      <c r="B2" t="s">
        <v>47</v>
      </c>
      <c r="C2">
        <v>3</v>
      </c>
      <c r="D2">
        <v>54</v>
      </c>
      <c r="E2">
        <v>90</v>
      </c>
      <c r="F2" t="s">
        <v>56</v>
      </c>
      <c r="G2" s="11">
        <v>0.2</v>
      </c>
    </row>
    <row r="3" spans="1:7" x14ac:dyDescent="0.25">
      <c r="A3" t="s">
        <v>43</v>
      </c>
      <c r="B3" t="s">
        <v>48</v>
      </c>
      <c r="C3">
        <v>4</v>
      </c>
      <c r="D3">
        <v>72</v>
      </c>
      <c r="E3">
        <v>120</v>
      </c>
      <c r="F3" t="s">
        <v>57</v>
      </c>
      <c r="G3" s="11">
        <v>0.3</v>
      </c>
    </row>
    <row r="4" spans="1:7" x14ac:dyDescent="0.25">
      <c r="A4" t="s">
        <v>44</v>
      </c>
      <c r="B4" t="s">
        <v>49</v>
      </c>
      <c r="C4">
        <v>6</v>
      </c>
      <c r="D4">
        <v>108</v>
      </c>
      <c r="E4">
        <v>180</v>
      </c>
      <c r="F4" t="s">
        <v>58</v>
      </c>
      <c r="G4" s="11">
        <v>0.4</v>
      </c>
    </row>
    <row r="5" spans="1:7" x14ac:dyDescent="0.25">
      <c r="B5" t="s">
        <v>50</v>
      </c>
      <c r="C5">
        <v>8</v>
      </c>
      <c r="D5">
        <v>144</v>
      </c>
      <c r="E5">
        <v>240</v>
      </c>
      <c r="F5" t="s">
        <v>59</v>
      </c>
      <c r="G5" s="11">
        <v>0.5</v>
      </c>
    </row>
    <row r="6" spans="1:7" x14ac:dyDescent="0.25">
      <c r="B6" t="s">
        <v>51</v>
      </c>
      <c r="D6">
        <v>32</v>
      </c>
      <c r="E6">
        <v>64</v>
      </c>
      <c r="G6" s="11">
        <v>0.6</v>
      </c>
    </row>
    <row r="7" spans="1:7" x14ac:dyDescent="0.25">
      <c r="B7" t="s">
        <v>52</v>
      </c>
      <c r="D7">
        <v>36</v>
      </c>
      <c r="E7">
        <v>108</v>
      </c>
      <c r="G7" s="11">
        <v>0.7</v>
      </c>
    </row>
    <row r="8" spans="1:7" x14ac:dyDescent="0.25">
      <c r="B8" t="s">
        <v>53</v>
      </c>
      <c r="D8">
        <v>40</v>
      </c>
      <c r="E8">
        <v>152</v>
      </c>
      <c r="G8" s="11">
        <v>0.8</v>
      </c>
    </row>
    <row r="9" spans="1:7" x14ac:dyDescent="0.25">
      <c r="B9" t="s">
        <v>54</v>
      </c>
      <c r="D9">
        <v>54</v>
      </c>
      <c r="E9">
        <v>234</v>
      </c>
      <c r="G9" s="11">
        <v>0.9</v>
      </c>
    </row>
    <row r="10" spans="1:7" x14ac:dyDescent="0.25">
      <c r="D10">
        <v>64</v>
      </c>
      <c r="E10">
        <v>320</v>
      </c>
      <c r="G10" s="11">
        <v>1</v>
      </c>
    </row>
    <row r="11" spans="1:7" x14ac:dyDescent="0.25">
      <c r="D11">
        <v>24</v>
      </c>
      <c r="E11">
        <v>72</v>
      </c>
      <c r="G11" s="11"/>
    </row>
    <row r="12" spans="1:7" x14ac:dyDescent="0.25">
      <c r="D12">
        <v>36</v>
      </c>
      <c r="E12">
        <v>108</v>
      </c>
    </row>
    <row r="13" spans="1:7" x14ac:dyDescent="0.25">
      <c r="D13">
        <v>48</v>
      </c>
      <c r="E13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JOSE EDWARD DIVITT VELOSA GARCIA</cp:lastModifiedBy>
  <dcterms:created xsi:type="dcterms:W3CDTF">2025-06-18T14:53:05Z</dcterms:created>
  <dcterms:modified xsi:type="dcterms:W3CDTF">2025-12-15T04:25:12Z</dcterms:modified>
</cp:coreProperties>
</file>