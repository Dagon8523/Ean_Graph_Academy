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jvelosa\OneDrive - universidadean.edu.co\Sprint-s\Sprint4\Maestria en Gerencia de la Cadena de Abastecimiento\08. Sylllabus-2025\Nucleares\"/>
    </mc:Choice>
  </mc:AlternateContent>
  <xr:revisionPtr revIDLastSave="0" documentId="13_ncr:1_{BBA958E5-F6D0-4946-B97C-FD46ABF44DEB}" xr6:coauthVersionLast="47" xr6:coauthVersionMax="47" xr10:uidLastSave="{00000000-0000-0000-0000-000000000000}"/>
  <bookViews>
    <workbookView xWindow="-4695" yWindow="-16320" windowWidth="29040" windowHeight="15720" xr2:uid="{55CF6E6E-881E-4A46-9AC0-9D112659EA3B}"/>
  </bookViews>
  <sheets>
    <sheet name="Hoja1" sheetId="1" r:id="rId1"/>
    <sheet name="Hoj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 i="1" l="1"/>
</calcChain>
</file>

<file path=xl/sharedStrings.xml><?xml version="1.0" encoding="utf-8"?>
<sst xmlns="http://schemas.openxmlformats.org/spreadsheetml/2006/main" count="93" uniqueCount="82">
  <si>
    <t xml:space="preserve">FORMATO SYLLABUS </t>
  </si>
  <si>
    <t>1.	Información General de la Unidad de Estudio</t>
  </si>
  <si>
    <t>Año</t>
  </si>
  <si>
    <t>Código Plan de estudios</t>
  </si>
  <si>
    <t>Código Unidad de Estudio</t>
  </si>
  <si>
    <t>Tipo Unidad de estudio</t>
  </si>
  <si>
    <t>Programa</t>
  </si>
  <si>
    <t>Nombre Unidad  de estudios</t>
  </si>
  <si>
    <t>Créditos Académicos</t>
  </si>
  <si>
    <t>HAD</t>
  </si>
  <si>
    <t>HTA</t>
  </si>
  <si>
    <t>HT</t>
  </si>
  <si>
    <t>2. Modalidad y Metodología</t>
  </si>
  <si>
    <t>Virtual</t>
  </si>
  <si>
    <t>Presencial</t>
  </si>
  <si>
    <t>Seleccione con una X la modalidad en la que se desarrolla la Unidad.</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</si>
  <si>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</si>
  <si>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</si>
  <si>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</si>
  <si>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</si>
  <si>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</si>
  <si>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</si>
  <si>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</si>
  <si>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</si>
  <si>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</si>
  <si>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EM</t>
  </si>
  <si>
    <t>SH</t>
  </si>
  <si>
    <t>IN</t>
  </si>
  <si>
    <t>COM</t>
  </si>
  <si>
    <t>SO</t>
  </si>
  <si>
    <t>AA</t>
  </si>
  <si>
    <t>SE</t>
  </si>
  <si>
    <t>COL</t>
  </si>
  <si>
    <t>DI</t>
  </si>
  <si>
    <t>Competencias del modelo educativo a desarrollar (Seleccione con X aquellas competencias del modelo educativo que se desarrollarán en la Unidad de Estudio).</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</si>
  <si>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</si>
  <si>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</si>
  <si>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5.	Esquema de Calificación, Recursos y Componente de Lengua Extranjera</t>
  </si>
  <si>
    <t>Componente de Lengua extranjera</t>
  </si>
  <si>
    <t>Procentaje</t>
  </si>
  <si>
    <t>6.	Bibliografía Obligatoria y Complementaria.</t>
  </si>
  <si>
    <t>Nuclear</t>
  </si>
  <si>
    <t>Transversal</t>
  </si>
  <si>
    <t>Electiva</t>
  </si>
  <si>
    <t>Requisito de Grado</t>
  </si>
  <si>
    <t>Facultad o Área</t>
  </si>
  <si>
    <t>FAFCE</t>
  </si>
  <si>
    <t>FIN</t>
  </si>
  <si>
    <t>FCSH</t>
  </si>
  <si>
    <t>EMPRENDIMIENTO</t>
  </si>
  <si>
    <t>INVESTIGACIÓN</t>
  </si>
  <si>
    <t>IDIOMAS</t>
  </si>
  <si>
    <t>PRÁCTICA</t>
  </si>
  <si>
    <t>CIENCIAS BÁSICAS</t>
  </si>
  <si>
    <t>SOCIOHUMANISTICA</t>
  </si>
  <si>
    <t>Inglés</t>
  </si>
  <si>
    <t>Alemán</t>
  </si>
  <si>
    <t>Italiano</t>
  </si>
  <si>
    <t>Francés</t>
  </si>
  <si>
    <t>Portugués</t>
  </si>
  <si>
    <t>En este apartado se solicita diligenciar los temas que harán parte de los contenidos de la UE; En cuanto a las estrategias pedagógicas relacionar los métodos, técnicas o acciones planificadas que se utilizan para facilitar el proceso de enseñanza-aprendizaje.</t>
  </si>
  <si>
    <t>Metodología (Aplica solo para unidades de estudio de la modalidad presencial)</t>
  </si>
  <si>
    <t>VMV0000</t>
  </si>
  <si>
    <t>Maestría en Gerencia de la Cadena de Abastecimiento</t>
  </si>
  <si>
    <t>x</t>
  </si>
  <si>
    <t>Ingles</t>
  </si>
  <si>
    <r>
      <t xml:space="preserve">Estrategias Pedagógicas:
</t>
    </r>
    <r>
      <rPr>
        <sz val="9"/>
        <color theme="1"/>
        <rFont val="Arial Narrow"/>
        <family val="2"/>
      </rPr>
      <t>Clases magistrales contextualizadas
Estudios de caso reales
Aprendizaje basado en problemas (ABP)
Simulaciones y uso de software especializado
Mapeo y análisis de infraestructura
Trabajo colaborativo en equipos
Lecturas guiadas y discusiones
Charlas con expertos del sector
Diseño y presentación de proyectos aplicados
Resolución de ejercicios cuantitativos</t>
    </r>
    <r>
      <rPr>
        <b/>
        <sz val="11"/>
        <color theme="1"/>
        <rFont val="Calibri"/>
        <family val="2"/>
        <scheme val="minor"/>
      </rPr>
      <t xml:space="preserve">
</t>
    </r>
  </si>
  <si>
    <t>1. Dominio conceptual y técnico</t>
  </si>
  <si>
    <t>2. Aplicación práctica en contextos reales o simulados</t>
  </si>
  <si>
    <t>3. Trabajo colaborativo y comunicación profesional</t>
  </si>
  <si>
    <t>4. Desarrollo de pensamiento crítico e investigativo</t>
  </si>
  <si>
    <r>
      <t xml:space="preserve">Recursos Tecnológicos
</t>
    </r>
    <r>
      <rPr>
        <sz val="11"/>
        <rFont val="Calibri"/>
        <family val="2"/>
        <scheme val="minor"/>
      </rPr>
      <t>Biblioteca virtual (Bases de datos)
Plataforma LMS
Correo electrónico</t>
    </r>
    <r>
      <rPr>
        <b/>
        <sz val="11"/>
        <color theme="1"/>
        <rFont val="Calibri"/>
        <family val="2"/>
        <scheme val="minor"/>
      </rPr>
      <t xml:space="preserve">
Bases de datos
Excel
Software Flexsim.</t>
    </r>
  </si>
  <si>
    <t>MAVGCABOG002</t>
  </si>
  <si>
    <t xml:space="preserve">Modelos para la Gestión de Inventarios </t>
  </si>
  <si>
    <t>El Magister en Gerencia de la Cadena de Abastecimiento debe poseer las competencias necesarias para la planeación, programación y control de los Inventarios, gestionando los recursos dispuestos en el área de desempeño, empleando sus capacidades y habilidades para la toma oportuna de decisiones; generando conformidad, eficacia y eficiencia entre los procesos productivos, recursos, medio ambiente, personal y productos.
El presente curso busca brindarle al Magister en Gerencia de la Cadena de Abastecimiento los conceptos, técnicas y herramientas que le permitan generar modelos matemáticos, sistemas computacionales y procesos de gestión aplicados a la óptima administración de inventarios, que permitan obtener soluciones óptimas que garanticen el mejor resultado económico y la óptima utilización de los recursos.</t>
  </si>
  <si>
    <r>
      <t xml:space="preserve">Contenidos Unidad de estudio:
</t>
    </r>
    <r>
      <rPr>
        <b/>
        <sz val="8"/>
        <color rgb="FF0070C0"/>
        <rFont val="Calibri"/>
        <family val="2"/>
        <scheme val="minor"/>
      </rPr>
      <t xml:space="preserve">ema 1. El papel de la gestión de inventarios en un entorno globalizado.
Modelos cuantitativos y cualitativos de Inventarios
Herramientas de optimización de inventarios
Marco de toma de decisiones de los inventarios en la cadena de suministros
Análisis ABC
Modelo EOQ 
Tema 2: Métricas en la gestión de inventarios.
Indicadores financieros, operativos y de servicio al cliente, en la gestión de inventarios.
Sistemas de codificación de inventarios
Tema 3: Administración y manejo de almacenes
Tipos de almacenes
almacén caótico vs almacén ordenado
Análisis ABC
Layout 
Tecnologías de packing y picking 
</t>
    </r>
  </si>
  <si>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t>
    </r>
    <r>
      <rPr>
        <sz val="8"/>
        <color rgb="FF0070C0"/>
        <rFont val="Arial Narrow"/>
        <family val="2"/>
      </rPr>
      <t>Guía 1 20%
Guía  2 20%
Guía 3  30%
Foro temático. 10%
Encuentro Final 20%</t>
    </r>
  </si>
  <si>
    <r>
      <t xml:space="preserve">Bibliografía Obligatoria
</t>
    </r>
    <r>
      <rPr>
        <sz val="8"/>
        <color rgb="FF0070C0"/>
        <rFont val="Calibri"/>
        <family val="2"/>
        <scheme val="minor"/>
      </rPr>
      <t xml:space="preserve">
Hillier &amp; Lieberman, (2015). Investigación de Operaciones. Capítulo 18. Décima edición. Editorial Mc Graw Hill.
Krajewski, Ritzman &amp; Malhotr, (2013). Administración de Operaciones. Capítulo 9. Décima edición. Editorial Pearson
Cruz, A. (2017). Gestión de inventarios. UF0476. IC Editorial. 
Mora, L. (2012). Indicadores de la gestión Logística. Editorial ECOE. 
Benton, W. Jr. (2014). Purchasing and supply chain management. Editorial Mc
Graw Hill. Tercera edición.
Browersox, et. al. Administración y logística en la cadena de suministros. Editorial
Mc Graw Hill. Tercera edición.
Price Waterhouse Coopers. (2015). Retail Inventory Management. An intricate
balancing act. https://pwc.to/2HbexCG
Pérez, M., (2014). Almacenamiento de materiales: cómo diseñar y gestionar
almacenes optimizando todos los recursos de los procesos logísticos. Editorial
Marge Books
 </t>
    </r>
  </si>
  <si>
    <r>
      <rPr>
        <b/>
        <sz val="8"/>
        <color theme="1"/>
        <rFont val="Arial Narrow"/>
        <family val="2"/>
      </rPr>
      <t>Bibliografia Complementaria</t>
    </r>
    <r>
      <rPr>
        <sz val="8"/>
        <color theme="1"/>
        <rFont val="Arial Narrow"/>
        <family val="2"/>
      </rPr>
      <t xml:space="preserve">
</t>
    </r>
    <r>
      <rPr>
        <sz val="8"/>
        <color rgb="FF0070C0"/>
        <rFont val="Arial Narrow"/>
        <family val="2"/>
      </rPr>
      <t xml:space="preserve">
 ·  </t>
    </r>
  </si>
  <si>
    <t>Aplicar conocimiento avanzado en tecnologías emergentes e infraestructura logística inteligente por medio   del diseño, implementación y gestión de sistemas integrados que optimicen el flujo de información, energía y materiales, con la finalidad de promover la sostenibilidad, la trazabilidad y la innovación en la gestión de cadenas de suministro.”</t>
  </si>
  <si>
    <t>Implementar sistemas inteligentes de transporte, infraestructura y gestión de información, por medio  tecnologías emergentes, que permitan mejorar la visibilidad, la toma de decisiones y la descarbonización de la cadena de suministro</t>
  </si>
  <si>
    <t>Aplicar herramientas analíticas, modelos matemáticos y sistemas digitales en la gestión de inventarios con criterios que aseguren reducción de costos, mejora del nivel de servicio y eficiencia en el flujo de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</si>
</sst>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1"/>
      <color theme="1"/>
      <name val="Calibri"/>
      <family val="2"/>
      <scheme val="minor"/>
    </font>
    <font>
      <sz val="26"/>
      <color theme="1"/>
      <name val="Calibri"/>
      <family val="2"/>
      <scheme val="minor"/>
    </font>
    <font>
      <sz val="8"/>
      <color theme="1"/>
      <name val="Arial Narrow"/>
      <family val="2"/>
    </font>
    <font>
      <b/>
      <sz val="8"/>
      <color theme="1"/>
      <name val="Calibri"/>
      <family val="2"/>
      <scheme val="minor"/>
    </font>
    <font>
      <b/>
      <sz val="8"/>
      <color theme="1"/>
      <name val="Arial Narrow"/>
      <family val="2"/>
    </font>
    <font>
      <b/>
      <sz val="11"/>
      <color rgb="FF0070C0"/>
      <name val="Calibri"/>
      <family val="2"/>
      <scheme val="minor"/>
    </font>
    <font>
      <b/>
      <sz val="8"/>
      <color rgb="FF0070C0"/>
      <name val="Calibri"/>
      <family val="2"/>
      <scheme val="minor"/>
    </font>
    <font>
      <sz val="8"/>
      <color rgb="FF0070C0"/>
      <name val="Calibri"/>
      <family val="2"/>
      <scheme val="minor"/>
    </font>
    <font>
      <sz val="8"/>
      <color rgb="FF0070C0"/>
      <name val="Arial Narrow"/>
      <family val="2"/>
    </font>
    <font>
      <sz val="9"/>
      <color theme="1"/>
      <name val="Arial Narrow"/>
      <family val="2"/>
    </font>
    <font>
      <b/>
      <sz val="9"/>
      <color theme="1"/>
      <name val="Calibri"/>
      <family val="2"/>
      <scheme val="minor"/>
    </font>
    <font>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medium">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4" fillId="0" borderId="0" applyFont="0" applyFill="0" applyBorder="0" applyAlignment="0" applyProtection="0"/>
  </cellStyleXfs>
  <cellXfs count="101">
    <xf numFmtId="0" fontId="0" fillId="0" borderId="0" xfId="0"/>
    <xf numFmtId="0" fontId="0" fillId="0" borderId="0" xfId="0" applyAlignment="1">
      <alignment vertical="center"/>
    </xf>
    <xf numFmtId="0" fontId="0" fillId="0" borderId="1" xfId="0" applyBorder="1" applyAlignment="1">
      <alignment horizontal="center" vertical="center"/>
    </xf>
    <xf numFmtId="0" fontId="0" fillId="0" borderId="9" xfId="0" applyBorder="1" applyAlignment="1">
      <alignment horizontal="center" vertical="center"/>
    </xf>
    <xf numFmtId="0" fontId="0" fillId="0" borderId="6" xfId="0" applyBorder="1"/>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7" xfId="0" applyFont="1" applyBorder="1" applyAlignment="1">
      <alignment horizontal="center"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9" fontId="0" fillId="0" borderId="0" xfId="0" applyNumberFormat="1"/>
    <xf numFmtId="0" fontId="1" fillId="2" borderId="1" xfId="0" applyFont="1" applyFill="1" applyBorder="1" applyAlignment="1">
      <alignment horizontal="center" vertical="center"/>
    </xf>
    <xf numFmtId="0" fontId="0" fillId="2" borderId="0" xfId="0" applyFill="1"/>
    <xf numFmtId="0" fontId="0" fillId="3" borderId="6" xfId="0" applyFill="1" applyBorder="1" applyAlignment="1">
      <alignment horizontal="center" vertical="center"/>
    </xf>
    <xf numFmtId="0" fontId="0" fillId="3" borderId="1" xfId="0" applyFill="1" applyBorder="1" applyAlignment="1">
      <alignment horizontal="center" vertical="center"/>
    </xf>
    <xf numFmtId="0" fontId="0" fillId="3" borderId="8" xfId="0" applyFill="1" applyBorder="1" applyAlignment="1">
      <alignment horizontal="center" vertical="center"/>
    </xf>
    <xf numFmtId="9" fontId="0" fillId="0" borderId="6" xfId="1" applyFont="1" applyBorder="1"/>
    <xf numFmtId="0" fontId="0" fillId="0" borderId="17" xfId="0" applyBorder="1" applyAlignment="1"/>
    <xf numFmtId="0" fontId="0" fillId="0" borderId="18" xfId="0" applyBorder="1" applyAlignment="1"/>
    <xf numFmtId="0" fontId="0" fillId="0" borderId="19" xfId="0" applyBorder="1" applyAlignment="1"/>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0" fillId="3" borderId="1" xfId="0" applyFill="1" applyBorder="1" applyAlignment="1">
      <alignment horizontal="center" vertical="center" wrapText="1"/>
    </xf>
    <xf numFmtId="0" fontId="9" fillId="3" borderId="1" xfId="0" applyFont="1" applyFill="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wrapText="1"/>
    </xf>
    <xf numFmtId="0" fontId="1" fillId="0" borderId="1" xfId="0" applyFont="1" applyBorder="1" applyAlignment="1">
      <alignment horizontal="center" wrapText="1"/>
    </xf>
    <xf numFmtId="0" fontId="12" fillId="3" borderId="11" xfId="0" applyFont="1" applyFill="1" applyBorder="1" applyAlignment="1">
      <alignment horizontal="center" wrapText="1"/>
    </xf>
    <xf numFmtId="0" fontId="12" fillId="3" borderId="12" xfId="0" applyFont="1" applyFill="1" applyBorder="1" applyAlignment="1">
      <alignment horizontal="center" wrapText="1"/>
    </xf>
    <xf numFmtId="0" fontId="12" fillId="3" borderId="13" xfId="0" applyFont="1" applyFill="1" applyBorder="1" applyAlignment="1">
      <alignment horizontal="center" wrapText="1"/>
    </xf>
    <xf numFmtId="0" fontId="0" fillId="0" borderId="1" xfId="0" applyBorder="1" applyAlignment="1">
      <alignment horizontal="center"/>
    </xf>
    <xf numFmtId="0" fontId="5" fillId="3" borderId="1" xfId="0" applyFont="1" applyFill="1" applyBorder="1" applyAlignment="1">
      <alignment horizontal="center" vertical="center"/>
    </xf>
    <xf numFmtId="0" fontId="5" fillId="3" borderId="6" xfId="0" applyFont="1" applyFill="1" applyBorder="1" applyAlignment="1">
      <alignment horizontal="center" vertical="center"/>
    </xf>
    <xf numFmtId="0" fontId="1" fillId="0" borderId="5" xfId="0" applyFont="1" applyBorder="1" applyAlignment="1">
      <alignment horizontal="center"/>
    </xf>
    <xf numFmtId="0" fontId="1" fillId="0" borderId="1" xfId="0" applyFont="1" applyBorder="1" applyAlignment="1">
      <alignment horizontal="center"/>
    </xf>
    <xf numFmtId="0" fontId="1" fillId="0" borderId="6" xfId="0" applyFont="1" applyBorder="1" applyAlignment="1">
      <alignment horizontal="center"/>
    </xf>
    <xf numFmtId="0" fontId="0" fillId="0" borderId="1" xfId="0" applyBorder="1" applyAlignment="1">
      <alignment horizontal="center" vertical="center"/>
    </xf>
    <xf numFmtId="0" fontId="0" fillId="0" borderId="6" xfId="0" applyBorder="1" applyAlignment="1">
      <alignment horizontal="center" vertical="center"/>
    </xf>
    <xf numFmtId="0" fontId="12" fillId="3" borderId="14" xfId="0" applyFont="1" applyFill="1" applyBorder="1" applyAlignment="1">
      <alignment horizontal="center" wrapText="1"/>
    </xf>
    <xf numFmtId="0" fontId="12" fillId="3" borderId="15" xfId="0" applyFont="1" applyFill="1" applyBorder="1" applyAlignment="1">
      <alignment horizontal="center" wrapText="1"/>
    </xf>
    <xf numFmtId="0" fontId="12" fillId="3" borderId="16" xfId="0" applyFont="1" applyFill="1" applyBorder="1" applyAlignment="1">
      <alignment horizontal="center" wrapText="1"/>
    </xf>
    <xf numFmtId="0" fontId="14" fillId="3" borderId="17" xfId="0" applyFont="1" applyFill="1" applyBorder="1" applyAlignment="1">
      <alignment horizontal="center"/>
    </xf>
    <xf numFmtId="0" fontId="14" fillId="3" borderId="18" xfId="0" applyFont="1" applyFill="1" applyBorder="1" applyAlignment="1">
      <alignment horizontal="center"/>
    </xf>
    <xf numFmtId="0" fontId="14" fillId="3" borderId="19" xfId="0" applyFont="1" applyFill="1" applyBorder="1" applyAlignment="1">
      <alignment horizontal="center"/>
    </xf>
    <xf numFmtId="0" fontId="1" fillId="0" borderId="5" xfId="0" applyFont="1" applyBorder="1" applyAlignment="1">
      <alignment horizontal="center" vertical="center" wrapText="1"/>
    </xf>
    <xf numFmtId="0" fontId="1" fillId="0" borderId="1"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1" fillId="0" borderId="2" xfId="0" applyFont="1" applyBorder="1" applyAlignment="1">
      <alignment horizontal="center"/>
    </xf>
    <xf numFmtId="0" fontId="0" fillId="0" borderId="5" xfId="0" applyBorder="1" applyAlignment="1">
      <alignment horizontal="center" wrapText="1"/>
    </xf>
    <xf numFmtId="0" fontId="0" fillId="0" borderId="1" xfId="0" applyBorder="1" applyAlignment="1">
      <alignment horizontal="center" wrapText="1"/>
    </xf>
    <xf numFmtId="0" fontId="0" fillId="0" borderId="6" xfId="0" applyBorder="1" applyAlignment="1">
      <alignment horizontal="center" wrapText="1"/>
    </xf>
    <xf numFmtId="0" fontId="7" fillId="3" borderId="5" xfId="0" applyFont="1" applyFill="1" applyBorder="1" applyAlignment="1">
      <alignment horizontal="left" vertical="top" wrapText="1"/>
    </xf>
    <xf numFmtId="0" fontId="7" fillId="3" borderId="1" xfId="0" applyFont="1" applyFill="1" applyBorder="1" applyAlignment="1">
      <alignment horizontal="left" vertical="top"/>
    </xf>
    <xf numFmtId="0" fontId="7" fillId="3" borderId="5" xfId="0" applyFont="1" applyFill="1" applyBorder="1" applyAlignment="1">
      <alignment horizontal="left" vertical="top"/>
    </xf>
    <xf numFmtId="0" fontId="7" fillId="3" borderId="7" xfId="0" applyFont="1" applyFill="1" applyBorder="1" applyAlignment="1">
      <alignment horizontal="left" vertical="top"/>
    </xf>
    <xf numFmtId="0" fontId="7" fillId="3" borderId="8" xfId="0" applyFont="1" applyFill="1" applyBorder="1" applyAlignment="1">
      <alignment horizontal="left" vertical="top"/>
    </xf>
    <xf numFmtId="0" fontId="1" fillId="3" borderId="1" xfId="0" applyFont="1" applyFill="1" applyBorder="1" applyAlignment="1">
      <alignment horizontal="left" vertical="top" wrapText="1"/>
    </xf>
    <xf numFmtId="0" fontId="1" fillId="3" borderId="1" xfId="0" applyFont="1" applyFill="1" applyBorder="1" applyAlignment="1">
      <alignment horizontal="left" vertical="top"/>
    </xf>
    <xf numFmtId="0" fontId="1" fillId="3" borderId="6" xfId="0" applyFont="1" applyFill="1" applyBorder="1" applyAlignment="1">
      <alignment horizontal="left" vertical="top"/>
    </xf>
    <xf numFmtId="0" fontId="1" fillId="3" borderId="8" xfId="0" applyFont="1" applyFill="1" applyBorder="1" applyAlignment="1">
      <alignment horizontal="left" vertical="top"/>
    </xf>
    <xf numFmtId="0" fontId="1" fillId="3" borderId="9" xfId="0" applyFont="1" applyFill="1" applyBorder="1" applyAlignment="1">
      <alignment horizontal="left" vertical="top"/>
    </xf>
    <xf numFmtId="0" fontId="1" fillId="0" borderId="10" xfId="0" applyFont="1" applyBorder="1" applyAlignment="1">
      <alignment horizontal="center"/>
    </xf>
    <xf numFmtId="0" fontId="6" fillId="3" borderId="1" xfId="0" applyFont="1" applyFill="1" applyBorder="1" applyAlignment="1">
      <alignment horizontal="left" vertical="top" wrapText="1"/>
    </xf>
    <xf numFmtId="0" fontId="6" fillId="3" borderId="1" xfId="0" applyFont="1" applyFill="1" applyBorder="1" applyAlignment="1">
      <alignment horizontal="left" vertical="top"/>
    </xf>
    <xf numFmtId="0" fontId="6" fillId="3" borderId="6" xfId="0" applyFont="1" applyFill="1" applyBorder="1" applyAlignment="1">
      <alignment horizontal="left" vertical="top"/>
    </xf>
    <xf numFmtId="0" fontId="6" fillId="3" borderId="8" xfId="0" applyFont="1" applyFill="1" applyBorder="1" applyAlignment="1">
      <alignment horizontal="left" vertical="top"/>
    </xf>
    <xf numFmtId="0" fontId="6" fillId="3" borderId="9" xfId="0" applyFont="1" applyFill="1" applyBorder="1" applyAlignment="1">
      <alignment horizontal="left" vertical="top"/>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3" borderId="20" xfId="0" applyFill="1" applyBorder="1" applyAlignment="1">
      <alignment horizontal="left" vertical="top" wrapText="1"/>
    </xf>
    <xf numFmtId="0" fontId="0" fillId="3" borderId="12" xfId="0" applyFill="1" applyBorder="1" applyAlignment="1">
      <alignment horizontal="left" vertical="top" wrapText="1"/>
    </xf>
    <xf numFmtId="0" fontId="0" fillId="3" borderId="21" xfId="0" applyFill="1" applyBorder="1" applyAlignment="1">
      <alignment horizontal="left" vertical="top" wrapText="1"/>
    </xf>
    <xf numFmtId="0" fontId="0" fillId="3" borderId="22" xfId="0" applyFill="1" applyBorder="1" applyAlignment="1">
      <alignment horizontal="left" vertical="top" wrapText="1"/>
    </xf>
    <xf numFmtId="0" fontId="0" fillId="3" borderId="0" xfId="0" applyFill="1" applyBorder="1" applyAlignment="1">
      <alignment horizontal="left" vertical="top" wrapText="1"/>
    </xf>
    <xf numFmtId="0" fontId="0" fillId="3" borderId="23" xfId="0" applyFill="1" applyBorder="1" applyAlignment="1">
      <alignment horizontal="left" vertical="top" wrapText="1"/>
    </xf>
    <xf numFmtId="0" fontId="0" fillId="3" borderId="24" xfId="0" applyFill="1" applyBorder="1" applyAlignment="1">
      <alignment horizontal="left" vertical="top" wrapText="1"/>
    </xf>
    <xf numFmtId="0" fontId="0" fillId="3" borderId="15" xfId="0" applyFill="1" applyBorder="1" applyAlignment="1">
      <alignment horizontal="left" vertical="top" wrapText="1"/>
    </xf>
    <xf numFmtId="0" fontId="0" fillId="3" borderId="25" xfId="0" applyFill="1" applyBorder="1" applyAlignment="1">
      <alignment horizontal="left" vertical="top" wrapText="1"/>
    </xf>
    <xf numFmtId="0" fontId="0" fillId="0" borderId="8" xfId="0" applyBorder="1" applyAlignment="1">
      <alignment horizontal="center"/>
    </xf>
    <xf numFmtId="0" fontId="12" fillId="3" borderId="11" xfId="0" applyFont="1" applyFill="1" applyBorder="1" applyAlignment="1">
      <alignment horizontal="center" vertical="top" wrapText="1"/>
    </xf>
    <xf numFmtId="0" fontId="12" fillId="3" borderId="12" xfId="0" applyFont="1" applyFill="1" applyBorder="1" applyAlignment="1">
      <alignment horizontal="center" vertical="top" wrapText="1"/>
    </xf>
    <xf numFmtId="0" fontId="12" fillId="3" borderId="13" xfId="0" applyFont="1" applyFill="1" applyBorder="1" applyAlignment="1">
      <alignment horizontal="center" vertical="top" wrapText="1"/>
    </xf>
    <xf numFmtId="0" fontId="12" fillId="3" borderId="14" xfId="0" applyFont="1" applyFill="1" applyBorder="1" applyAlignment="1">
      <alignment horizontal="center" vertical="top" wrapText="1"/>
    </xf>
    <xf numFmtId="0" fontId="12" fillId="3" borderId="15" xfId="0" applyFont="1" applyFill="1" applyBorder="1" applyAlignment="1">
      <alignment horizontal="center" vertical="top" wrapText="1"/>
    </xf>
    <xf numFmtId="0" fontId="12" fillId="3" borderId="16" xfId="0" applyFont="1" applyFill="1" applyBorder="1" applyAlignment="1">
      <alignment horizontal="center" vertical="top"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3A66E62C-4E8C-4878-B5CE-3D463FA2E25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222500" cy="4857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ADC3D-A3A8-44DE-A9BB-BCDEA6AF9E5B}">
  <dimension ref="A1:J80"/>
  <sheetViews>
    <sheetView tabSelected="1" topLeftCell="A15" zoomScale="115" zoomScaleNormal="115" zoomScalePageLayoutView="130" workbookViewId="0">
      <selection activeCell="C17" sqref="C17:H18"/>
    </sheetView>
  </sheetViews>
  <sheetFormatPr baseColWidth="10" defaultRowHeight="15" x14ac:dyDescent="0.25"/>
  <cols>
    <col min="4" max="4" width="16.42578125" bestFit="1" customWidth="1"/>
  </cols>
  <sheetData>
    <row r="1" spans="1:8" x14ac:dyDescent="0.25">
      <c r="A1" s="21" t="s">
        <v>0</v>
      </c>
      <c r="B1" s="22"/>
      <c r="C1" s="22"/>
      <c r="D1" s="22"/>
      <c r="E1" s="22"/>
      <c r="F1" s="22"/>
      <c r="G1" s="22"/>
      <c r="H1" s="23"/>
    </row>
    <row r="2" spans="1:8" x14ac:dyDescent="0.25">
      <c r="A2" s="24"/>
      <c r="B2" s="25"/>
      <c r="C2" s="25"/>
      <c r="D2" s="25"/>
      <c r="E2" s="25"/>
      <c r="F2" s="25"/>
      <c r="G2" s="25"/>
      <c r="H2" s="26"/>
    </row>
    <row r="3" spans="1:8" ht="15.75" thickBot="1" x14ac:dyDescent="0.3">
      <c r="A3" s="27"/>
      <c r="B3" s="28"/>
      <c r="C3" s="28"/>
      <c r="D3" s="28"/>
      <c r="E3" s="28"/>
      <c r="F3" s="28"/>
      <c r="G3" s="28"/>
      <c r="H3" s="29"/>
    </row>
    <row r="4" spans="1:8" x14ac:dyDescent="0.25">
      <c r="A4" s="21" t="s">
        <v>1</v>
      </c>
      <c r="B4" s="22"/>
      <c r="C4" s="22"/>
      <c r="D4" s="22"/>
      <c r="E4" s="22"/>
      <c r="F4" s="22"/>
      <c r="G4" s="22"/>
      <c r="H4" s="23"/>
    </row>
    <row r="5" spans="1:8" s="1" customFormat="1" ht="45" x14ac:dyDescent="0.25">
      <c r="A5" s="5" t="s">
        <v>2</v>
      </c>
      <c r="B5" s="15">
        <v>2025</v>
      </c>
      <c r="C5" s="8" t="s">
        <v>3</v>
      </c>
      <c r="D5" s="15" t="s">
        <v>72</v>
      </c>
      <c r="E5" s="8" t="s">
        <v>4</v>
      </c>
      <c r="F5" s="15" t="s">
        <v>62</v>
      </c>
      <c r="G5" s="8" t="s">
        <v>5</v>
      </c>
      <c r="H5" s="14" t="s">
        <v>41</v>
      </c>
    </row>
    <row r="6" spans="1:8" ht="73.5" customHeight="1" x14ac:dyDescent="0.25">
      <c r="A6" s="10" t="s">
        <v>45</v>
      </c>
      <c r="B6" s="2" t="s">
        <v>47</v>
      </c>
      <c r="C6" s="6" t="s">
        <v>6</v>
      </c>
      <c r="D6" s="30" t="s">
        <v>63</v>
      </c>
      <c r="E6" s="30"/>
      <c r="F6" s="8" t="s">
        <v>7</v>
      </c>
      <c r="G6" s="31" t="s">
        <v>73</v>
      </c>
      <c r="H6" s="31"/>
    </row>
    <row r="7" spans="1:8" ht="45.75" thickBot="1" x14ac:dyDescent="0.3">
      <c r="A7" s="7" t="s">
        <v>8</v>
      </c>
      <c r="B7" s="16">
        <v>3</v>
      </c>
      <c r="C7" s="9" t="s">
        <v>9</v>
      </c>
      <c r="D7" s="16">
        <v>36</v>
      </c>
      <c r="E7" s="9" t="s">
        <v>10</v>
      </c>
      <c r="F7" s="16">
        <v>108</v>
      </c>
      <c r="G7" s="9" t="s">
        <v>11</v>
      </c>
      <c r="H7" s="3">
        <f>D7+F7</f>
        <v>144</v>
      </c>
    </row>
    <row r="8" spans="1:8" x14ac:dyDescent="0.25">
      <c r="A8" s="32" t="s">
        <v>12</v>
      </c>
      <c r="B8" s="33"/>
      <c r="C8" s="33"/>
      <c r="D8" s="33"/>
      <c r="E8" s="33"/>
      <c r="F8" s="33"/>
      <c r="G8" s="33"/>
      <c r="H8" s="34"/>
    </row>
    <row r="9" spans="1:8" x14ac:dyDescent="0.25">
      <c r="A9" s="35" t="s">
        <v>15</v>
      </c>
      <c r="B9" s="36"/>
      <c r="C9" s="25" t="s">
        <v>14</v>
      </c>
      <c r="D9" s="40"/>
      <c r="E9" s="40"/>
      <c r="F9" s="25" t="s">
        <v>13</v>
      </c>
      <c r="G9" s="41" t="s">
        <v>64</v>
      </c>
      <c r="H9" s="42"/>
    </row>
    <row r="10" spans="1:8" ht="32.1" customHeight="1" x14ac:dyDescent="0.25">
      <c r="A10" s="35"/>
      <c r="B10" s="36"/>
      <c r="C10" s="25"/>
      <c r="D10" s="40"/>
      <c r="E10" s="40"/>
      <c r="F10" s="25"/>
      <c r="G10" s="41"/>
      <c r="H10" s="42"/>
    </row>
    <row r="11" spans="1:8" x14ac:dyDescent="0.25">
      <c r="A11" s="43" t="s">
        <v>61</v>
      </c>
      <c r="B11" s="44"/>
      <c r="C11" s="44"/>
      <c r="D11" s="44"/>
      <c r="E11" s="44"/>
      <c r="F11" s="44"/>
      <c r="G11" s="44"/>
      <c r="H11" s="45"/>
    </row>
    <row r="12" spans="1:8" x14ac:dyDescent="0.25">
      <c r="A12" s="5" t="s">
        <v>16</v>
      </c>
      <c r="B12" s="46"/>
      <c r="C12" s="46"/>
      <c r="D12" s="6" t="s">
        <v>17</v>
      </c>
      <c r="E12" s="2"/>
      <c r="F12" s="6" t="s">
        <v>18</v>
      </c>
      <c r="G12" s="46"/>
      <c r="H12" s="47"/>
    </row>
    <row r="13" spans="1:8" x14ac:dyDescent="0.25">
      <c r="A13" s="43" t="s">
        <v>19</v>
      </c>
      <c r="B13" s="44"/>
      <c r="C13" s="44"/>
      <c r="D13" s="44"/>
      <c r="E13" s="44"/>
      <c r="F13" s="44"/>
      <c r="G13" s="44"/>
      <c r="H13" s="45"/>
    </row>
    <row r="14" spans="1:8" ht="15" customHeight="1" x14ac:dyDescent="0.25">
      <c r="A14" s="35" t="s">
        <v>20</v>
      </c>
      <c r="B14" s="36"/>
      <c r="C14" s="95" t="s">
        <v>74</v>
      </c>
      <c r="D14" s="96"/>
      <c r="E14" s="96"/>
      <c r="F14" s="96"/>
      <c r="G14" s="96"/>
      <c r="H14" s="97"/>
    </row>
    <row r="15" spans="1:8" ht="68.25" customHeight="1" x14ac:dyDescent="0.25">
      <c r="A15" s="35"/>
      <c r="B15" s="36"/>
      <c r="C15" s="98"/>
      <c r="D15" s="99"/>
      <c r="E15" s="99"/>
      <c r="F15" s="99"/>
      <c r="G15" s="99"/>
      <c r="H15" s="100"/>
    </row>
    <row r="16" spans="1:8" ht="61.5" customHeight="1" x14ac:dyDescent="0.25">
      <c r="A16" s="35" t="s">
        <v>21</v>
      </c>
      <c r="B16" s="36"/>
      <c r="C16" s="37" t="s">
        <v>79</v>
      </c>
      <c r="D16" s="38"/>
      <c r="E16" s="38"/>
      <c r="F16" s="38"/>
      <c r="G16" s="38"/>
      <c r="H16" s="39"/>
    </row>
    <row r="17" spans="1:10" x14ac:dyDescent="0.25">
      <c r="A17" s="35" t="s">
        <v>22</v>
      </c>
      <c r="B17" s="36"/>
      <c r="C17" s="37" t="s">
        <v>80</v>
      </c>
      <c r="D17" s="38"/>
      <c r="E17" s="38"/>
      <c r="F17" s="38"/>
      <c r="G17" s="38"/>
      <c r="H17" s="39"/>
    </row>
    <row r="18" spans="1:10" ht="78" customHeight="1" x14ac:dyDescent="0.25">
      <c r="A18" s="35"/>
      <c r="B18" s="36"/>
      <c r="C18" s="48"/>
      <c r="D18" s="49"/>
      <c r="E18" s="49"/>
      <c r="F18" s="49"/>
      <c r="G18" s="49"/>
      <c r="H18" s="50"/>
    </row>
    <row r="19" spans="1:10" ht="15" customHeight="1" x14ac:dyDescent="0.25">
      <c r="A19" s="35" t="s">
        <v>23</v>
      </c>
      <c r="B19" s="36"/>
      <c r="C19" s="37" t="s">
        <v>81</v>
      </c>
      <c r="D19" s="38"/>
      <c r="E19" s="38"/>
      <c r="F19" s="38"/>
      <c r="G19" s="38"/>
      <c r="H19" s="39"/>
    </row>
    <row r="20" spans="1:10" ht="24.75" customHeight="1" x14ac:dyDescent="0.25">
      <c r="A20" s="35"/>
      <c r="B20" s="36"/>
      <c r="C20" s="48"/>
      <c r="D20" s="49"/>
      <c r="E20" s="49"/>
      <c r="F20" s="49"/>
      <c r="G20" s="49"/>
      <c r="H20" s="50"/>
    </row>
    <row r="21" spans="1:10" x14ac:dyDescent="0.25">
      <c r="A21" s="24" t="s">
        <v>24</v>
      </c>
      <c r="B21" s="25"/>
      <c r="C21" s="51" t="s">
        <v>67</v>
      </c>
      <c r="D21" s="52"/>
      <c r="E21" s="52"/>
      <c r="F21" s="52"/>
      <c r="G21" s="52"/>
      <c r="H21" s="53"/>
    </row>
    <row r="22" spans="1:10" x14ac:dyDescent="0.25">
      <c r="A22" s="24"/>
      <c r="B22" s="25"/>
      <c r="C22" s="51" t="s">
        <v>68</v>
      </c>
      <c r="D22" s="52"/>
      <c r="E22" s="52"/>
      <c r="F22" s="52"/>
      <c r="G22" s="52"/>
      <c r="H22" s="53"/>
    </row>
    <row r="23" spans="1:10" x14ac:dyDescent="0.25">
      <c r="A23" s="24"/>
      <c r="B23" s="25"/>
      <c r="C23" s="51" t="s">
        <v>69</v>
      </c>
      <c r="D23" s="52"/>
      <c r="E23" s="52"/>
      <c r="F23" s="52"/>
      <c r="G23" s="52"/>
      <c r="H23" s="53"/>
    </row>
    <row r="24" spans="1:10" x14ac:dyDescent="0.25">
      <c r="A24" s="24"/>
      <c r="B24" s="25"/>
      <c r="C24" s="51" t="s">
        <v>70</v>
      </c>
      <c r="D24" s="52"/>
      <c r="E24" s="52"/>
      <c r="F24" s="52"/>
      <c r="G24" s="52"/>
      <c r="H24" s="53"/>
    </row>
    <row r="25" spans="1:10" x14ac:dyDescent="0.25">
      <c r="A25" s="24"/>
      <c r="B25" s="25"/>
      <c r="C25" s="18"/>
      <c r="D25" s="19"/>
      <c r="E25" s="19"/>
      <c r="F25" s="19"/>
      <c r="G25" s="19"/>
      <c r="H25" s="20"/>
    </row>
    <row r="26" spans="1:10" x14ac:dyDescent="0.25">
      <c r="A26" s="24"/>
      <c r="B26" s="25"/>
      <c r="C26" s="18"/>
      <c r="D26" s="19"/>
      <c r="E26" s="19"/>
      <c r="F26" s="19"/>
      <c r="G26" s="19"/>
      <c r="H26" s="20"/>
    </row>
    <row r="27" spans="1:10" ht="24.6" customHeight="1" x14ac:dyDescent="0.25">
      <c r="A27" s="54" t="s">
        <v>34</v>
      </c>
      <c r="B27" s="55"/>
      <c r="C27" s="6" t="s">
        <v>25</v>
      </c>
      <c r="D27" s="15" t="s">
        <v>64</v>
      </c>
      <c r="E27" s="6" t="s">
        <v>26</v>
      </c>
      <c r="F27" s="15" t="s">
        <v>64</v>
      </c>
      <c r="G27" s="6" t="s">
        <v>27</v>
      </c>
      <c r="H27" s="15" t="s">
        <v>64</v>
      </c>
    </row>
    <row r="28" spans="1:10" ht="18.600000000000001" customHeight="1" x14ac:dyDescent="0.25">
      <c r="A28" s="54"/>
      <c r="B28" s="55"/>
      <c r="C28" s="12" t="s">
        <v>28</v>
      </c>
      <c r="D28" s="15" t="s">
        <v>64</v>
      </c>
      <c r="E28" s="6" t="s">
        <v>29</v>
      </c>
      <c r="F28" s="15" t="s">
        <v>64</v>
      </c>
      <c r="G28" s="6" t="s">
        <v>30</v>
      </c>
      <c r="H28" s="15" t="s">
        <v>64</v>
      </c>
      <c r="I28" s="13"/>
      <c r="J28" s="13"/>
    </row>
    <row r="29" spans="1:10" ht="78.95" customHeight="1" x14ac:dyDescent="0.25">
      <c r="A29" s="54"/>
      <c r="B29" s="55"/>
      <c r="C29" s="6" t="s">
        <v>31</v>
      </c>
      <c r="D29" s="15" t="s">
        <v>64</v>
      </c>
      <c r="E29" s="6" t="s">
        <v>32</v>
      </c>
      <c r="F29" s="15" t="s">
        <v>64</v>
      </c>
      <c r="G29" s="6" t="s">
        <v>33</v>
      </c>
      <c r="H29" s="15" t="s">
        <v>64</v>
      </c>
    </row>
    <row r="30" spans="1:10" ht="14.45" customHeight="1" x14ac:dyDescent="0.25">
      <c r="A30" s="56" t="s">
        <v>35</v>
      </c>
      <c r="B30" s="57"/>
      <c r="C30" s="57"/>
      <c r="D30" s="57"/>
      <c r="E30" s="57"/>
      <c r="F30" s="57"/>
      <c r="G30" s="57"/>
      <c r="H30" s="58"/>
    </row>
    <row r="31" spans="1:10" x14ac:dyDescent="0.25">
      <c r="A31" s="56"/>
      <c r="B31" s="57"/>
      <c r="C31" s="57"/>
      <c r="D31" s="57"/>
      <c r="E31" s="57"/>
      <c r="F31" s="57"/>
      <c r="G31" s="57"/>
      <c r="H31" s="58"/>
    </row>
    <row r="32" spans="1:10" x14ac:dyDescent="0.25">
      <c r="A32" s="56"/>
      <c r="B32" s="57"/>
      <c r="C32" s="57"/>
      <c r="D32" s="57"/>
      <c r="E32" s="57"/>
      <c r="F32" s="57"/>
      <c r="G32" s="57"/>
      <c r="H32" s="58"/>
    </row>
    <row r="33" spans="1:8" x14ac:dyDescent="0.25">
      <c r="A33" s="56"/>
      <c r="B33" s="57"/>
      <c r="C33" s="57"/>
      <c r="D33" s="57"/>
      <c r="E33" s="57"/>
      <c r="F33" s="57"/>
      <c r="G33" s="57"/>
      <c r="H33" s="58"/>
    </row>
    <row r="34" spans="1:8" ht="15.75" thickBot="1" x14ac:dyDescent="0.3">
      <c r="A34" s="59"/>
      <c r="B34" s="60"/>
      <c r="C34" s="60"/>
      <c r="D34" s="60"/>
      <c r="E34" s="60"/>
      <c r="F34" s="60"/>
      <c r="G34" s="60"/>
      <c r="H34" s="61"/>
    </row>
    <row r="35" spans="1:8" x14ac:dyDescent="0.25">
      <c r="A35" s="62" t="s">
        <v>36</v>
      </c>
      <c r="B35" s="33"/>
      <c r="C35" s="33"/>
      <c r="D35" s="33"/>
      <c r="E35" s="33"/>
      <c r="F35" s="33"/>
      <c r="G35" s="33"/>
      <c r="H35" s="34"/>
    </row>
    <row r="36" spans="1:8" x14ac:dyDescent="0.25">
      <c r="A36" s="63" t="s">
        <v>60</v>
      </c>
      <c r="B36" s="64"/>
      <c r="C36" s="64"/>
      <c r="D36" s="64"/>
      <c r="E36" s="64"/>
      <c r="F36" s="64"/>
      <c r="G36" s="64"/>
      <c r="H36" s="65"/>
    </row>
    <row r="37" spans="1:8" x14ac:dyDescent="0.25">
      <c r="A37" s="63"/>
      <c r="B37" s="64"/>
      <c r="C37" s="64"/>
      <c r="D37" s="64"/>
      <c r="E37" s="64"/>
      <c r="F37" s="64"/>
      <c r="G37" s="64"/>
      <c r="H37" s="65"/>
    </row>
    <row r="38" spans="1:8" x14ac:dyDescent="0.25">
      <c r="A38" s="63"/>
      <c r="B38" s="64"/>
      <c r="C38" s="64"/>
      <c r="D38" s="64"/>
      <c r="E38" s="64"/>
      <c r="F38" s="64"/>
      <c r="G38" s="64"/>
      <c r="H38" s="65"/>
    </row>
    <row r="39" spans="1:8" x14ac:dyDescent="0.25">
      <c r="A39" s="66" t="s">
        <v>75</v>
      </c>
      <c r="B39" s="67"/>
      <c r="C39" s="67"/>
      <c r="D39" s="67"/>
      <c r="E39" s="71" t="s">
        <v>66</v>
      </c>
      <c r="F39" s="72"/>
      <c r="G39" s="72"/>
      <c r="H39" s="73"/>
    </row>
    <row r="40" spans="1:8" x14ac:dyDescent="0.25">
      <c r="A40" s="68"/>
      <c r="B40" s="67"/>
      <c r="C40" s="67"/>
      <c r="D40" s="67"/>
      <c r="E40" s="72"/>
      <c r="F40" s="72"/>
      <c r="G40" s="72"/>
      <c r="H40" s="73"/>
    </row>
    <row r="41" spans="1:8" x14ac:dyDescent="0.25">
      <c r="A41" s="68"/>
      <c r="B41" s="67"/>
      <c r="C41" s="67"/>
      <c r="D41" s="67"/>
      <c r="E41" s="72"/>
      <c r="F41" s="72"/>
      <c r="G41" s="72"/>
      <c r="H41" s="73"/>
    </row>
    <row r="42" spans="1:8" x14ac:dyDescent="0.25">
      <c r="A42" s="68"/>
      <c r="B42" s="67"/>
      <c r="C42" s="67"/>
      <c r="D42" s="67"/>
      <c r="E42" s="72"/>
      <c r="F42" s="72"/>
      <c r="G42" s="72"/>
      <c r="H42" s="73"/>
    </row>
    <row r="43" spans="1:8" x14ac:dyDescent="0.25">
      <c r="A43" s="68"/>
      <c r="B43" s="67"/>
      <c r="C43" s="67"/>
      <c r="D43" s="67"/>
      <c r="E43" s="72"/>
      <c r="F43" s="72"/>
      <c r="G43" s="72"/>
      <c r="H43" s="73"/>
    </row>
    <row r="44" spans="1:8" x14ac:dyDescent="0.25">
      <c r="A44" s="68"/>
      <c r="B44" s="67"/>
      <c r="C44" s="67"/>
      <c r="D44" s="67"/>
      <c r="E44" s="72"/>
      <c r="F44" s="72"/>
      <c r="G44" s="72"/>
      <c r="H44" s="73"/>
    </row>
    <row r="45" spans="1:8" x14ac:dyDescent="0.25">
      <c r="A45" s="68"/>
      <c r="B45" s="67"/>
      <c r="C45" s="67"/>
      <c r="D45" s="67"/>
      <c r="E45" s="72"/>
      <c r="F45" s="72"/>
      <c r="G45" s="72"/>
      <c r="H45" s="73"/>
    </row>
    <row r="46" spans="1:8" x14ac:dyDescent="0.25">
      <c r="A46" s="68"/>
      <c r="B46" s="67"/>
      <c r="C46" s="67"/>
      <c r="D46" s="67"/>
      <c r="E46" s="72"/>
      <c r="F46" s="72"/>
      <c r="G46" s="72"/>
      <c r="H46" s="73"/>
    </row>
    <row r="47" spans="1:8" ht="56.25" customHeight="1" thickBot="1" x14ac:dyDescent="0.3">
      <c r="A47" s="69"/>
      <c r="B47" s="70"/>
      <c r="C47" s="70"/>
      <c r="D47" s="70"/>
      <c r="E47" s="74"/>
      <c r="F47" s="74"/>
      <c r="G47" s="74"/>
      <c r="H47" s="75"/>
    </row>
    <row r="48" spans="1:8" x14ac:dyDescent="0.25">
      <c r="A48" s="82" t="s">
        <v>37</v>
      </c>
      <c r="B48" s="83"/>
      <c r="C48" s="83"/>
      <c r="D48" s="83"/>
      <c r="E48" s="83"/>
      <c r="F48" s="83"/>
      <c r="G48" s="83"/>
      <c r="H48" s="84"/>
    </row>
    <row r="49" spans="1:8" ht="15" customHeight="1" x14ac:dyDescent="0.25">
      <c r="A49" s="85" t="s">
        <v>76</v>
      </c>
      <c r="B49" s="86"/>
      <c r="C49" s="86"/>
      <c r="D49" s="87"/>
      <c r="E49" s="71" t="s">
        <v>71</v>
      </c>
      <c r="F49" s="72"/>
      <c r="G49" s="72"/>
      <c r="H49" s="73"/>
    </row>
    <row r="50" spans="1:8" x14ac:dyDescent="0.25">
      <c r="A50" s="88"/>
      <c r="B50" s="89"/>
      <c r="C50" s="89"/>
      <c r="D50" s="90"/>
      <c r="E50" s="72"/>
      <c r="F50" s="72"/>
      <c r="G50" s="72"/>
      <c r="H50" s="73"/>
    </row>
    <row r="51" spans="1:8" x14ac:dyDescent="0.25">
      <c r="A51" s="88"/>
      <c r="B51" s="89"/>
      <c r="C51" s="89"/>
      <c r="D51" s="90"/>
      <c r="E51" s="72"/>
      <c r="F51" s="72"/>
      <c r="G51" s="72"/>
      <c r="H51" s="73"/>
    </row>
    <row r="52" spans="1:8" x14ac:dyDescent="0.25">
      <c r="A52" s="88"/>
      <c r="B52" s="89"/>
      <c r="C52" s="89"/>
      <c r="D52" s="90"/>
      <c r="E52" s="72"/>
      <c r="F52" s="72"/>
      <c r="G52" s="72"/>
      <c r="H52" s="73"/>
    </row>
    <row r="53" spans="1:8" x14ac:dyDescent="0.25">
      <c r="A53" s="88"/>
      <c r="B53" s="89"/>
      <c r="C53" s="89"/>
      <c r="D53" s="90"/>
      <c r="E53" s="72"/>
      <c r="F53" s="72"/>
      <c r="G53" s="72"/>
      <c r="H53" s="73"/>
    </row>
    <row r="54" spans="1:8" x14ac:dyDescent="0.25">
      <c r="A54" s="88"/>
      <c r="B54" s="89"/>
      <c r="C54" s="89"/>
      <c r="D54" s="90"/>
      <c r="E54" s="72"/>
      <c r="F54" s="72"/>
      <c r="G54" s="72"/>
      <c r="H54" s="73"/>
    </row>
    <row r="55" spans="1:8" x14ac:dyDescent="0.25">
      <c r="A55" s="88"/>
      <c r="B55" s="89"/>
      <c r="C55" s="89"/>
      <c r="D55" s="90"/>
      <c r="E55" s="72"/>
      <c r="F55" s="72"/>
      <c r="G55" s="72"/>
      <c r="H55" s="73"/>
    </row>
    <row r="56" spans="1:8" x14ac:dyDescent="0.25">
      <c r="A56" s="88"/>
      <c r="B56" s="89"/>
      <c r="C56" s="89"/>
      <c r="D56" s="90"/>
      <c r="E56" s="72"/>
      <c r="F56" s="72"/>
      <c r="G56" s="72"/>
      <c r="H56" s="73"/>
    </row>
    <row r="57" spans="1:8" x14ac:dyDescent="0.25">
      <c r="A57" s="88"/>
      <c r="B57" s="89"/>
      <c r="C57" s="89"/>
      <c r="D57" s="90"/>
      <c r="E57" s="72"/>
      <c r="F57" s="72"/>
      <c r="G57" s="72"/>
      <c r="H57" s="73"/>
    </row>
    <row r="58" spans="1:8" x14ac:dyDescent="0.25">
      <c r="A58" s="88"/>
      <c r="B58" s="89"/>
      <c r="C58" s="89"/>
      <c r="D58" s="90"/>
      <c r="E58" s="72"/>
      <c r="F58" s="72"/>
      <c r="G58" s="72"/>
      <c r="H58" s="73"/>
    </row>
    <row r="59" spans="1:8" ht="25.5" customHeight="1" x14ac:dyDescent="0.25">
      <c r="A59" s="91"/>
      <c r="B59" s="92"/>
      <c r="C59" s="92"/>
      <c r="D59" s="93"/>
      <c r="E59" s="72"/>
      <c r="F59" s="72"/>
      <c r="G59" s="72"/>
      <c r="H59" s="73"/>
    </row>
    <row r="60" spans="1:8" x14ac:dyDescent="0.25">
      <c r="A60" s="24" t="s">
        <v>38</v>
      </c>
      <c r="B60" s="25"/>
      <c r="C60" s="25"/>
      <c r="D60" s="25"/>
      <c r="E60" s="40" t="s">
        <v>65</v>
      </c>
      <c r="F60" s="40"/>
      <c r="G60" s="25" t="s">
        <v>39</v>
      </c>
      <c r="H60" s="17">
        <v>0.4</v>
      </c>
    </row>
    <row r="61" spans="1:8" x14ac:dyDescent="0.25">
      <c r="A61" s="24"/>
      <c r="B61" s="25"/>
      <c r="C61" s="25"/>
      <c r="D61" s="25"/>
      <c r="E61" s="40"/>
      <c r="F61" s="40"/>
      <c r="G61" s="25"/>
      <c r="H61" s="4"/>
    </row>
    <row r="62" spans="1:8" x14ac:dyDescent="0.25">
      <c r="A62" s="24"/>
      <c r="B62" s="25"/>
      <c r="C62" s="25"/>
      <c r="D62" s="25"/>
      <c r="E62" s="40"/>
      <c r="F62" s="40"/>
      <c r="G62" s="25"/>
      <c r="H62" s="4"/>
    </row>
    <row r="63" spans="1:8" x14ac:dyDescent="0.25">
      <c r="A63" s="24"/>
      <c r="B63" s="25"/>
      <c r="C63" s="25"/>
      <c r="D63" s="25"/>
      <c r="E63" s="40"/>
      <c r="F63" s="40"/>
      <c r="G63" s="25"/>
      <c r="H63" s="4"/>
    </row>
    <row r="64" spans="1:8" ht="15.75" thickBot="1" x14ac:dyDescent="0.3">
      <c r="A64" s="27"/>
      <c r="B64" s="28"/>
      <c r="C64" s="28"/>
      <c r="D64" s="28"/>
      <c r="E64" s="94"/>
      <c r="F64" s="94"/>
      <c r="G64" s="28"/>
      <c r="H64" s="4"/>
    </row>
    <row r="65" spans="1:8" x14ac:dyDescent="0.25">
      <c r="A65" s="62" t="s">
        <v>40</v>
      </c>
      <c r="B65" s="33"/>
      <c r="C65" s="33"/>
      <c r="D65" s="33"/>
      <c r="E65" s="33"/>
      <c r="F65" s="33"/>
      <c r="G65" s="33"/>
      <c r="H65" s="76"/>
    </row>
    <row r="66" spans="1:8" x14ac:dyDescent="0.25">
      <c r="A66" s="66" t="s">
        <v>77</v>
      </c>
      <c r="B66" s="67"/>
      <c r="C66" s="67"/>
      <c r="D66" s="67"/>
      <c r="E66" s="77" t="s">
        <v>78</v>
      </c>
      <c r="F66" s="78"/>
      <c r="G66" s="78"/>
      <c r="H66" s="79"/>
    </row>
    <row r="67" spans="1:8" x14ac:dyDescent="0.25">
      <c r="A67" s="68"/>
      <c r="B67" s="67"/>
      <c r="C67" s="67"/>
      <c r="D67" s="67"/>
      <c r="E67" s="78"/>
      <c r="F67" s="78"/>
      <c r="G67" s="78"/>
      <c r="H67" s="79"/>
    </row>
    <row r="68" spans="1:8" x14ac:dyDescent="0.25">
      <c r="A68" s="68"/>
      <c r="B68" s="67"/>
      <c r="C68" s="67"/>
      <c r="D68" s="67"/>
      <c r="E68" s="78"/>
      <c r="F68" s="78"/>
      <c r="G68" s="78"/>
      <c r="H68" s="79"/>
    </row>
    <row r="69" spans="1:8" x14ac:dyDescent="0.25">
      <c r="A69" s="68"/>
      <c r="B69" s="67"/>
      <c r="C69" s="67"/>
      <c r="D69" s="67"/>
      <c r="E69" s="78"/>
      <c r="F69" s="78"/>
      <c r="G69" s="78"/>
      <c r="H69" s="79"/>
    </row>
    <row r="70" spans="1:8" x14ac:dyDescent="0.25">
      <c r="A70" s="68"/>
      <c r="B70" s="67"/>
      <c r="C70" s="67"/>
      <c r="D70" s="67"/>
      <c r="E70" s="78"/>
      <c r="F70" s="78"/>
      <c r="G70" s="78"/>
      <c r="H70" s="79"/>
    </row>
    <row r="71" spans="1:8" x14ac:dyDescent="0.25">
      <c r="A71" s="68"/>
      <c r="B71" s="67"/>
      <c r="C71" s="67"/>
      <c r="D71" s="67"/>
      <c r="E71" s="78"/>
      <c r="F71" s="78"/>
      <c r="G71" s="78"/>
      <c r="H71" s="79"/>
    </row>
    <row r="72" spans="1:8" x14ac:dyDescent="0.25">
      <c r="A72" s="68"/>
      <c r="B72" s="67"/>
      <c r="C72" s="67"/>
      <c r="D72" s="67"/>
      <c r="E72" s="78"/>
      <c r="F72" s="78"/>
      <c r="G72" s="78"/>
      <c r="H72" s="79"/>
    </row>
    <row r="73" spans="1:8" x14ac:dyDescent="0.25">
      <c r="A73" s="68"/>
      <c r="B73" s="67"/>
      <c r="C73" s="67"/>
      <c r="D73" s="67"/>
      <c r="E73" s="78"/>
      <c r="F73" s="78"/>
      <c r="G73" s="78"/>
      <c r="H73" s="79"/>
    </row>
    <row r="74" spans="1:8" x14ac:dyDescent="0.25">
      <c r="A74" s="68"/>
      <c r="B74" s="67"/>
      <c r="C74" s="67"/>
      <c r="D74" s="67"/>
      <c r="E74" s="78"/>
      <c r="F74" s="78"/>
      <c r="G74" s="78"/>
      <c r="H74" s="79"/>
    </row>
    <row r="75" spans="1:8" x14ac:dyDescent="0.25">
      <c r="A75" s="68"/>
      <c r="B75" s="67"/>
      <c r="C75" s="67"/>
      <c r="D75" s="67"/>
      <c r="E75" s="78"/>
      <c r="F75" s="78"/>
      <c r="G75" s="78"/>
      <c r="H75" s="79"/>
    </row>
    <row r="76" spans="1:8" x14ac:dyDescent="0.25">
      <c r="A76" s="68"/>
      <c r="B76" s="67"/>
      <c r="C76" s="67"/>
      <c r="D76" s="67"/>
      <c r="E76" s="78"/>
      <c r="F76" s="78"/>
      <c r="G76" s="78"/>
      <c r="H76" s="79"/>
    </row>
    <row r="77" spans="1:8" x14ac:dyDescent="0.25">
      <c r="A77" s="68"/>
      <c r="B77" s="67"/>
      <c r="C77" s="67"/>
      <c r="D77" s="67"/>
      <c r="E77" s="78"/>
      <c r="F77" s="78"/>
      <c r="G77" s="78"/>
      <c r="H77" s="79"/>
    </row>
    <row r="78" spans="1:8" x14ac:dyDescent="0.25">
      <c r="A78" s="68"/>
      <c r="B78" s="67"/>
      <c r="C78" s="67"/>
      <c r="D78" s="67"/>
      <c r="E78" s="78"/>
      <c r="F78" s="78"/>
      <c r="G78" s="78"/>
      <c r="H78" s="79"/>
    </row>
    <row r="79" spans="1:8" x14ac:dyDescent="0.25">
      <c r="A79" s="68"/>
      <c r="B79" s="67"/>
      <c r="C79" s="67"/>
      <c r="D79" s="67"/>
      <c r="E79" s="78"/>
      <c r="F79" s="78"/>
      <c r="G79" s="78"/>
      <c r="H79" s="79"/>
    </row>
    <row r="80" spans="1:8" ht="143.25" customHeight="1" thickBot="1" x14ac:dyDescent="0.3">
      <c r="A80" s="69"/>
      <c r="B80" s="70"/>
      <c r="C80" s="70"/>
      <c r="D80" s="70"/>
      <c r="E80" s="80"/>
      <c r="F80" s="80"/>
      <c r="G80" s="80"/>
      <c r="H80" s="81"/>
    </row>
  </sheetData>
  <mergeCells count="46">
    <mergeCell ref="G60:G64"/>
    <mergeCell ref="A65:H65"/>
    <mergeCell ref="A66:D80"/>
    <mergeCell ref="E66:H80"/>
    <mergeCell ref="A48:H48"/>
    <mergeCell ref="A49:D59"/>
    <mergeCell ref="E49:H59"/>
    <mergeCell ref="A60:D64"/>
    <mergeCell ref="E60:F60"/>
    <mergeCell ref="E61:F61"/>
    <mergeCell ref="E62:F62"/>
    <mergeCell ref="E63:F63"/>
    <mergeCell ref="E64:F64"/>
    <mergeCell ref="A27:B29"/>
    <mergeCell ref="A30:H34"/>
    <mergeCell ref="A35:H35"/>
    <mergeCell ref="A36:H38"/>
    <mergeCell ref="A39:D47"/>
    <mergeCell ref="E39:H47"/>
    <mergeCell ref="A17:B18"/>
    <mergeCell ref="C17:H18"/>
    <mergeCell ref="A19:B20"/>
    <mergeCell ref="C19:H20"/>
    <mergeCell ref="A21:B26"/>
    <mergeCell ref="C21:H21"/>
    <mergeCell ref="C22:H22"/>
    <mergeCell ref="C23:H23"/>
    <mergeCell ref="C24:H24"/>
    <mergeCell ref="A16:B16"/>
    <mergeCell ref="C16:H16"/>
    <mergeCell ref="F9:F10"/>
    <mergeCell ref="C9:C10"/>
    <mergeCell ref="D9:E10"/>
    <mergeCell ref="G9:H10"/>
    <mergeCell ref="A9:B10"/>
    <mergeCell ref="A11:H11"/>
    <mergeCell ref="B12:C12"/>
    <mergeCell ref="G12:H12"/>
    <mergeCell ref="A13:H13"/>
    <mergeCell ref="A14:B15"/>
    <mergeCell ref="C14:H15"/>
    <mergeCell ref="A1:H3"/>
    <mergeCell ref="A4:H4"/>
    <mergeCell ref="D6:E6"/>
    <mergeCell ref="G6:H6"/>
    <mergeCell ref="A8:H8"/>
  </mergeCells>
  <pageMargins left="0.7" right="0.7" top="0.75" bottom="0.75" header="0.3" footer="0.3"/>
  <pageSetup orientation="portrait" horizontalDpi="4294967293" verticalDpi="4294967293"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4ED8D5CB-14A8-4FC6-AAA2-179964CC3F65}">
          <x14:formula1>
            <xm:f>Hoja2!$B$1:$B$9</xm:f>
          </x14:formula1>
          <xm:sqref>B6</xm:sqref>
        </x14:dataValidation>
        <x14:dataValidation type="list" allowBlank="1" showInputMessage="1" showErrorMessage="1" xr:uid="{98948C5C-6181-46E4-B42F-C1D6A778BA4C}">
          <x14:formula1>
            <xm:f>Hoja2!$A$1:$A$4</xm:f>
          </x14:formula1>
          <xm:sqref>H5</xm:sqref>
        </x14:dataValidation>
        <x14:dataValidation type="list" allowBlank="1" showInputMessage="1" showErrorMessage="1" xr:uid="{2052ED0E-ABC6-44E8-A717-49761FF0593A}">
          <x14:formula1>
            <xm:f>Hoja2!$C$1:$C$5</xm:f>
          </x14:formula1>
          <xm:sqref>B7</xm:sqref>
        </x14:dataValidation>
        <x14:dataValidation type="list" allowBlank="1" showInputMessage="1" showErrorMessage="1" xr:uid="{0FB9410C-C552-4D2D-B1F7-EFB5960C8CA8}">
          <x14:formula1>
            <xm:f>Hoja2!$D$1:$D$13</xm:f>
          </x14:formula1>
          <xm:sqref>D7</xm:sqref>
        </x14:dataValidation>
        <x14:dataValidation type="list" allowBlank="1" showInputMessage="1" showErrorMessage="1" xr:uid="{3C7DD019-ED13-4554-B381-71F0040A0737}">
          <x14:formula1>
            <xm:f>Hoja2!$E$1:$E$13</xm:f>
          </x14:formula1>
          <xm:sqref>F7</xm:sqref>
        </x14:dataValidation>
        <x14:dataValidation type="list" allowBlank="1" showInputMessage="1" showErrorMessage="1" xr:uid="{BD302EA6-AE89-8B47-8C24-89CC9E8E9334}">
          <x14:formula1>
            <xm:f>Hoja2!$G$1:$G$10</xm:f>
          </x14:formula1>
          <xm:sqref>H60:H64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D99B-D0EE-416C-A505-7D661AC9F6D4}">
  <dimension ref="A1:G13"/>
  <sheetViews>
    <sheetView workbookViewId="0">
      <selection activeCell="G11" sqref="G11"/>
    </sheetView>
  </sheetViews>
  <sheetFormatPr baseColWidth="10" defaultRowHeight="15" x14ac:dyDescent="0.25"/>
  <cols>
    <col min="1" max="1" width="17.140625" bestFit="1" customWidth="1"/>
    <col min="2" max="2" width="18.28515625" bestFit="1" customWidth="1"/>
  </cols>
  <sheetData>
    <row r="1" spans="1:7" x14ac:dyDescent="0.25">
      <c r="A1" t="s">
        <v>41</v>
      </c>
      <c r="B1" t="s">
        <v>46</v>
      </c>
      <c r="C1">
        <v>2</v>
      </c>
      <c r="D1">
        <v>36</v>
      </c>
      <c r="E1">
        <v>60</v>
      </c>
      <c r="F1" t="s">
        <v>55</v>
      </c>
      <c r="G1" s="11">
        <v>0.1</v>
      </c>
    </row>
    <row r="2" spans="1:7" x14ac:dyDescent="0.25">
      <c r="A2" t="s">
        <v>42</v>
      </c>
      <c r="B2" t="s">
        <v>47</v>
      </c>
      <c r="C2">
        <v>3</v>
      </c>
      <c r="D2">
        <v>54</v>
      </c>
      <c r="E2">
        <v>90</v>
      </c>
      <c r="F2" t="s">
        <v>56</v>
      </c>
      <c r="G2" s="11">
        <v>0.2</v>
      </c>
    </row>
    <row r="3" spans="1:7" x14ac:dyDescent="0.25">
      <c r="A3" t="s">
        <v>43</v>
      </c>
      <c r="B3" t="s">
        <v>48</v>
      </c>
      <c r="C3">
        <v>4</v>
      </c>
      <c r="D3">
        <v>72</v>
      </c>
      <c r="E3">
        <v>120</v>
      </c>
      <c r="F3" t="s">
        <v>57</v>
      </c>
      <c r="G3" s="11">
        <v>0.3</v>
      </c>
    </row>
    <row r="4" spans="1:7" x14ac:dyDescent="0.25">
      <c r="A4" t="s">
        <v>44</v>
      </c>
      <c r="B4" t="s">
        <v>49</v>
      </c>
      <c r="C4">
        <v>6</v>
      </c>
      <c r="D4">
        <v>108</v>
      </c>
      <c r="E4">
        <v>180</v>
      </c>
      <c r="F4" t="s">
        <v>58</v>
      </c>
      <c r="G4" s="11">
        <v>0.4</v>
      </c>
    </row>
    <row r="5" spans="1:7" x14ac:dyDescent="0.25">
      <c r="B5" t="s">
        <v>50</v>
      </c>
      <c r="C5">
        <v>8</v>
      </c>
      <c r="D5">
        <v>144</v>
      </c>
      <c r="E5">
        <v>240</v>
      </c>
      <c r="F5" t="s">
        <v>59</v>
      </c>
      <c r="G5" s="11">
        <v>0.5</v>
      </c>
    </row>
    <row r="6" spans="1:7" x14ac:dyDescent="0.25">
      <c r="B6" t="s">
        <v>51</v>
      </c>
      <c r="D6">
        <v>32</v>
      </c>
      <c r="E6">
        <v>64</v>
      </c>
      <c r="G6" s="11">
        <v>0.6</v>
      </c>
    </row>
    <row r="7" spans="1:7" x14ac:dyDescent="0.25">
      <c r="B7" t="s">
        <v>52</v>
      </c>
      <c r="D7">
        <v>36</v>
      </c>
      <c r="E7">
        <v>108</v>
      </c>
      <c r="G7" s="11">
        <v>0.7</v>
      </c>
    </row>
    <row r="8" spans="1:7" x14ac:dyDescent="0.25">
      <c r="B8" t="s">
        <v>53</v>
      </c>
      <c r="D8">
        <v>40</v>
      </c>
      <c r="E8">
        <v>152</v>
      </c>
      <c r="G8" s="11">
        <v>0.8</v>
      </c>
    </row>
    <row r="9" spans="1:7" x14ac:dyDescent="0.25">
      <c r="B9" t="s">
        <v>54</v>
      </c>
      <c r="D9">
        <v>54</v>
      </c>
      <c r="E9">
        <v>234</v>
      </c>
      <c r="G9" s="11">
        <v>0.9</v>
      </c>
    </row>
    <row r="10" spans="1:7" x14ac:dyDescent="0.25">
      <c r="D10">
        <v>64</v>
      </c>
      <c r="E10">
        <v>320</v>
      </c>
      <c r="G10" s="11">
        <v>1</v>
      </c>
    </row>
    <row r="11" spans="1:7" x14ac:dyDescent="0.25">
      <c r="D11">
        <v>24</v>
      </c>
      <c r="E11">
        <v>72</v>
      </c>
      <c r="G11" s="11"/>
    </row>
    <row r="12" spans="1:7" x14ac:dyDescent="0.25">
      <c r="D12">
        <v>36</v>
      </c>
      <c r="E12">
        <v>108</v>
      </c>
    </row>
    <row r="13" spans="1:7" x14ac:dyDescent="0.25">
      <c r="D13">
        <v>48</v>
      </c>
      <c r="E13">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JOSE EDWARD DIVITT VELOSA GARCIA</cp:lastModifiedBy>
  <dcterms:created xsi:type="dcterms:W3CDTF">2025-06-18T14:53:05Z</dcterms:created>
  <dcterms:modified xsi:type="dcterms:W3CDTF">2025-12-15T10:58:23Z</dcterms:modified>
</cp:coreProperties>
</file>