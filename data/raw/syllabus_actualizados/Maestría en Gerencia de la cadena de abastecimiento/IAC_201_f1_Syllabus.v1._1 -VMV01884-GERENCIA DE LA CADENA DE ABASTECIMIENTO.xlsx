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C:\DIRECCIÓN\000-000 POSGRADOS\Mtr. Gerencia de la Cadena del Abastecimiento\Sylllabus Nuevo formato - 2026 S1\"/>
    </mc:Choice>
  </mc:AlternateContent>
  <xr:revisionPtr revIDLastSave="4" documentId="13_ncr:1_{4EA12ACC-ABD4-45E6-BFF9-D4C4B5866C61}" xr6:coauthVersionLast="47" xr6:coauthVersionMax="47" xr10:uidLastSave="{0DD1DE03-ECEE-4065-B878-A803B100B3D5}"/>
  <bookViews>
    <workbookView xWindow="-33495" yWindow="-16440" windowWidth="29040" windowHeight="15720" firstSheet="3" activeTab="3" xr2:uid="{79C19C23-9E31-446A-A15A-4EB9549A8DE9}"/>
  </bookViews>
  <sheets>
    <sheet name="Formato Syllabus" sheetId="1" state="hidden" r:id="rId1"/>
    <sheet name="Formato Syllabus_NV" sheetId="3" state="hidden" r:id="rId2"/>
    <sheet name="Hoja1" sheetId="5" r:id="rId3"/>
    <sheet name="Formato Syllabus_NV (2)" sheetId="4" r:id="rId4"/>
    <sheet name="Parámetros"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5" l="1"/>
  <c r="H15" i="5"/>
  <c r="H16" i="5"/>
  <c r="H26" i="5"/>
  <c r="H27" i="5"/>
  <c r="H28" i="5"/>
  <c r="J2" i="5"/>
  <c r="H23" i="5" s="1"/>
  <c r="E23" i="5" s="1"/>
  <c r="B20" i="4" s="1"/>
  <c r="K2" i="5"/>
  <c r="L2" i="5"/>
  <c r="M2" i="5"/>
  <c r="N2" i="5"/>
  <c r="O2" i="5"/>
  <c r="P2" i="5"/>
  <c r="Q2" i="5"/>
  <c r="R2" i="5"/>
  <c r="I2" i="5"/>
  <c r="H5" i="5" s="1"/>
  <c r="D5" i="5" s="1"/>
  <c r="E7" i="4" s="1"/>
  <c r="H3" i="5"/>
  <c r="F45" i="4"/>
  <c r="G23" i="5"/>
  <c r="G20" i="4" s="1"/>
  <c r="G7" i="4"/>
  <c r="C10" i="4"/>
  <c r="C7" i="4"/>
  <c r="I9" i="3"/>
  <c r="I9" i="1"/>
  <c r="H36" i="5" l="1"/>
  <c r="H24" i="5"/>
  <c r="H12" i="5"/>
  <c r="H9" i="5"/>
  <c r="H35" i="5"/>
  <c r="H34" i="5"/>
  <c r="H10" i="5"/>
  <c r="H21" i="5"/>
  <c r="H32" i="5"/>
  <c r="H20" i="5"/>
  <c r="H8" i="5"/>
  <c r="H25" i="5"/>
  <c r="H22" i="5"/>
  <c r="H33" i="5"/>
  <c r="H31" i="5"/>
  <c r="H19" i="5"/>
  <c r="H7" i="5"/>
  <c r="H13" i="5"/>
  <c r="H11" i="5"/>
  <c r="H30" i="5"/>
  <c r="H18" i="5"/>
  <c r="H6" i="5"/>
  <c r="H29" i="5"/>
  <c r="H17" i="5"/>
  <c r="D30" i="5" l="1"/>
  <c r="E30" i="5" s="1"/>
  <c r="F36" i="4" s="1"/>
  <c r="D16" i="5"/>
  <c r="D17" i="5"/>
  <c r="D12" i="4" s="1"/>
  <c r="D34" i="5"/>
  <c r="E45" i="4" s="1"/>
  <c r="D32" i="5"/>
  <c r="C45" i="4" s="1"/>
  <c r="D25" i="5"/>
  <c r="B28" i="4" s="1"/>
  <c r="D26" i="5"/>
  <c r="F33" i="4" s="1"/>
  <c r="D28" i="5"/>
  <c r="I34" i="4" s="1"/>
  <c r="D13" i="5"/>
  <c r="G10" i="4" s="1"/>
  <c r="D14" i="5"/>
  <c r="F23" i="5"/>
  <c r="D20" i="4" s="1"/>
  <c r="D27" i="5"/>
  <c r="D18" i="5"/>
  <c r="D31" i="5"/>
  <c r="B45" i="4" s="1"/>
  <c r="D15" i="5"/>
  <c r="E15" i="5" s="1"/>
  <c r="D8" i="4" s="1"/>
  <c r="D7" i="5"/>
  <c r="I7" i="4" s="1"/>
  <c r="D19" i="5"/>
  <c r="D29" i="5"/>
  <c r="E29" i="5" s="1"/>
  <c r="B36" i="4" s="1"/>
  <c r="D10" i="5"/>
  <c r="H9" i="4" s="1"/>
  <c r="D33" i="5"/>
  <c r="D45" i="4" s="1"/>
  <c r="D36" i="5"/>
  <c r="G45" i="4" s="1"/>
  <c r="D12" i="5"/>
  <c r="E10" i="4" s="1"/>
  <c r="H4" i="5"/>
  <c r="D8" i="5"/>
  <c r="F15" i="5" l="1"/>
  <c r="F8" i="4" s="1"/>
  <c r="I10" i="4"/>
  <c r="D9" i="5"/>
  <c r="E9" i="4" s="1"/>
</calcChain>
</file>

<file path=xl/sharedStrings.xml><?xml version="1.0" encoding="utf-8"?>
<sst xmlns="http://schemas.openxmlformats.org/spreadsheetml/2006/main" count="498" uniqueCount="249">
  <si>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</si>
  <si>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</si>
  <si>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</si>
  <si>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</si>
  <si>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</si>
  <si>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</si>
  <si>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</si>
  <si>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</si>
  <si>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</si>
  <si>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</si>
  <si>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</si>
  <si>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</si>
  <si>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</si>
  <si>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</si>
  <si>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</si>
  <si>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</si>
  <si>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</si>
  <si>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</si>
  <si>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</si>
  <si>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</si>
  <si>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</si>
  <si>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</si>
  <si>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</si>
  <si>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</si>
  <si>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</si>
  <si>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</si>
  <si>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</si>
  <si>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</si>
  <si>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</si>
  <si>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</si>
  <si>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</si>
  <si>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</si>
  <si>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</si>
  <si>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</si>
  <si>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</si>
  <si>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</si>
  <si>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</si>
  <si>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</si>
  <si>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</si>
  <si>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</si>
  <si>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</si>
  <si>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</si>
  <si>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</si>
  <si>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</si>
  <si>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</si>
  <si>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</si>
  <si>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</si>
  <si>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</si>
  <si>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</si>
  <si>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</si>
  <si>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</si>
  <si>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</si>
  <si>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</si>
  <si>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</si>
  <si>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</si>
  <si>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</si>
  <si>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</si>
  <si>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</si>
  <si>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</si>
  <si>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</si>
  <si>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</si>
  <si>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</si>
  <si>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</si>
  <si>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</si>
  <si>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</si>
  <si>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</si>
  <si>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</si>
  <si>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</si>
  <si>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</si>
  <si>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</si>
  <si>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</si>
  <si>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</si>
  <si>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</si>
  <si>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</si>
  <si>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</si>
  <si>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</si>
  <si>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</si>
  <si>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</si>
  <si>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</si>
  <si>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</si>
  <si>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</si>
  <si>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</si>
  <si>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</si>
  <si>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</si>
  <si>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</si>
  <si>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Gerencia de la Cadena de Abastecimiento</t>
  </si>
  <si>
    <t>Información Extraída</t>
  </si>
  <si>
    <t>Gestión de Compras...</t>
  </si>
  <si>
    <t>Gestión de Inventarios</t>
  </si>
  <si>
    <t>Gestión de la Entrega...</t>
  </si>
  <si>
    <t>Gestión de Operaciones...</t>
  </si>
  <si>
    <t>Simulación de Modelos...</t>
  </si>
  <si>
    <t>Ventas y Planeación...</t>
  </si>
  <si>
    <t>Gerencia de la Cadena...</t>
  </si>
  <si>
    <t>Ética Empresarial...</t>
  </si>
  <si>
    <t>Logística Integral...</t>
  </si>
  <si>
    <t>No especificado en el documento</t>
  </si>
  <si>
    <t>MAVGCABOG001</t>
  </si>
  <si>
    <t>IFVN0001+</t>
  </si>
  <si>
    <t>VMV01892</t>
  </si>
  <si>
    <t>VMV01893</t>
  </si>
  <si>
    <t>VMV01894</t>
  </si>
  <si>
    <t>VMV01903</t>
  </si>
  <si>
    <t>VMV01992</t>
  </si>
  <si>
    <t>VMV02004</t>
  </si>
  <si>
    <t>VMV01884</t>
  </si>
  <si>
    <t>No especificado</t>
  </si>
  <si>
    <t>VMV01945</t>
  </si>
  <si>
    <t>Nuclear</t>
  </si>
  <si>
    <t>Electiva</t>
  </si>
  <si>
    <t>Facultad de Ingeniería</t>
  </si>
  <si>
    <t>Ingeniería Industrial</t>
  </si>
  <si>
    <t>Mtr. Gerencia Cadena Abastecimiento</t>
  </si>
  <si>
    <t>Nombre Unidad de estudios</t>
  </si>
  <si>
    <t>Ingenium for a Better World</t>
  </si>
  <si>
    <t>Gestión de Compras, Negociación y Estrategias de Aprovisionamiento</t>
  </si>
  <si>
    <t>Gestión de la Entrega y Logística Inversa</t>
  </si>
  <si>
    <t>Gestión de Operaciones y Alineación Estratégica</t>
  </si>
  <si>
    <t>Simulación de Modelos de Operaciones y Logística</t>
  </si>
  <si>
    <t>Ventas y Planeación de la Demanda</t>
  </si>
  <si>
    <t>Ética Empresarial y Sostenibilidad</t>
  </si>
  <si>
    <t>Logística Integral y Comercio Internacional</t>
  </si>
  <si>
    <t>Modalidad (Presencial / Virtual)</t>
  </si>
  <si>
    <t>virtual</t>
  </si>
  <si>
    <t>Metodología (PAT / In Situ / Híbrida)</t>
  </si>
  <si>
    <t>No especificada bajo estas categorías en el documento</t>
  </si>
  <si>
    <t>Servir como una introducción al desarrollo de proyectos de ingeniería, abarcando ética profesional, herramientas esenciales de la ingeniería y principios de gestión de proyectos.</t>
  </si>
  <si>
    <t>Genera estrategias de aprovisionamiento para la organización y/o red en entornos globales basados en la generación de valor a los consumidores finales y en la disminución de la incertidumbre propia de la red de suministro, a partir de una adecuada gestión que permita la identificación, valoración y diseño de estrategias que permitan garantizar la continuidad de los flujos logísticos, con la mejor relación costo beneficio.</t>
  </si>
  <si>
    <t>Aplica la Gestión de Inventarios en la Cadena de Abastecimiento como medio de mejora de las actividades propias a la planeación, programación y control de los inventarios físicos en las organizaciones, apoyándose en herramientas y técnicas avanzadas e incorporando TIC en su proceso para tomar las decisiones pertinentes y acertadas.</t>
  </si>
  <si>
    <t>Asegurar efectiva gestión de entrega y logística inversa para optimizar operaciones.</t>
  </si>
  <si>
    <t>Desarrolla una concepción estratégica de la gestión de operaciones para proyectar los sistemas productivos en las organizaciones hacia la satisfacción y fidelización de clientes y consumidores contribuyendo a la creación y mantenimiento de ventajas competitivas sustentables.</t>
  </si>
  <si>
    <t xml:space="preserve">Generar habilidades para la construcción, implementación y análisis del modelado de situaciones reales, en procesos productivos o de negocio, mediante la aplicación de conceptos matemáticos y la utilización de recursos informáticos. Además de brindar el desarrollo de una que les permitirá experimentar casos concretos de aplicación a situaciones reales, aprovechando la potencia de la Simulación. </t>
  </si>
  <si>
    <t>Maximizar eficiencia en cadenas de suministro mediante modelos de planeación.</t>
  </si>
  <si>
    <t>Los estudiantes serán sensibles a la importancia de la estrategia del gerenciamiento de la cadena de abastecimiento global en la actual economía, desarrollando las habilidades gerenciales necesarias que junto a la incorporación de algunas herramientas, les permitirán asumir como suya la responsabilidad de transformar el quehacer logístico que enmarca el sector empresarial colombiano.</t>
  </si>
  <si>
    <t>Implementa prácticas gerenciales, con un enfoque de gestión integral de programas y proyectos de ética y responsabilidad social, para el fortalecimiento de la competitividad de las empresas desde modelos de sostenibilidad empresarial</t>
  </si>
  <si>
    <t>Propone soluciones multimodales integrales, seleccionando la mejor alternativa desde los puntos de vista de costos, tiempos y aseguramiento de la integridad de las cargas y de hacer una gestión eficiente en el empleo de cada modo de transporte con un enfoque logístico y acorde con las últimas tendencias que existen en el mundo como la ética y la sostenibilidad empresarial.</t>
  </si>
  <si>
    <t>No especificada explícitamente en el documento</t>
  </si>
  <si>
    <t>Capacidad para actuar éticamente frente a realidades sociales.</t>
  </si>
  <si>
    <t>Resultado de Aprendizaje de Programa</t>
  </si>
  <si>
    <t>No especificado explícitamente en el documento</t>
  </si>
  <si>
    <t>Comprende factores de ética y su interrelación con entornos.</t>
  </si>
  <si>
    <t>Resultado de Aprendizaje de la Unidad de Estudio</t>
  </si>
  <si>
    <t>Al finalizar el curso, los estudiantes serán capaces de diseñar e implementar soluciones sostenibles e innovadoras para sistemas de producción y servicios.</t>
  </si>
  <si>
    <t>Elabora informes sobre impacto empresarial en temas sociales.</t>
  </si>
  <si>
    <t>Criterios de evaluación (1, 2, 3, 4)</t>
  </si>
  <si>
    <t>1. Comprensión de los principios de la ingeniería industrial sostenible. 2. Capacidad para diseñar soluciones sostenibles e innovadoras. 3. No especificado. 4. No especificado.</t>
  </si>
  <si>
    <t>Guía 1, 2, 3, Foro, Encuentro Final</t>
  </si>
  <si>
    <t>Competencias del modelo educativo (EM, SH, IN, COM, SO, AA, SE, COL, DI)</t>
  </si>
  <si>
    <t>No listadas en el documento</t>
  </si>
  <si>
    <t>SH, EM, IN, CO, TE</t>
  </si>
  <si>
    <t>C.T.</t>
  </si>
  <si>
    <t>COM, EMP, INV, TEC, SOC</t>
  </si>
  <si>
    <t>Contenidos de la Unidad de estudio</t>
  </si>
  <si>
    <t>4.5 Semanas</t>
  </si>
  <si>
    <t>1. Introducción a la en ingeniería en la Universidad Ean
2. Herramientas esenciales de la ingeniería
3. Principios de gestión de proyectos
4.Planificación y desarrollo de un proyecto de ingeniería</t>
  </si>
  <si>
    <t>Planeación estratégica de suministros.
Planificación de las compra
Negociación en el proceso de compras</t>
  </si>
  <si>
    <t xml:space="preserve">Tema 1. El papel de la gestión de inventarios en un entorno globalizado.
Modelos cuantitativos y cualitativos de Inventarios
Herramientas de optimización de inventarios
Marco de toma de decisiones de los inventarios en la cadena de suministros
Análisis ABC
Modelo EOQ 
Tema 2: Métricas en la gestión de inventarios.
Indicadores financieros, operativos y de servicio al cliente, en la gestión de inventarios.
Sistemas de codificación de inventarios
Tema 3: Administración y manejo de almacenes
Tipos de almacenes
almacén caótico vs almacén ordenado
Análisis ABC
Layout 
Tecnologías de packing y picking 
</t>
  </si>
  <si>
    <t>1. Gestión de la entrega.
2. Logística inversa
3. Optimización de la gestión de la entrega y la logística inversa.</t>
  </si>
  <si>
    <t xml:space="preserve">El módulo Gestión de operaciones y alineación estratégica se ha estructurado alrededor de tres  ejes que corresponden a: 
Tema 1 Gestión estratégica y la gestión de Operaciones. 
Gestión estratégica de las operaciones
Gestión estratégica y la gestión de Operaciones
Prácticas de la gestión estratégica de las operaciones en las organizaciones
Objetivos de desempeño competitivo 
Diferenciación de eficiencia, eficacia y productividad
modelos para el diseño de estrategias de operaciones
Tema 2
Madurez y riesgo operacional
Identificación, evaluación y gestión de los riesgos operacionales
Evaluación de madurez operacional
Modelos de madurez de la gestión de procesos
Modelos de gestión de riesgos.
Tema 3
Gestión de Operaciones rediseñada por automatización y la sostenibilidad
Pronósticos
Capacidad
Tendencias tecnológicas en la GO
Tendencias de Industria 4.0 y sostenibilidad en la GO
El futuro de las Operaciones
</t>
  </si>
  <si>
    <t>Modelado de sistemas
Simulación de Sistemas orientados a eventos Discretos
Aplicaciones en Procesos de Operación y logística</t>
  </si>
  <si>
    <t xml:space="preserve">Guía 1. Introducción a la planeación de la demanda y a los pronósticos
Introducción a los pronósticos
Importancia de los pronósticos en la cadena de suministro
Modelos de pronósticos cualitativo vs pronósticos cuantitativos
Error de pronóstico y su papel para medir la exactitud de los pronósticos
Guía 2. Modelos causales y modelos series ARIMA
Métodos causales
Regresión Lineal simple, múltiple
Modelos ARIMA
Guía 3. Sales &amp;Operations planning e Integrated Business planning.
Introducción Sales&amp;Operations Planning
Proceso de implementación Sales&amp;Operations Planning
Introducción Integrated Business Planning
IBP vs SOP
</t>
  </si>
  <si>
    <t>Concepto Integral de Logística.
Procesos del SCM.
Crowdsourcing Strategy
Perfil del profesional logístico.
Megatendencias. AAA Supply Chain
 Tendencias de la logística</t>
  </si>
  <si>
    <t>Ética en negocios, Liderazgo ético</t>
  </si>
  <si>
    <t>1. Logística de la Distribución Física Internacional (DFI).
2. Elementos componentes de las Cadenas de DFI.
3. Metodología para la Selección de la Cadena de DFI.
4. Criterios de Selección de la cadena de DFI óptima..
5, Logística del Transporte Marítimo de Cargas
6. Logística del Transporte Aéreo de Cargas
7. Logística del Transporte Terrestre de Cargas
 8. Logística del Transporte Multimodal de Cargas
9. Diseño de Soluciones Multimodales de Transporte Internacional de Cargas
 10. Análisis práctico.
 11. Us and global environmental regulations</t>
  </si>
  <si>
    <t>Estrategias Pedagógicas</t>
  </si>
  <si>
    <t>Enfoque virtual y participativo a través del cual los estudiantes se sumergen en el mundo de la ingeniería.</t>
  </si>
  <si>
    <t>Virtual/Teórico-práctica</t>
  </si>
  <si>
    <t>Simulación/Modelado</t>
  </si>
  <si>
    <t>Aula virtual/Casos</t>
  </si>
  <si>
    <t>Esquema de Calificación</t>
  </si>
  <si>
    <t>Guía (Fase) 1 - 10
Guía (Fase) 2 - 15
Guía (Fase) 3 - 15
Proyecto - 10
Prueba en línea - G1, G2, G3, - 30
Encuentro final - 10
Pruebas objetivas - 10</t>
  </si>
  <si>
    <t>Guía 1(25%), 2(25%), 3(20%), Foro(10%), Final(20%)</t>
  </si>
  <si>
    <t>Guía 1(20%), 2(20%), 3(30%), Foro(10%), Final(20%)</t>
  </si>
  <si>
    <t>G1(20p), G2(25p), G3(25p), Foro(10p), Encuentro(20p)</t>
  </si>
  <si>
    <t>1. Software de modelado y simulación. 2. Herramientas de análisis de datos. 3. Plataforma de aprendizaje virtual. 4. Bases de datos de investigación en ingeniería industrial.</t>
  </si>
  <si>
    <t>Plataforma LMS, Excel</t>
  </si>
  <si>
    <t>Flexsim, Taha (Software/Manual)</t>
  </si>
  <si>
    <t>Aula virtual</t>
  </si>
  <si>
    <t>Componente de Lengua Extranjera</t>
  </si>
  <si>
    <t>•
Grech Mayor, Pablo , Rodríguez Orozco, Jorge César rev. (2013) Introducción a la ingeniería: un enfoque a través del diseño. 2a. ed. Bogotá : Pearson, 2013. ebooks7-24
•
Terán, D.(2018) Introducción a la ingeniería. Editorial Alfaomega. ISBN 9786076227626. Alfaomegacloud
•
Gido, J., Clements, J. and Baker, R. (2018) Administración exitosa de proyectos. Sexta edición. Editorial Cengage Learning. http://bdbiblioteca.universidadean.edu.co:2076/?il=4644
•
González Ortiz, Oscar. (2014) Introducción a la ingeniería: una perspectiva desde el currículo en la formación del ingeniero. Primera edición, Ecoe ediciones. Colombia.
•
Gray, C., Larson, E., Cevallos Almada, M. and Treviño Rosales, M. (2009). Administración de proyectos. México: McGraw-Hill.
•
Barros, Rafael J. (2014) Grace. Introducción a la Ingeniería. Ediciones EAN. Colombia
•
Pinto, J., Pinto, J. and Cubillos Avellaneda, J. (2015). Gerencia de proyectos. Tercera edición. Bogotá: Pearson.
•
Prieto Contreras, L. (2004) Manual de procesos industriales. Editorial Pontificia Universidad Javeriana. Colombia
•
Romero Hernández, Omar. (2015) Introducción a la ingeniería. Segunda edición, Cengage Lerning. México.
•
Stincer,J.R. (2012). Introducción a la ingeniería industrial. México: http://www.aliat.org.mx/BibliotecasDigitales/ingenieria/Introduccion_a_la_ingenieria_industrial.pdf
•
Vicerrectorado de investigación. Universidad Tecnológica del Perú: http://aulavirtual.utp.edu.pe/file/20102/is/I4/07/I110/20102ISI407I110T080.pdf
•
Wright, Paul H. (2010) Introducción a la ingeniería. Editorial Limusa. México.</t>
  </si>
  <si>
    <t xml:space="preserve"> Lysons, Kenneth; Farrington, Brian (2020),  Procurement and Supply Chain Management   10th  Editorial Pearson
Spiller, Peter, et al. (2022). Procurement 20/20 : Supply Entrepreneurship in a Changing World, John Wiley &amp; Sons, Ebook Central, 
https://ebookcentral.proquest.com/lib/bibliotecaean-ebooks/detail.action?docID=1563652.
Bryngemark Elina et al. (2023). The adoption of green public procurement practices: Analytical challenges and empirical illustration on Swedish municipalities Disponible base de datos Universidad Ean
Ali A. y  Appollon A. (2022). A systematic review on barriers and enablers toward circular procurement management. Disponible base de datos Universidad Ean</t>
  </si>
  <si>
    <t xml:space="preserve">Hillier &amp; Lieberman, (2015). Investigación de Operaciones. Capítulo 18. Décima edición. Editorial Mc Graw Hill.
Krajewski, Ritzman &amp; Malhotr, (2013). Administración de Operaciones. Capítulo 9. Décima edición. Editorial Pearson
Cruz, A. (2017). Gestión de inventarios. UF0476. IC Editorial. 
Mora, L. (2012). Indicadores de la gestión Logística. Editorial ECOE. 
Benton, W. Jr. (2014). Purchasing and supply chain management. Editorial Mc
Graw Hill. Tercera edición.
Browersox, et. al. Administración y logística en la cadena de suministros. Editorial
Mc Graw Hill. Tercera edición.
Price Waterhouse Coopers. (2015). Retail Inventory Management. An intricate
balancing act. https://pwc.to/2HbexCG
Pérez, M., (2014). Almacenamiento de materiales: cómo diseñar y gestionar
almacenes optimizando todos los recursos de los procesos logísticos. Editorial
Marge Books
 </t>
  </si>
  <si>
    <t xml:space="preserve">Base de datos Ebsco
Amade, B., Akpan, E. O. P., Ubani, E. C., &amp; Amaeshi, U. F. (2016). Supply Chain Management and Construction Project Delivery: Constraints to its Application. PM World Journal, 5(5), 1 -19. Retrieved from http://bdbiblioteca.universidadean.edu.co:2054/login.aspx?direct=true&amp;db=bsu&amp;AN=116996522&amp;lang=es&amp;site=ehost-live&amp;scope=site
McCabe, L., &amp; Atkin, S. (2016). Translation management in a continuous delivery world. MultiLingual, 27(5), 55 -59. Retrieved from http://bdbiblioteca.universidadean.edu.co:2054/login.aspx?direct=true&amp;db=bsu&amp;AN=116783481&amp;lang=es&amp;site=ehost-live&amp;scope=site
Njuguna, R. K., &amp; Mirugi, S. (2017). The Effectiveness of Relationship Management and Service Quality on Service Delivery. International Journal of Sales, Retailing &amp; Marketing, 6(2), 52 -59. Retrieved from http://bdbiblioteca.universidadean.edu.co:2054/login.aspx?direct=true&amp;db=bsu&amp;AN=125323575&amp;lang=es&amp;site=ehost-live&amp;scope=site
Amade, B. (2016). Barriers to the Implementation of Supply Chain Management (Scm) in the Delivery of Construction Projects. Serbian Project Management Journal, 6(1), 37 -50. Retrieved from http://bdbiblioteca.universidadean.edu.co:2054/login.aspx?direct=true&amp;db=bsu&amp;AN=119930418&amp;lang=es&amp;site=ehost-live&amp;scope=site
 Popescu, A. &amp; Șipos, C. (2015). Green Logistics - a Condition of Sustainable Development. Revista Economica, 67(4), 112 -130. Retrieved from http://bdbiblioteca.universidadean.edu.co:2054/login.aspx?direct=true&amp;db=bsu&amp;AN=108596098&amp;lang=es&amp;site=ehost-live&amp;scope=site
Zielińska, A., Prudzienica, M., Mukhtar, E., &amp; Mukhtarova, K. (2016). The examples of reverse logistics application in inter-sector partnerships - good practices, 9(3), 279 -286. Retrieved from http://bdbiblioteca.universidadean.edu.co:2054/login.aspx?direct=true&amp;db=eoh&amp;AN=EP120706952&amp;lang=es&amp;site=ehost-live&amp;scope=site
Ang, A., &amp; Tan, A. (2018). Designing Reverse Logistics Network in an Omnichannel Environment in Asia. LogForum, 14(4), 519 -533. https://bdbiblioteca.universidadean.edu.co:2111/10.17270/J.LOG.2018.307
Calmon, A. P., Rajasingh, D. J., Romero, G., &amp; Stenson, J. (2018). Operations Strategy at the Base of the Pyramid: Consumer Education and Reverse Logistics in a Durable Goods Supply Chain. INSEAD Working Papers Collection, (4), 1 -44. Retrieved from http://bdbiblioteca.universidadean.edu.co:2054/login.aspx?direct=true&amp;db=bsu&amp;AN=128878079&amp;lang=es&amp;site=ehost-live&amp;scope=site
Gomez Montoya, R. A., Correa Espinal, A. A., &amp; Vasquez Herrera, L. S. (2012). Logistica inversa, un enfoque con responsabilidad social empresarial. (Reverse Logistics: A Social Corporate Responsibility Approach. With English summary.). Criterio Libre, 10(16), 144 -158. https://bdbiblioteca.universidadean.edu.co:2111/http://www.unilibre.edu.co/CriterioLibre/criterio-libre
Rabbani, M., Saravi, N. A., &amp; Farrokhi-Asl, H. (2017). Design of a Forward/Reverse Logistics Network with Environmental Considerations. International Journal of Supply &amp; Operations Management, 4(2), 129 -146. Retrieved from http://bdbiblioteca.universidadean.edu.co:2054/login.aspx?direct=true&amp;db=bsu&amp;AN=126813885&amp;lang=es&amp;site=ehost-live&amp;scope=site
De la Hoz, E., Vélez, J., &amp; López, L. (2017). Modelo de Programación Lineal Multiobjetivo para la Logística Inversa en el Sector Plástico de Polipropileno. Información Tecnológica, 28(5), 31 -36. https://bdbiblioteca.universidadean.edu.co:2111/10.4067/S0718-07642017000500005
Sun, Q. (2017). Research on the influencing factors of reverse logistics carbon footprint under sustainable development. Environmental Science &amp; Pollution Research, 24(29), 22790 -22798. https://bdbiblioteca.universidadean.edu.co:2111/10.1007/s11356-016-8140-9
Martínez, M. P., Silveira Dias, K. T., Braga Junior, S. S., &amp; da Silva, D. (2017). La Logística Inversa Como Herramienta Para La Gestión De Resíduos De Los Supermercados De Venta Al Por Menor. Revista de Gestão Ambiental e Sustentabilidade (GeAS), 6(3), 150 -165. https://bdbiblioteca.universidadean.edu.co:2111/10.5585/geas.v6i3.519
Partida, B. (2018). Reverse logistics practices and organizational factors: Industry and annual revenue affects the extent to which organizations invest in returns management. Logistics Management, 57(10), 16 -18. Retrieved from http://bdbiblioteca.universidadean.edu.co:2054/login.aspx?direct=true&amp;db=bsu&amp;AN=132260224&amp;lang=es&amp;site=ehost-live&amp;scope=site
Benedito, E., &amp; Corominas, A. (2013). Optimal manufacturing policy in a reverse logistic system with dependent stochastic returns and limited capacities. International Journal of Production Research, 51(1), 189 -201. https://bdbiblioteca.universidadean.edu.co:2111/10.1080/00207543.2012.655863
Entezaminia, A., Heidari, M., &amp; Rahmani, D. (2017). Robust aggregate production planning in a green supply chain under uncertainty considering reverse logistics: a case study. International Journal of Advanced Manufacturing Technology, 90(5 -8), 1507 -1528. https://bdbiblioteca.universidadean.edu.co:2111/10.1007/s00170-016-9459-6
Partida, B. (2018). Reverse logistics practices and organizational factors. Supply Chain Management Review, 22(3), 70 -72. Retrieved from http://bdbiblioteca.universidadean.edu.co:2054/login.aspx?direct=true&amp;db=bsu&amp;AN=129506340&amp;lang=es&amp;site=ehost-live&amp;scope=site
Yu, H., &amp; Solvang, W. (2016). A general reverse logistics network design model for product reuse and recycling with environmental considerations. International Journal of Advanced Manufacturing Technology, 87(9 -12), 2693 -2711. https://bdbiblioteca.universidadean.edu.co:2111/10.1007/s00170-016-8612-6
Malá, D., Sedliačiková, M., Dušak, M., Kaščáková, A., Musová, Z., &amp; Klementová, J. (2017). Green Logistics in the Context of Sustainable Development in Small and Medium Enterprises. Wood Industry / Drvna Industrija, 68(1), 69 -79. https://bdbiblioteca.universidadean.edu.co:2111/10.5552/drind.2017.1620
TÜZÜN RAD, S., &amp; GÜLMEZ, Y. S. (2017). Green Logistics for Sustainability. International Journal of Management Economics &amp; Business / Uluslararasi Yönetim Iktisat ve Isletme Dergisi, 13(3), 603 -614. https://bdbiblioteca.universidadean.edu.co:2111/10.17130/ijmeb.2017331327
Albekov, A. U., Parkhomenko, T. V., &amp; Polubotko, A. A. (2017). Green Logistics in Russia: The Phenomenon of Progress, Economic and Environmental Security, 20(1), 13 -21. Retrieved from http://bdbiblioteca.universidadean.edu.co:2054/login.aspx?direct=true&amp;db=eoh&amp;AN=EP121641195&amp;lang=es&amp;site=ehost-live&amp;scope=site
Avendaño P. (2015) José Martín Díaz Pulido, Revista ONTARE “Sistema de gestión de la logística inversa en el sector de la refrigeración en la ciudad de Bogotá”. El cual se encuentra en el link: https://journal.universidadean.edu.co/index.php/Revistao/article/view/1229
Miguel David Rojas, Julie Patricia Pérez, Luis Miguel Jiménez. Capítulos 1 y 2, del libro: Logística Inversa y verde.
 Sun, Q. (2017). Research on the influencing factors of reverse logistics carbon footprint under sustainable development. Environmental Science and Pollution Research International, 24(29), 22790-22798. doi: http://bdbiblioteca.universidadean.edu.co:2156/10.1007/s11356-016-8140-9
Singh, R. K., Koul, S., &amp; Kumar, P. (2017). Analyzing the interaction of factors for flexibility in supply chains. Journal of Modelling in Management, 12(4), 671-689. Retrieved from https://bdbiblioteca.universidadean.edu.co:2083/docview/1961867680?accountid=34925
Yang, M., Movahedipour, M., Zeng, J., Xiaoguang, Z., &amp; Wang, L. (2017). Analysis of success factors to implement sustainable supply chain management using interpretive structural modeling technique: A real case perspective. Mathematical Problems in Engineering, 2017, 14. doi: http://bdbiblioteca.universidadean.edu.co:2156/10.1155/2017/7274565
Njuguna, R. K., &amp; Mirugi, S. (2017). The Effectiveness of Relationship Management and Service Quality on Service Delivery. International Journal of Sales, Retailing &amp; Marketing, 6(2), 52 -59. Retrieved from http://bdbiblioteca.universidadean.edu.co:2054/login.aspx?direct=true&amp;db=bsu&amp;AN=125323575&amp;lang=es&amp;site=ehost-live&amp;scope=site
Agrawal, S., Singh, R. K. &amp; Murtaza, Q. (2016). Prioritizing critical success factors for reverse logistics implementation using fuzzy-TOPSIS methodology. J Ind Eng Int (2016) 12:15 -27.Disponible en https://link.springer.com/content/pdf/10.1007%2Fs40092-015-0124-8.pdf
Mauricio, André Luiz, &amp; Jabbour, Ana Beatriz Lopes de Sousa. (2017). Critical success factors for GSCM adoption: case studies in the automotive battery industry. Gestão &amp; Produção, 24(1), 78-94. Disponible en http://www.scielo.br/pdf/gp/v24n1/en_0104-530X-gp-24-1-78.pdf
Singh, K. (2017). Key Activities, Decision Variables and Performance Indicators of Reverse Logistics, Procedia CIRP 61 ( 2017 ) 257  - 262, https://ac.els-cdn.com/S2212827116313452/1-s2.0-S2212827116313452-main.pdf?_tid=7a59cdcd-e8d8-446e-bc5e-77b087945f03&amp;acdnat=1542077989_cda5de70e8a5248ebf7c718e269c4d1e
Huertas, J. D. (2014). Diseño del proceso de logística inversa o de retorno para la empresa Aldimark SAS. Recuperado de: http://hdl.handle.net/10882/5899
Galeano, R. A. (2015). Manual procedimental metodológico de logística inversa. Manual reverse logistics methodological procedure; Universidad EAN. Especialización en Gerencia Logística
Base de datos ProQuest
McCoy, J. H., &amp; Lee, H. L. (2014). Using Fairness Models to Improve Equity in Health Delivery Fleet Management. Production and Operations Management, 23(6), 965 -977. https://bdbiblioteca.universidadean.edu.co:2111/http://onlinelibrary.wiley.com/journal/10.1111/(ISSN)1937-5956/issues
Smilowitz, K., Nowak, M., &amp; Jiang, T. (2013). Workforce Management in Periodic Delivery Operations. Transportation Science, 47(2), 214 -230. https://bdbiblioteca.universidadean.edu.co:2111/10.1287/trsc.1120.0407
Durga, A. (2015). A Gudie to Web Content Management for Multichannel Delivery. EContent, 38(9), 30 -31. Retrieved from http://bdbiblioteca.universidadean.edu.co:2054/login.aspx?direct=true&amp;db=bsu&amp;AN=110608769&amp;lang=es&amp;site=ehost-live&amp;scope=site
Stewart, D., &amp; Waddell, D. (2008). Knowledge Management: The fundamental component for delivery of quality. Total Quality Management &amp; Business Excellence, 19(9), 987 -996. https://bdbiblioteca.universidadean.edu.co:2111/10.1080/14783360802227803
Lecturas en Internet.
Alsina, A. (2018). Beneficios del IoT o Internet of Things aplicado a la logística, Disponible en https://www.iebschool.com/blog/internet-of-things-sector-logistica/
EAE Busines School, (2016). Logística de distribución: Gestionado eficazmente el transporte, Disponible en https://retos-operaciones-logistica.eae.es/logistica-de-distribucion-gestionando-eficazmente-el-transporte/
Guadarrama, D.A. (2018). Crowdsourced Delivery: La salvación de los retailers, disponible en https://www.iebschool.com/blog/crowdsourced-delivery-retailers-logistica/
Gómez, R. A., Correa, A. A. &amp; Hernández, J. D. (2016). Modelo de centro de distribución verde: amigabilidad con el medio ambiente y eficiencia operacional usando un enfoque de procesos y un metaheurístico de búsqueda tabú. Revista Ingenierías Universidad de Medellín, vol. 16, No. 31 pp. 199-217, Disponible en http://www.scielo.org.co/pdf/rium/v16n31/1692-3324-rium-16-31-00199.pdf
Saldarriaga, D. L. (s.f.). Funciones y Diseño de un Centro de Distribución de Clase Mundial. Almacenar menos, distribuir más, Disponible en http://www.famiu.com.co/anexos/documentos/Funciones%20y%20Dise%C3%B1o%20de%20un%20Centro%20de%20Distribuci%C3%B3n%20de%20Clase%20Mundial_Documento...pdf
 Agrawal, S., Singh, R. K. &amp; Murtaza, Q. (2015). A literature review and perspectives in reverse logistics, Resources, Conservation and Recycling 97 (2015) 76 -92. Disponible en https://s3.amazonaws.com/academia.edu.documents/49808704/A_literature_review_and_perspectives_in_reverse_logistics.pdf?AWSAccessKeyId=AKIAIWOWYYGZ2Y53UL3A&amp;Expires=1541979608&amp;Signature=5qX%2BCdOQ7W7zzObZd%2BoKgTKEdPk%3D&amp;response-content-disposition=inline%3B%20filename%3DA_literature_review_and_perspectives_in.pdf
Hazen, B. T., Overstreet, R. E., Hall, D. J., Huscroft, J. R. &amp; Hanna, J. B. (2015). Antecedents to and outcomes of reverse logistics metrics, Industrial Marketing Management 46 (2015) 160 -170. Disponible en https://pdfs.semanticscholar.org/60b8/1395d06c143dd9eb59ce78b166ac9ca1571a.pdf
 </t>
  </si>
  <si>
    <t xml:space="preserve">Grisales, N. M., &amp; Ramírez, R. D. M. (2019). Decisiones estratégicas de operaciones en la producción sostenible: análisis de tendencias en investigación. Revista Lasallista de Investigación, 16(1), 228 -243. https://bdbiblioteca.universidadean.edu.co:2120/10.22507/rli.v16n1a4
Jacobs, F. R. &amp; Chase, R. B. (2018). Administración de operaciones, producción y cadena de suministros. Editroal McGraw-Hill, México. Disponible Base de datos Ebooks 7-24 de la biblioteca virtual de la Universidad EAN.
Hender, J. &amp; Render, B. (2015). Dirección de la producción y de operaciones. Decisiones estratégicas. 11a. Edición, Pearson Educación, S.A. Madrid (España). Disponible Base de datos Ebooks 7-24 de la biblioteca virtual de la Universidad EAN.
Kaplan, R. S &amp; Norton, D. P. (2011). Poniendo el Balanced Scorecard en acción. Harvard Business Review, Publicación original 1993, p. 52  - 65, Disponible en https://www.falconi.com/wp-content/uploads/2015/11/artigo_05.pdf
Lescano, J. Valdéz, L. E., Lescano, L. E., Reyes, C. A. &amp; Balaúnde, M. F. (2015). Manual del desarrollo sostenible. El futuro que queremos. Editorial Macro EIRL, Lima, Perú. Disponible en la base de datos Ebooks 7-24.
Bayraktar, E., Jothishankar, M. C., Tatoglu, E., &amp; Wu, T. (2007). Evolution of operations management: Past, present and future: MRN. Management Research News, 30(11), 843-871. disponible en :http://bdbiblioteca.universidadean.edu.co:2156/10.1108/01409170710832 
Demir, A. (2019). The Impact of Strategic Operations Management Decisions on Shoppers' Wellbeing. Asian Academy of Management Journal, 24(1), 25 -57. https://bdbiblioteca.universidadean.edu.co:2111/10.21315/aamj2019.24.1.2
Sting, F. J., &amp; Loch, C. H. (2016). Implementing Operations Strategy: How Vertical and Horizontal Coordination Interact. Production and Operations Management, 25(7), 1177 -1193. https://bdbiblioteca.universidadean.edu.co:2111/http://onlinelibrary.wiley.com/journal/10.1111/(ISSN)1937-5956/issues
Kremer, K. (2019). Operations Strategy: Literature Review and Case Study of Ikea. Enterprise Odyssey. International Conference Proceedings, (1), 606 -616. Retrieved from http://bdbiblioteca.universidadean.edu.co:2054/login.aspx?direct=true&amp;db=ent&amp;AN=137491848&amp;lang=es&amp;site=ehost-live&amp;scope=site
Rajnović, L., Cico, S., &amp; Eremić - Đorđić, J. (2019). Sustainable Operations as a Strategy of Management of Companies, with a Review in the Field of Agriculture. Economics of Agriculture / Ekonomika Poljoprivrede, 66(2), 601 -615. https://bdbiblioteca.universidadean.edu.co:2111/10.5937/ekoPolj1902601R
Drake, D. F., &amp; Spinler, S. (2013). Sustainable Operations Management: An Enduring Stream or a Passing Fancy? Manufacturing and Service Operations Management, 15(4), 689 -700. https://bdbiblioteca.universidadean.edu.co:2111/http://msom.journal.informs.org/content/by/year
Tsay, A. A., Gray, J. V., Noh, I. J., &amp; Mahoney, J. T. (2018). A Review of Production and Operations Management Research on Outsourcing in Supply Chains: Implications for the Theory of the Firm. Production and Operations Management, 27(7), 1177 -1220. Retrieved from http://bdbiblioteca.universidadean.edu.co:2054/login.aspx?direct=true&amp;db=eoh&amp;AN=1725680&amp;lang=es&amp;site=ehost-live&amp;scope=site
Tornjanski, V., Marinkovic, S., &amp; Jancic, Z. (2017). Towards Sustainability: Effective Operations Strategies, Quality Management and Operational Excellence in Banking. Amfiteatru Economic, 19(44), 79 -94. https://bdbiblioteca.universidadean.edu.co:2111/http://www.amfiteatrueconomic.ro/Arhiva_EN.aspx
Peinado, J., Reis Graeml, A., &amp; Vianna, F. (2018). Operations management body of knowledge and its relevance to manufacturing and service organizations. REGE Revista de Gestão, 25(4), 373 -389. https://bdbiblioteca.universidadean.edu.co:2111/10.1108/REGE-03-2018-0049
Kang, N., Zhao, C., Li, J., &amp; Horst, J. A. (2016). A Hierarchical structure of key performance indicators for operation management and continuous improvement in production systems. International Journal of Production Research, 54(21), 6333 -6350. https://bdbiblioteca.universidadean.edu.co:2111/10.1080/00207543.2015.1136082
Lin Yi, Colbert, F., &amp; Luo Huihui. (2019). Operations Management and Strategic Positioning of the NCPA. International Journal of Arts Management, 21(3), 73 -81. Retrieved from http://bdbiblioteca.universidadean.edu.co:2054/login.aspx?direct=true&amp;db=bsu&amp;AN=136694599&amp;lang=es&amp;site=ehost-live&amp;scope=site
Dresch, A., Pacheco Lacerda, D., &amp; Augusto Cauchick-Miguel, P. (2019). Design Science in Operations Management: Conceptual Foundations and Literature Analysis. Brazilian Journal of Operations &amp; Production Management, 16(2), 333 -346. https://bdbiblioteca.universidadean.edu.co:2111/10.14488/BJOPM.2019.v16.n2.a13
Loskutova, T. (2018). 10 Questions to Ensure Forecasting Is Aligned with Operations and Strategy. Journal of Business Forecasting, 37(2), 4 -9. Retrieved from http://bdbiblioteca.universidadean.edu.co:2054/login.aspx?direct=true&amp;db=bsu&amp;AN=130794565&amp;lang=es&amp;site=ehost-live&amp;scope=site
Strzelczak, S. (2018). Integrated Assessment of Operations Strategy. Scientific Papers of Silesian University of Technology. Organization &amp; Management / Zeszyty Naukowe Politechniki Slaskiej. Seria Organizacji i Zarzadzanie, (116), 95 -108. Retrieved from http://bdbiblioteca.universidadean.edu.co:2054/login.aspx?direct=true&amp;db=bsu&amp;AN=129476044&amp;lang=es&amp;site=ehost-live&amp;scope=site
Ivanov, D., Tsipoulanidis, A. &amp; Schonberger, J. (2017). Global Supply Chain and Operations Management. A Decision-Oriented Introduction to the Creation of Value. Springer International Publishing Switzerland. Disponible en la base de datos Springer eBook de la biblioteca virtual.
Gobetto, M. (2014). Operations Management in Automotive Industries. From Industrial Strategies to Production Resources Management, Through the Industrialization Process and Supply Chain to Pursue Value Creation. Springer Science+Business Media. Dordrecht. Disponible en la base de datos Springer eBook de la biblioteca virtual.
 Brecher, C. Editor (2015). Advances in Production Technology. Editorial Springer International Publishing AG, Switzerland, Disponible base de datos Springer ebook, https://link.springer.com/content/pdf/10.1007%2F978-3-319-12304-2.pdf
Holman, D., Totterdell, P., Axtell, C., Stride, C., Port, R., Svensson, R., &amp; Zibarras, L. (2012). Job Design and the Employee Innovation Process: The Mediating Role of Learning Strategies. Journal of Business &amp; Psychology, 27(2), 177 -191. https://bdbiblioteca.universidadean.edu.co:2111/10.1007/s10869-011-9242-5
Koetting, S. L. (2015). 3 Strategies to Guide an Effective Design Process. Global Cosmetic Industry, 183(4), 40 -43. Retrieved from http://bdbiblioteca.universidadean.edu.co:2054/login.aspx?direct=true&amp;db=bsu&amp;AN=102221846&amp;lang=es&amp;site=ehost-live&amp;scope=site
Hollers, B. (2017). Documenting the Engineering Design Process. Technology and Engineering Teacher, 77(2), 35 -39. Retrieved from http://bdbiblioteca.universidadean.edu.co:2054/login.aspx?direct=true&amp;db=eric&amp;AN=EJ1156366&amp;lang=es&amp;site=ehost-live&amp;scope=site
Park, M., Kim, J. J.-Y., Kwon, K., &amp; Yu, G. J. (2017). Process control and economic cost design for total quality management. Total Quality Management &amp; Business Excellence, 28(7/8), 858 -878. https://bdbiblioteca.universidadean.edu.co:2111/10.1080/14783363.2015.1133243
Sayar, D., &amp; Er, Ö. (2017). The Influence of Product Design Practices on New Service Development: Analysis of Selected Manufacturing Firms. Design Management Journal, 12(1), 3 -12. https://bdbiblioteca.universidadean.edu.co:2111/10.1111/dmj.12035
Masood, T., Roy, R., Harrison, A., Xu, Y., Gregson, S., &amp; Reeve, C. (2015). Integrating through-life engineering service knowledge with product design and manufacture. International Journal of Computer Integrated Manufacturing, 28(1), 59 -74. https://bdbiblioteca.universidadean.edu.co:2111/10.1080/0951192X.2014.900858
Vasantha, G. A., Roy, R., Lelah, A., &amp; Brissaud, D. (2012). A review of product -service systems design methodologies. Journal of Engineering Design, 23(9), 635 -659. https://bdbiblioteca.universidadean.edu.co:2111/10.1080/09544828.2011.639712
Martinez Jurado, P. J., &amp; Moyano Fuentes, J. (2011). Lean production y gestión de la cadena de suministro en la industria aeronáutica. (Lean Production and Supply Chain Management in the Aeronautic Industry. With English summary.). Investigaciones Europeas de Dirección y Economía de La Empresa, 17(1), 137 -157. https://bdbiblioteca.universidadean.edu.co:2111/http://www.sciencedirect.com/science/journal/11352523
 Demeter, K. (2017). Research in global operations management: Some highlights and potential future trends: IMS. Journal of Manufacturing Technology Management, 28(3), 324-333. doi: http://bdbiblioteca.universidadean.edu.co:2156/10.1108/JMTM-02-2017-0030
Simpson, D., Meredith, J., Boyer, K., Dilts, D., Ellram, L. M., &amp; Leong, G. K. (2015). Professional, research, and publishing trends in operations and supply chain management. Journal of Supply Chain Management, 51(3), 87-100. Retrieved from https://bdbiblioteca.universidadean.edu.co:2083/docview/1695970875?accountid=34925
Scherrer, M., &amp; Deflorin, P. (2017). Prerequisite for lateral knowledge flow in manufacturing networks: IMS. Journal of Manufacturing Technology Management, 28(3), 394-419. doi: http://bdbiblioteca.universidadean.edu.co:2156/10.1108/JMTM-10-2015-0090
Drohomeretski, E., Gouvea da Costa, S. E., Pinheiro de Lima, E., &amp; Garbuio, P. A. da R. (2014). Lean, Six Sigma and Lean Six Sigma: an analysis based on operations strategy. International Journal of Production Research, 52(3), 804 -824. https://bdbiblioteca.universidadean.edu.co:2111/10.1080/00207543.2013.842015
Biazzin, C., Solano-Charris, E. L., &amp; Jarrín Quintero, J. A. (2017). Supply Chain and Operations Strategies for Problem-Solving in Latin American Countries: An Introduction. Journal of Operations &amp; Supply Chain Management, 10(2), 1 -5. https://bdbiblioteca.universidadean.edu.co:2111/10.12660/joscmv10n2p01-05
Järvenpää E., Lanz M. (2019) Lean Manufacturing and Sustainable Development. In: Leal W., Azeiteiro U., Azul A., Brandli L., Özuyar P., Wall T. (eds) Responsible Consumption and Production. Encyclopedia of the UN Sustainable Development Goals. Springer, Cham, Disponible https://link.springer.com/content/pdf/10.1007%2F978-3-319-71062-4_7-1.pdf
Saukkonen N., Kirjavainen J. (2019) Business Environment: Emerging External and Internal Pressures for Sustainable Production. In: Leal W., Azul A., Brandli L., Özuyar P., Wall T. (eds) Responsible Consumption and Production. Encyclopedia of the UN Sustainable Development Goals. Springer, Cham, Disponible en https://link.springer.com/content/pdf/10.1007%2F978-3-319-71062-4_1-1.pdf
Sansone, C., Hilletofth, P., &amp; Eriksson, D. (2017). Critical operations capabilities for competitive manufacturing: A systematic review. Industrial Management &amp; Data Systems, 117(5), 801-837. doi: http://bdbiblioteca.universidadean.edu.co:2156/10.1108/IMDS-02-2016-0066
Matthias, O., Fouweather, I., Gregory, I. &amp; Vernon, A. (2017). Making sense of Big Data  - can it transform operations management? International Journal of Operations &amp; Production Management, 37 (1), 37-55. Disponible en http://shura.shu.ac.uk/18665/1/Matthias-MakingSenseOfBigData%28AM%29.pdf
Franklin,Carter L.,,II. (2011). Managing risk in operations. Academy of Information and Management Sciences Journal, 14(2), 117-132. Retrieved from https://bdbiblioteca.universidadean.edu.co:2083/docview/886542987?accountid=34925
Videos.
Ramos, M. (2017). Proceso de Planificación Estratégica - Planeamiento Estratégico, disponible en http://bit.ly/33Jkpj3
Martín, J. S, (2016). Clase abierta: Planificación y ejecución estratégica, disponible en https://www.youtube.com/watch?v=Xck63uY8s1Y&amp;list=PLL4iewF-zCRcRCEp0ks-N01Yqryg3ifuY
Mula, J. (2018). Áreas de decisión para la estrategia de operaciones - UPV, Disponible en https://www.youtube.com/watch?v=FedSsuthqzw
100negocios. (2018). ¿Por Qué Es Importante La Administración De Operaciones? Disponible en http://bit.ly/2KYHd5J 
USIL. (2016). Sem01. Tema02. Ajuste estratégico de operaciones y la cadena de suministro. Disponible en http://bit.ly/30lDMg1 
Porter, M. (2010). ¿Qué es estrategia? Disponible en http://bit.ly/2TQLRXq 
Guerras, L. A. (2018). Capítulo 1. El concepto de estrategia. Disponible en http://bit.ly/2HijbSm 
Porter, m. (2018). Clase magistral de Michael Porter. IEB. Disponible http://bit.ly/2L12fR8 
Baños, R. (2015). Dirección de Operaciones - Estrategias de Proceso. Universidad Católica de Murcia. UCAM. Disponible en http://bit.ly/30rnAd2 
García, J. P. (2014). Introducción a la Dirección de Operaciones | 23/25 | UPV, Disponible en http://bit.ly/2MuVGcH 
García, J. P. (2014). Sistemas de Planificación y Control de Operaciones | | UPV. Disponible en http://bit.ly/2HfoKAD 
Baños, R. (2015). Dirección de Operaciones - Capacidad de un Proceso: Concepto. Universidad Católica de Murcia. UCAM. Disponible en http://bit.ly/31TPm22 
Estrada, M. (2016). Lec001 El diseño del subsistema de operaciones (umh2161 2016-17), disponible en http://bit.ly/33QnrSH 
Mula. J- (2018). Tipos de diseños organizativos en la estrategia de operaciones | | UPV. Disponible en http://bit.ly/30pJRrA
Baños, R. (2015). Dirección de Operaciones - Plan Agregado de Producción (PAP).  - Universidad Católica de Murcia. UCAM. Disponible en http://bit.ly/31QOtHJ 
Martínez, I. (2018). ¿Qué es Lean Manufacturing?- Aprende lo que es la Manufactura Esbelta. Disponible en http://bit.ly/2Nos8xk 
Magaz. J. (2'15). Clase abierta: Lean Seis Sigma de mejora de procesos. Disponible en http://bit.ly/2KMDtpe 
Fuentes, O. (2018). Tendencias empresariales que cambiarán el mundo en 2018. IEBS Business School. Disponible en http://bit.ly/2P8fxRk 
Blanes, J . F. (2018) La cuarta Revolución Industrial: La Industria 4.0, disponible en  https://www.youtube.com/watch?v=Scgr1R4QPK0
Sang. (2019). Industria 4 0 - Explicado Fácilmente, disponible en https://www.youtube.com/watch?v=Qb7twp03c58&amp;t=282s
Sang. (2019). Industria 4.0: Influencia en nuestras vidas. Disponible en http://bit.ly/2Zluqn2 
World Economic Forum (2016). La Cuarta Revolución Industrial | Versión completa. Disponible en http://bit.ly/2ZcsrCw 
Thompson, F. (2019). Tecnología: La IA en el mundo empresarial. disponible en http://bit.ly/33P450g 
Cortés, C. J. (2018). Nuevos materiales, impresión 3D y fábricas inteligentes: Avances en la producción. Disponible en http://bit.ly/2ZhF9if 
Asidek - CT Solutions Group. (2017). Industria 4.0 - Fundamentos y puntos clave. Disponible en http://bit.ly/33PvsHq 
AudideMexico (2016). La Smart Factory de Audi en México: Producción Premium y Protección del Ambiente. Disponible en http://bit.ly/2MtD78V 
 </t>
  </si>
  <si>
    <t xml:space="preserve">Consulte en biblioteca digital /Pearson:
Taha (2017).  Investigación de Operaciones. Editorial Pearson. Décima Edición. Capítulo 18.
Flexsim (2017). Manual de usuario : disponible en https://goo.gl/3cVcBP 
IRENEUSZ KACZMAR. Cost Optimization of Blend Preparation With the use of the Flexsim Environment. Agricultural Engineering, [s. l.], v. 43, n. 4 (156), p. 51–60, 2015. DOI 10.14654/ir.2015.156.151. Disponível em: https://search-ebscohost-com.bdbiblioteca.universidadean.edu.co/login.aspx?direct=true&amp;db=edsbaz&amp;AN=edsbaz.171442948&amp;lang=es&amp;site=eds-live&amp;scope=site. Acesso em: 24 ago. 2020.
Nordgren, Bill. In: 2017 Winter Simulation Conference (WSC) Simulation Conference (WSC), 2017 Winter. :4453-4453 Dec, 2017; IEEE Language: English, Base de datos: IEEE Xplore Digital Library
Publicación académica
By: H Paz Orozco; J D Cañar Truque; L Plazas Pemberthy; H Angulo Sinisterra. In: Publicaciones e Investigación , Vol 12, Iss 2, Pp 83-93 (2018); Universidad Nacional Abierta y a Distancia, 2018. Language: Spanish; Castilian, Base de datos: Directory of Open Access Journals
    </t>
  </si>
  <si>
    <t xml:space="preserve">Básico	
Chopra, S. (2020). Administración de la cadena de suministro: estrategia,
planeación y operación. Pearson Educación. 
Render, B., y Heizer, J. (2014). Principios de Administración de Operaciones. 9th
ed. Pearson Educación. 
Villareal, F. (2016). Introducción a los Modelos de Pronósticos. 
Wooldridge, J. (2015). Introducción a la Econometría. 5th ed. México, D.F.:
Cengage. 
Nemati, Y., Madhoshi, M., &amp; Ghadikolaei, A. S. (2017). The effect of Sales and
Operations Planning (S&amp;OP) on supply chain’s total performance: A case
study in an Iranian dairy company. Computers &amp; chemical engineering, 104,
323–338. 
Nascimiento, S. (2020) Planificación de ventas y operaciones (S&amp;OP) y
transformación digital: una revisión narrativa. Connecting research and
researchers-ORCID. Disponible en: https://bit.ly/3rbrwPj
Complementario	
Krajewski, L., González, M., Malhotra, M., y Ritzman, L. (2013). Administración de Operaciones. Procesos y Cadena de Suministro. 10th ed. 
Lind, D., Marchal, W., y Wathen, S. (2019). Estadístico Aplicado a los Negocios y la Economía. 17th ed. McGraw-Hill Interamericana. 
Stock, J., Arrazola, M., Rodas, L., Sánchez, R., y Watson, M. (2012). Introducción a
la Econometría. 3rd ed. Pearson Educación. 
Wooldridge, J. M. (2015). Introducción a la econometría. Cengage Learning.
 </t>
  </si>
  <si>
    <t>EugeneS. Schneller y Larry R. Smeltzer Strategic Management of the Health Care Supply Chain Jossey –Bass EEUU 2006,John Gattorna Cadenas de Abastecimiento Dinámicas Ecoe Bogotá 2009, Pablo C. Ocampo Emprendimiento e innovación, artículo Gerencia Logística y global, Mayo-Agosto 2009, páginas de 113-136. Universidad EAN ISSN 0120-8160. Bogotá 2009, Andrés Muñoz Machado Logística y Turismo Diaz Santos España 2005, Gs1 Switzerland Logistikmark 2009 Edit Alemana Suiza 2009, Profesores y consultores de MBA Europeos. MBA . L´essencial de l´ Administration par les meillures professeurs d’Organisation (Éditions Oct 2008) Paris 2008 Gerard Baglin, Olivier Bruel. Management Industriel et Logistique (Concevoir et piloter la Supply Chain). Económica Paris 2007, Ronald Ballou Administración de la Cadena de Suministro, quinta edición Prentice Hall México 2006, Revista Zona 7ork7tica Bogotá y Medellín 2007, Revista Mecalux Española.. España 2007,</t>
  </si>
  <si>
    <t>Silva, Duarte, Jorge Enrique. Emprendedor: hacia un emprendimiento sostenible. Segunda edición. Alfaomega. 2013 Kliksberg, Bernardo, ¡Cómo enfrentar la pobreza y la desigualdad? Una perspectiva internacional. Ediciones Ética y economía. 2013 Kliksberg, Bernardo, Ética para empresarios. Ediciones Ética y economía. 2013 Sen, Amartya y Kliksberg Bernardo. Primero la gente. Editorial Deusto. 2007 Sen, Amartya, La idea de la justicia, Taurus editores, 2009 Gunter, Pauly, La economía azul, TUSQUETS editores, 2012 Algatti and Krishna (2007). Business Ethics (concepts and practices). (4th ed.) Mumbai: Niraly Prakashan. Alexander Marinio. (2009). Planeación estratégica. Disponible en http://www.youtube.com/watch?v=ti1hSr2XGFs Bartle, Phil. (2011) ¿Qué es comunidad? Una descripción sociológica. Recuperado el 29 de Marzo de 2012, de http://cec.vcn.bc.ca/mpfc/whats.htm Camacho, I., Fernández, J., y Miralles, J. (2009). Ética de la empresa. (6ª.ed.). España: Editorial Desclee de Brouwer.</t>
  </si>
  <si>
    <t>Book, International Logistics, authors, Pierre David and Richard Steward, Cengage press, 2010. Book, Greening Supply chain Management , autor,Joseph Sarkis, Springer press, 2010 Book: Management of Industrial Cleaning Technology and Processes, authors John Durkee II, elsevier press, 2006</t>
  </si>
  <si>
    <t>aavedra Rodríguez, A., &amp; Mercado Agudelo, A. (2018). Introducción a la ingeniería. Ediciones UIS.
Muñoz Guzmán, F. A., &amp; Ramírez López, J. E. (2014). Fundamentos de ingeniería. Alfaomega Colombiana.
Weste, L. H., &amp; Beedle, K. D. (2016). Introducción a la ingeniería: Una perspectiva global (4ª ed.). Pearson Educación.
O'Connor, V. C., &amp; Stark, S. (2017). Ingeniería: Una introducción a la profesión (4ª ed.). Cengage Learning.</t>
  </si>
  <si>
    <t>???</t>
  </si>
  <si>
    <t xml:space="preserve">Base de datos ProQuest
Brown, T., &amp; Potoski, M. (2006). Contracting for Management: Assessing Management Capacity under Alternative Service Delivery Arrangements. Journal of Policy Analysis and Management, 25(2), 323 -346. https://bdbiblioteca.universidadean.edu.co:2111/http://onlinelibrary.wiley.com/journal/10.1002/%28ISSN%291520-6688/issues
Watermeyer, R. (2012). The supply chain management system for the delivery and maintenance of infrastructure by organs of state. Civil Engineering (10212000), 20(6), 51 -60. Retrieved from http://bdbiblioteca.universidadean.edu.co:2054/login.aspx?direct=true&amp;db=bsu&amp;AN=79934704&amp;lang=es&amp;site=ehost-live&amp;scope=site
 Kovačić, D., &amp; Bogataj, M. (2017). Net present value evaluation of energy production and consumption in repeated reverse logistics. Technological &amp; Economic Development of Economy, 23(6), 877 -894. https://bdbiblioteca.universidadean.edu.co:2111/10.3846/20294913.2015.1065455
de Godoy Lima, M. Y., Fernandes, É. Á., &amp; Amâncio-Vieira, S. F. (2017). Reverse Logistics in Eletronic Industry: A Study on the E-Lixo Non-Governamental Organization and Its Contribution to Sustainability. Organizações e Sustentabilidade, 5(2), 92 -114. Retrieved from http://bdbiblioteca.universidadean.edu.co:2054/login.aspx?direct=true&amp;db=bsu&amp;AN=126366460&amp;lang=es&amp;site=ehost-live&amp;scope=site
Fadhel, A. W., Ndiaye, M., Khumawala, B., &amp; Gupta, S. M. (2017). Waste Management in Sustainable Food Supply Chain through Reverse Logistics. Proceedings for the Northeast Region Decision Sciences Institute (NEDSI), 1058 -1068. Retrieved from http://bdbiblioteca.universidadean.edu.co:2054/login.aspx?direct=true&amp;db=bsu&amp;AN=122933208&amp;lang=es&amp;site=ehost-live&amp;scope=site
Kannan, D., Garg, K., Jha, P., &amp; Diabat, A. (2017). Integrating disassembly line balancing in the planning of a reverse logistics network from the perspective of a third party provider. Annals of Operations Research, 253(1), 353 -376. https://bdbiblioteca.universidadean.edu.co:2111/10.1007/s10479-016-2272-7
Silva Rodríguez, J. D. (2017). Diseño de una red de logística inversa: caso de estudio Usochicamocha - Boyacá. Ingeniería y Ciencia, 13(26), 91 -113. https://bdbiblioteca.universidadean.edu.co:2111/10.17230/ingciencia.13.26.4
Muniz Jr, J., Cunha, J. C., Almeida, R., &amp; Marins, F. A. S. (2017). The Knowledge Management in Business Strategies and Reverse Logistics. Brazilian Journal of Operations &amp; Production Management, 14(1), 28 -36. https://bdbiblioteca.universidadean.edu.co:2111/10.14488/BJOPM.2016.v14.n1.a4
Burnson, P. (2018). Reverse Logistics in the “Age of Entitlement.” Logistics Management, 57(3), 36 -39. Retrieved from http://bdbiblioteca.universidadean.edu.co:2054/login.aspx?direct=true&amp;db=bsu&amp;AN=128329192&amp;lang=es&amp;site=ehost-live&amp;scope=site
Kovacic, D., &amp; Bogataj, L. (2011). Multistage Reverse Logistics of Assembly Systems in Extended MRP Theory Consisting of All Material Flows. Central European Journal of Operations Research, 19(3), 337 -357. https://bdbiblioteca.universidadean.edu.co:2111/https://link.springer.com/journal/volumesAndIssues/10100
Lee, Y. J., Baker, T., &amp; Jayaraman, V. (2012). Redesigning an integrated forward -reverse logistics system for a third party service provider: an empirical study. International Journal of Production Research, 50(19), 5615 -5634. https://bdbiblioteca.universidadean.edu.co:2111/10.1080/00207543.2011.651538
Mishra, N., Kumar, V., &amp; Chan, F. T. S. (2012). A multi-agent architecture for reverse logistics in a green supply chain. International Journal of Production Research, 50(9), 2396 -2406. https://bdbiblioteca.universidadean.edu.co:2111/10.1080/00207543.2011.581003
Mora, L. &amp; Martín, M. (2013). Logística inversa y ambiental: retos y oportunidades en las organizaciones modernas, Ecoe Ediciones, Disponible en la base de datos ProQuest Ebook Central, https://bdbiblioteca.universidadean.edu.co:2091/lib/bibliotecaeansp/detail.action?docID=4870552.
Fernández, I. (2005). Análisis de la logística inversa en el entorno empresarial. Una aproximación cualitativa, Ediuno - Universidad de Oviedo, 2005. ProQuest Ebook Central, https://bdbiblioteca.universidadean.edu.co:2091/lib/bibliotecaeansp/detail.action?docID=3162816.
Woods, R. (2017). Too Many Happy Returns: The Struggle to Predict Reverse Logistics. Air Cargo World, 107(9), 32 -34. Retrieved from http://bdbiblioteca.universidadean.edu.co:2054/login.aspx?direct=true&amp;db=bsu&amp;AN=125747977&amp;lang=es&amp;site=ehost-live&amp;scope=site
Wunderlin, A. (2017). Supply chain in reverse: The challenges of navigating reverse logistics in an e-commerce world. Supply &amp; Demand Chain Executive, 18(4), 26 -29. Retrieved from http://bdbiblioteca.universidadean.edu.co:2054/login.aspx?direct=true&amp;db=bsu&amp;AN=125251710&amp;lang=es&amp;site=ehost-live&amp;scope=site
Lee, S., Kang, Y., &amp; Prabhu, V. V. (2016). Smart logistics: distributed control of green crowdsourced parcel services. International Journal of Production Research, 54(23), 6956 -6968. https://bdbiblioteca.universidadean.edu.co:2111/10.1080/00207543.2015.1132856
Kengpol, A., &amp; Tuammee, S. (2016). The development of a decision support framework for a quantitative risk assessment in multimodal green logistics: an empirical study. International Journal of Production Research, 54(4), 1020 -1038. https://bdbiblioteca.universidadean.edu.co:2111/10.1080/00207543.2015.1041570
Ozturkoglu, Y. (2016). On the 4Ps &amp; 4Cs of Green Logistics Marketing Mix. Logistics &amp; Transport, 29(1), 5 -17. Retrieved from http://bdbiblioteca.universidadean.edu.co:2054/login.aspx?direct=true&amp;db=bsu&amp;AN=117340609&amp;lang=es&amp;site=ehost-live&amp;scope=site
Base de datos Ebsco
Dong, S., Johar, M. S., &amp; Kumar, R. L. (2011). A Benchmarking Model for Management of Knowledge-Intensive Service Delivery Networks. Journal of Management Information Systems, 28(3), 127 -160. Retrieved from http://bdbiblioteca.universidadean.edu.co:2054/login.aspx?direct=true&amp;db=bsu&amp;AN=70989257&amp;lang=es&amp;site=ehost-live&amp;scope=site
Benotmane, Z., Belalem, G., &amp; Neki, A. (2018). A cost measurement system of logistics process. International Journal of Information Engineering and Electronic Business, 10(5), 23. doi: http://bdbiblioteca.universidadean.edu.co:2156/10.5815/ijieeb.2018.05.04
Agrawal, S., Singh, R. K., &amp; Murtaza, Q. (2015). Prioritizing critical success factors for reverse logistics implementation using fuzzy-TOPSIS methodology. Journal of Industrial Engineering International, 12(1), 15-27. doi: http://bdbiblioteca.universidadean.edu.co:2156/10.1007/s40092-015-0124-8
Ravi, V., &amp; Shankar, R. (2017). An ISM-based approach analyzing interactions among variables of reverse logistics in automobile industries. Journal of Modelling in Management, 12(1), 36-52. Retrieved from https://bdbiblioteca.universidadean.edu.co:2083/docview/1868932752?accountid=34925
Digalwar, A. K., Jindal, A., &amp; Sangwan, K. S. (2015). Modeling the performance measures of world class manufacturing using interpreting structural modeling. Journal of Modelling in Management, 10(1), 4-22. Retrieved from https://bdbiblioteca.universidadean.edu.co:2083/docview/1664402634?accountid=34925
Shashi, Singh, R., &amp; Shabani, A. (2016). The identification of key success factors in sustainable cold chain management: Insights from the indian food industry. JOSCM : Journal of Operations and Supply Chain Management, 9(2), 1-16. doi: http://bdbiblioteca.universidadean.edu.co:2156/10.12660/joscmv9n2p1-16
Lecturas Internet
Honorato, M. (2016). Puntos claves en una buena estrategia de distribución logística, Disponible en https://www.beetrack.com/es/blog/estrategia-de-distribucion-logistica
Martín del Campo, A. (2018). La logística sostenible como clave del futuro medioambiental, disponible en https://www.iebschool.com/blog/medio-ambiente-sostenible-logistica/
Giusti, F. (2017). Los 4 problemas silenciosos de la distribucion fisica de productos, https://www.beetrack.com/es/blog/los-4-problemas-silenciosos-de-la-distribucion-fisica-de-productos
Barragan, A. (s.f.). Las funciones de logística en la distribución de producto, http://www.pymerang.com/logistica-y-supply-chain/logistica/distribucion/309-logistica-de-distribucion
 </t>
  </si>
  <si>
    <t xml:space="preserve">Pérez-Espinoza, J.M., Espinoza-Carrión, C. &amp; Peralta-Mocha, B. (2016). La responsabilidad social empresarial y su enfoque ambiental: una visión sostenible a futuro. Revista Universidad y Sociedad [seriada en línea], 8 (3). pp. 169 - 178. Recuperado de http://rus.ucf.edu.cu
Raufflet, E., Portales, L., García C. Lozano, J. F. &amp; Barrera E. (2017) Responsabilidad, ética y sostenibilidad empresarial, Pearson educación- Disponible en la base de datos Ebook 7-24.
Joyanes, L. (2017). Industria 4.0. La cuarta revolución industrial, Alfaomega Grupo Editor, S.A. de C.V., México, Disponible en la base de datos Alfaomega Cloud de la biblioteca virtual de la Universidad EAN.
Peinado, J., &amp; Reis Graeml, A. (2014). A Prática Da Gestão De Operações Nas Organizações. RAE: Revista de Administração de Empresas, 54(5), 483 -495. https://bdbiblioteca.universidadean.edu.co:2111/10.1590/S0034-759020140503
 Piercy, N. (2012). Business History and Operations Management. Business History, 54(2), 154 -178. https://bdbiblioteca.universidadean.edu.co:2111/http://www.tandfonline.com/loi/fbsh20
 Nechkoska, R. P., Manceski, G., &amp; Poels, G. (2014). Meeting Point of Strategy and Operations: Tactical Management Sense-and-Response Framework Enhancement. Proceedings of the European Conference on Information Management &amp; Evaluation, 333 -340. Retrieved from http://bdbiblioteca.universidadean.edu.co:2054/login.aspx?direct=true&amp;db=bsu&amp;AN=99225145&amp;lang=es&amp;site=ehost-live&amp;scope=site
Tice, M. (2011). Key risk indicators -- a link between risk management, operations and strategy. Keeping Good Companies (14447614), 63(3), 153 -157. Retrieved from http://bdbiblioteca.universidadean.edu.co:2054/login.aspx?direct=true&amp;db=bsu&amp;AN=60575529&amp;lang=es&amp;site=ehost-live&amp;scope=site
Siefkin, G. (2018). Using data to improve supply chain operations: Learn how to organize your data operations in alignment with supply chain strategy. Material Handling &amp; Logistics, 73(6), 26 -28. Retrieved from http://bdbiblioteca.universidadean.edu.co:2054/login.aspx?direct=true&amp;db=bsu&amp;AN=133949834&amp;lang=es&amp;site=ehost-live&amp;scope=site
Liu, Y., &amp; Liang, L. (2015). Evaluating and developing resource-based operations strategy for competitive advantage: an exploratory study of Finnish high-tech manufacturing industries. International Journal of Production Research, 53(4), 1019 -1037. https://bdbiblioteca.universidadean.edu.co:2111/10.1080/00207543.2014.932936
Persic, A., &amp; Markic, M. (2013). The Impact of Social Responsibility Vision and Strategy on Successful Corporate Operations. Managing Global Transitions, 11(1), 27 -40. https://bdbiblioteca.universidadean.edu.co:2111/http://www.fm-kp.si/zalozba/ISSN/1581-6311.htm
Alceu Gomes, A. F., Nogueira, E., &amp; Gomes Bento, P. E. (2015). Operations strategies of engine assembly plants in the brazilian automotive industry. International Journal of Operations &amp; Production Management, 35(5), 817-838. doi: http://bdbiblioteca.universidadean.edu.co:2156/10.1108/IJOPM-07-2013-0356
El-Gizawy, A. S., &amp; El-Sayed, J. J. (2002). A multiple objective based strategy for process design of machining operations. International Journal of Computer Integrated Manufacturing, 15(4), 353 -360. https://bdbiblioteca.universidadean.edu.co:2111/10.1080/09511920110059089
Durugbo, C. (2014). Strategic framework for industrial product-service co-design: findings from the microsystems industry. International Journal of Production Research, 52(10), 2881 -2900. https://bdbiblioteca.universidadean.edu.co:2111/10.1080/00207543.2013.857054
Tripunoski, M., Ferati, F., &amp; Sibinovski, B. (2017). Product Design in the Service of Quality International Marketing. Economy &amp; Market Communication Review / Casopis Za Ekonomiju i Trzisne Komunikacije, 7(1), 109 -120. https://bdbiblioteca.universidadean.edu.co:2111/10.7251/EMC1701109T
Amaya, J., Lelah, A., &amp; Zwolinski, P. (2014). Design for intensified use in product -service systems using life-cycle analysis. Journal of Engineering Design, 25(7 -9), 280 -302. https://bdbiblioteca.universidadean.edu.co:2111/10.1080/09544828.2014.974523
Carreira, R., Patrício, L., Jorge, R. N., &amp; Magee, C. L. (2013). Development of an extended Kansei engineering method to incorporate experience requirements in product -service system design. Journal of Engineering Design, 24(10), 738 -764. https://bdbiblioteca.universidadean.edu.co:2111/10.1080/09544828.2013.834038
Kuo, T. (2013). Mass customization and personalization software development: a case study eco-design product service system. Journal of Intelligent Manufacturing, 24(5), 1019 -1031. https://bdbiblioteca.universidadean.edu.co:2111/10.1007/s10845-012-0643-8
Ahram, T. Z., Karwowski, W., Jacobs, K., &amp; Soares, M. M. (2012). Embedded systems engineering for products and services design. Work, 41, 941 -948. Retrieved from http://bdbiblioteca.universidadean.edu.co:2054/login.aspx?direct=true&amp;db=bsu&amp;AN=71928792&amp;lang=es&amp;site=ehost-live&amp;scope=site
Maussang, N., Zwolinski, P., &amp; Brissaud, D. (2009). Product-service system design methodology: from the PSS architecture design to the products specifications. Journal of Engineering Design, 20(4), 349 -366. https://bdbiblioteca.universidadean.edu.co:2111/10.1080/09544820903149313
Baxter, D., Roy, R., Doultsinou, A., Gao, J., &amp; Kalta, M. (2009). A knowledge management framework to support product-service systems design. International Journal of Computer Integrated Manufacturing, 22(12), 1073 -1088. https://bdbiblioteca.universidadean.edu.co:2111/10.1080/09511920903207464
 Dresch, A., Pacheco Lacerda, D., &amp; Augusto Cauchick-Miguel, P. (2019). Design Science in Operations Management: Conceptual Foundations and Literature Analysis. Brazilian Journal of Operations &amp; Production Management, 16(2), 333 -346. https://bdbiblioteca.universidadean.edu.co:2111/10.14488/BJOPM.2019.v16.n2.a13
Attia, T. M. (2019). The Challenges and Risks Facing ICT in the Management and Operation of the Smart Grid. Renewable Energy &amp; Sustainable Development, 5(1), 3 -14. https://bdbiblioteca.universidadean.edu.co:2111/10.21622/RESD.2019.05.1.003
Tsay, A. A., Gray, J. V., Noh, I. J., &amp; Mahoney, J. T. (2018). A Review of Production and Operations Management Research on Outsourcing in Supply Chains: Implications for the Theory of the Firm. Production and Operations Management, 27(7), 1177 -1220. Retrieved from http://bdbiblioteca.universidadean.edu.co:2054/login.aspx?direct=true&amp;db=eoh&amp;AN=1725680&amp;lang=es&amp;site=ehost-live&amp;scope=site
Tornjanski, V., Marinkovic, S., &amp; Jancic, Z. (2017). Towards Sustainability: Effective Operations Strategies, Quality Management and Operational Excellence in Banking. Amfiteatru Economic, 19(44), 79 -94. https://bdbiblioteca.universidadean.edu.co:2111/http://www.amfiteatrueconomic.ro/Arhiva_EN.aspx
Wilson, S. (2018). Understanding Bottlenecks: An Operations Management Experiential Learning Exercise. Decision Sciences Journal of Innovative Education, 16(3), 166 -184. Retrieved from http://bdbiblioteca.universidadean.edu.co:2054/login.aspx?direct=true&amp;db=eric&amp;AN=EJ1186214&amp;lang=es&amp;site=ehost-live&amp;scope=site
Nisiyama, E. K., Tiomatsu Oyadomari, J. C., Chen Yen Tsang, &amp; de Aguiar, A. B. (2016). The Use of Management Control Systems and Operations Management Techniques. Brazilian Business Review (English Edition), 13(2), 56 -82. https://bdbiblioteca.universidadean.edu.co:2111/10.15728/bbr.2016.13.2.3
Pirim, H., Al-Turki, U. &amp; Yilbas. B. S. (2014). Supply Chain Management and Optimization in Manufacturing. Springer Cham Heidelberg, New York, Disponible en la base de datos Springer eBook de la biblioteca virtual de la Universidad EAN.
Pashaei, S., &amp; Olhager, J. (2017). The impact of product architecture on global operations network design: IMS. Journal of Manufacturing Technology Management, 28(3), 353-370. doi: http://bdbiblioteca.universidadean.edu.co:2156/10.1108/JMTM-11-2015-0108
Vijayvargy, L., Thakkar, J., &amp; Agarwal, G. (2017). Green supply chain management practices and performance: IMS. Journal of Manufacturing Technology Management, 28(3), 299-323. doi: http://bdbiblioteca.universidadean.edu.co:2156/10.1108/JMTM-09-2016-0123
Burgess, T. F., Grimshaw, P., Luisa, H. H., &amp; Shaw, N. E. (2017). Mapping the operations and supply chain management field: A journal governance perspective. International Journal of Operations &amp; Production Management, 37(7), 898-926. doi: http://bdbiblioteca.universidadean.edu.co:2156/10.1108/IJOPM-01-2016-0043
 </t>
  </si>
  <si>
    <t>Carro y Gómez (s.f) Investigación de Operaciones. Disponible:   https://goo.gl/NgWzYV.
Merkuryev, Merkuryeva, Piera y  Guash,. (2008).Simulation-Based Case Studies. Ed. Springer. (material de apoyo)  
Chopra, S (2020). Administración de la Cadena de Suministro. 6th ed. Pearson Educación. Disponible en la base de datos E-book 7/24
http://bdbiblioteca.universidadean.edu.co:2076/?il=9397
Pawlewski,P.,Hoffa-Dabrowska,P., Golinska-Dawson, P., Werner-Lewandowska, K. (2019). FlexSim in Academe: Teaching and Research (EcoProduction)(Consultar en material de apoyo)</t>
  </si>
  <si>
    <t>??</t>
  </si>
  <si>
    <t>Sunil Chopra, Peter Meindl Administración de la Cadena de Suministro Prentice Hall New Yersey 2007, Shoshahah Cohen y Joseph Roussel Avantage Supply Chain Editions d´organisation Paris 2005, Hartmut Stadler y Christoph Kilger Supply Chain Management and Advance Schedule Planning (APS),third editions Springler Alemania 2005, Peter Bolstorff y Robert Rosenbaum Supply Chain Excellent SCOR model Amacon New 7ork 2003, Hernando Marino Navarrete Gerencia de Procesos Alfaomega Mexico 2002, Douglas Lambert, James Stock, Lisa Ellram Fundamentals of Logistics Management Mc Graw –Hill EEUU 1998</t>
  </si>
  <si>
    <t>Canalvideosformacion (2009). Responsabilidad social, también en la PYME. Disponible en http://www.youtube.com/watch?v=72r95qEmWLs&amp;feature=related Codina, Alexis. (2004). Los valores como herramientas gerenciales. Recuperado el 29 de Marzo de 2012, de http://www.degerencia.com/articulos.php?artid=644 Correa-Ruiz, C., &amp; Moneva-Abadía, J. M. (2011). Special issue on "social responsibility accounting and reporting in times of 'sustainability downturn/crisis.'. Revista De Contabilidad - Spanish Accounting Review, 14187-211. Disponible en: EBSCO host. Cortes, F. (2008). RSC. Hacia una nueva cultura empresarial. Recuperado el 15 de julio de 2011, de: http://novapolis.es/index.php/opinion-novaciencia-168/1057-rsc-hacia-una-nueva-cultura-empresarial DardenMBA. (2009) Stakeholder Responsibility. Disponible en http://www.youtube.com/watch?v=CyJd5nygYvk&amp;feature=relmfu DardenMBA. (2009) Stakeholder Theory. Disponible en http://www.youtube.com/watch?v=Ih5IBe1cnQw David, F. (2008). Conceptos de administración estratégica. (11° ed.). México: Pearson Prentice Hall. De la Torre, C., Portales, L., Ruelas, G., &amp; Pérez, O. (2010). Instrumento de evaluación de Sustentabilidad y Responsabilidad social en Pymes. (Spanish). Administración Y Organizaciones, 12(24), 91-103. Perea, Joaquín. (2006). El conflicto entre los valores morales y los objetivos empresariales y nacionales. Recuperado el 29 de Marzo de 2012, de http://www.gestiopolis.com/canales7/ger/conflicto-entre-los-valores-morales-y-los-objetivos-empresariales.htm Diéguez, Alberto; Guardiola, María. (S.f). Reflexiones sobre el concepto de comunidad, de lo comunitario a lo local, de lo local a la mancomunidad. Recuperado el 29 de Marzo de 2012, de http://www.robertexto.com/archivo7/comunidad.htm Diegojqn (2010). Responsabilidad Social Empresarial. Disponible en http://www.youtube.com/watch?v=BjjXZWJFYKI&amp;feature=relat DGPYME (2010) Responsabilidad social empresarial. Disponible en http://www.youtube.com/watch?v=_5uiH5fmYwo</t>
  </si>
  <si>
    <t>Número de versión</t>
  </si>
  <si>
    <t>Elaboró</t>
  </si>
  <si>
    <t>JOSE DIVITT VELOSA</t>
  </si>
  <si>
    <t>Natalia Zapata</t>
  </si>
  <si>
    <t>Adolfo Hernández</t>
  </si>
  <si>
    <t>Pablo Ocampo</t>
  </si>
  <si>
    <t>Jose Divitt Velosa</t>
  </si>
  <si>
    <t>JEFREY LEON</t>
  </si>
  <si>
    <t>Maribel Guevara</t>
  </si>
  <si>
    <t xml:space="preserve">Actualización de Bibliografía </t>
  </si>
  <si>
    <t>Actualización actividades</t>
  </si>
  <si>
    <t>Revisión links</t>
  </si>
  <si>
    <t>Versión:  1</t>
  </si>
  <si>
    <r>
      <t xml:space="preserve">Fecha: </t>
    </r>
    <r>
      <rPr>
        <b/>
        <sz val="10"/>
        <rFont val="Arial Narrow"/>
        <family val="2"/>
      </rPr>
      <t>17/Feb/2026</t>
    </r>
  </si>
  <si>
    <t>Modalidad</t>
  </si>
  <si>
    <t>Presencial y Virtual</t>
  </si>
  <si>
    <t xml:space="preserve">Nivel </t>
  </si>
  <si>
    <t>Pregrado</t>
  </si>
  <si>
    <t>2.	Descripción  Resultados de Aprendizaje.</t>
  </si>
  <si>
    <t>Descripción de la unidad de estudio</t>
  </si>
  <si>
    <t>Resultado de Aprendizaje</t>
  </si>
  <si>
    <t>Diseña propuestas y proyectos que optimicen la cadena de abastecimiento teniendo en cuenta  las tendencias tecnológicas que contribuyan en la productividad, competitividad y sostenibilidad de las organizaciones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</si>
  <si>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</si>
  <si>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</si>
  <si>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</si>
  <si>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</si>
  <si>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Ciclo</t>
  </si>
  <si>
    <t>9 Semanas</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</si>
  <si>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</si>
  <si>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</si>
  <si>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</si>
  <si>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</si>
  <si>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</si>
  <si>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</si>
  <si>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</si>
  <si>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FAFCE</t>
  </si>
  <si>
    <t>Posgrado</t>
  </si>
  <si>
    <t>Transversal</t>
  </si>
  <si>
    <t>FIN</t>
  </si>
  <si>
    <t>Alemán</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</si>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</sst>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Segoe UI"/>
      <family val="2"/>
    </font>
    <font>
      <sz val="10"/>
      <color theme="1"/>
      <name val="Arial"/>
      <family val="2"/>
    </font>
    <font>
      <sz val="9"/>
      <color theme="1"/>
      <name val="Calibri"/>
      <family val="2"/>
      <scheme val="minor"/>
    </font>
    <font>
      <sz val="8"/>
      <color theme="1"/>
      <name val="Calibri"/>
      <family val="2"/>
      <scheme val="minor"/>
    </font>
    <font>
      <sz val="11"/>
      <color rgb="FFFF0000"/>
      <name val="Calibri"/>
      <family val="2"/>
      <scheme val="minor"/>
    </font>
    <font>
      <sz val="8"/>
      <name val="Calibri"/>
      <family val="2"/>
      <scheme val="minor"/>
    </font>
    <font>
      <sz val="10"/>
      <color rgb="FFFF0000"/>
      <name val="Arial"/>
      <family val="2"/>
    </font>
    <font>
      <sz val="8"/>
      <color rgb="FFFF0000"/>
      <name val="Calibri"/>
      <family val="2"/>
      <scheme val="minor"/>
    </font>
  </fonts>
  <fills count="9">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59999389629810485"/>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indexed="64"/>
      </left>
      <right style="medium">
        <color indexed="64"/>
      </right>
      <top style="medium">
        <color indexed="64"/>
      </top>
      <bottom style="medium">
        <color indexed="64"/>
      </bottom>
      <diagonal/>
    </border>
    <border>
      <left style="medium">
        <color rgb="FFCCCCCC"/>
      </left>
      <right style="medium">
        <color rgb="FFCCCCCC"/>
      </right>
      <top/>
      <bottom style="medium">
        <color rgb="FFCCCCCC"/>
      </bottom>
      <diagonal/>
    </border>
  </borders>
  <cellStyleXfs count="1">
    <xf numFmtId="0" fontId="0" fillId="0" borderId="0"/>
  </cellStyleXfs>
  <cellXfs count="205">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8" fillId="0" borderId="0" xfId="0" applyFont="1" applyAlignment="1">
      <alignment vertical="center"/>
    </xf>
    <xf numFmtId="0" fontId="0" fillId="4" borderId="1" xfId="0" applyFill="1" applyBorder="1"/>
    <xf numFmtId="0" fontId="9" fillId="0" borderId="60" xfId="0" applyFont="1" applyBorder="1" applyAlignment="1">
      <alignment vertical="center"/>
    </xf>
    <xf numFmtId="0" fontId="9" fillId="0" borderId="60" xfId="0" applyFont="1" applyBorder="1" applyAlignment="1">
      <alignment horizontal="right" wrapText="1"/>
    </xf>
    <xf numFmtId="0" fontId="9" fillId="0" borderId="60" xfId="0" applyFont="1" applyBorder="1" applyAlignment="1">
      <alignment wrapText="1"/>
    </xf>
    <xf numFmtId="9" fontId="9" fillId="0" borderId="60" xfId="0" applyNumberFormat="1" applyFont="1" applyBorder="1" applyAlignment="1">
      <alignment horizontal="right" wrapText="1"/>
    </xf>
    <xf numFmtId="14" fontId="9" fillId="0" borderId="60" xfId="0" applyNumberFormat="1" applyFont="1" applyBorder="1" applyAlignment="1">
      <alignment horizontal="right" wrapText="1"/>
    </xf>
    <xf numFmtId="0" fontId="1" fillId="4" borderId="1" xfId="0" applyFont="1" applyFill="1" applyBorder="1"/>
    <xf numFmtId="0" fontId="10" fillId="0" borderId="1" xfId="0" applyFont="1" applyBorder="1" applyAlignment="1">
      <alignment horizontal="center" vertical="center"/>
    </xf>
    <xf numFmtId="9" fontId="0" fillId="0" borderId="1" xfId="0" applyNumberFormat="1" applyBorder="1"/>
    <xf numFmtId="9" fontId="0" fillId="0" borderId="45" xfId="0" applyNumberFormat="1" applyBorder="1"/>
    <xf numFmtId="14" fontId="0" fillId="0" borderId="1" xfId="0" applyNumberFormat="1" applyBorder="1"/>
    <xf numFmtId="0" fontId="0" fillId="4" borderId="1" xfId="0" applyFill="1" applyBorder="1" applyAlignment="1">
      <alignment horizontal="center" vertical="center"/>
    </xf>
    <xf numFmtId="0" fontId="11" fillId="0" borderId="1" xfId="0" applyFont="1" applyBorder="1" applyAlignment="1">
      <alignment wrapText="1"/>
    </xf>
    <xf numFmtId="0" fontId="11" fillId="4" borderId="1" xfId="0" applyFont="1" applyFill="1" applyBorder="1" applyAlignment="1">
      <alignment wrapText="1"/>
    </xf>
    <xf numFmtId="0" fontId="10" fillId="0" borderId="1" xfId="0" applyFont="1" applyBorder="1" applyAlignment="1">
      <alignment horizontal="center" vertical="center" wrapText="1"/>
    </xf>
    <xf numFmtId="0" fontId="0" fillId="5" borderId="1" xfId="0" applyFill="1" applyBorder="1"/>
    <xf numFmtId="0" fontId="10" fillId="0" borderId="36" xfId="0" applyFont="1" applyBorder="1" applyAlignment="1">
      <alignment wrapText="1"/>
    </xf>
    <xf numFmtId="14" fontId="10" fillId="0" borderId="1" xfId="0" applyNumberFormat="1" applyFont="1" applyBorder="1" applyAlignment="1">
      <alignment wrapText="1"/>
    </xf>
    <xf numFmtId="0" fontId="10" fillId="0" borderId="1" xfId="0" applyFont="1" applyBorder="1" applyAlignment="1">
      <alignment wrapText="1"/>
    </xf>
    <xf numFmtId="0" fontId="8" fillId="4" borderId="0" xfId="0" applyFont="1" applyFill="1" applyAlignment="1">
      <alignment vertical="center"/>
    </xf>
    <xf numFmtId="0" fontId="9" fillId="0" borderId="60" xfId="0" applyFont="1" applyBorder="1" applyAlignment="1">
      <alignment vertical="center" wrapText="1"/>
    </xf>
    <xf numFmtId="0" fontId="9" fillId="0" borderId="62" xfId="0" applyFont="1" applyBorder="1" applyAlignment="1">
      <alignment vertical="center"/>
    </xf>
    <xf numFmtId="0" fontId="1" fillId="6" borderId="61" xfId="0" applyFont="1" applyFill="1" applyBorder="1"/>
    <xf numFmtId="0" fontId="9" fillId="7" borderId="62" xfId="0" applyFont="1" applyFill="1" applyBorder="1" applyAlignment="1">
      <alignment vertical="center"/>
    </xf>
    <xf numFmtId="0" fontId="9" fillId="2" borderId="62" xfId="0" applyFont="1" applyFill="1" applyBorder="1" applyAlignment="1">
      <alignment vertical="center"/>
    </xf>
    <xf numFmtId="0" fontId="14" fillId="0" borderId="60" xfId="0" applyFont="1" applyBorder="1" applyAlignment="1">
      <alignment horizontal="right" wrapText="1"/>
    </xf>
    <xf numFmtId="0" fontId="14" fillId="0" borderId="60" xfId="0" applyFont="1" applyBorder="1" applyAlignment="1">
      <alignment wrapText="1"/>
    </xf>
    <xf numFmtId="0" fontId="11" fillId="6" borderId="61" xfId="0" applyFont="1" applyFill="1" applyBorder="1" applyAlignment="1">
      <alignment horizontal="center" vertical="center" wrapText="1"/>
    </xf>
    <xf numFmtId="0" fontId="0" fillId="0" borderId="0" xfId="0" applyAlignment="1">
      <alignment vertical="top"/>
    </xf>
    <xf numFmtId="0" fontId="12" fillId="0" borderId="0" xfId="0" applyFont="1"/>
    <xf numFmtId="0" fontId="15" fillId="6" borderId="61" xfId="0" applyFont="1" applyFill="1" applyBorder="1" applyAlignment="1">
      <alignment horizontal="center" vertical="center" wrapText="1"/>
    </xf>
    <xf numFmtId="0" fontId="14" fillId="0" borderId="60" xfId="0" applyFont="1" applyBorder="1" applyAlignment="1">
      <alignment vertical="center"/>
    </xf>
    <xf numFmtId="0" fontId="9" fillId="7" borderId="62" xfId="0" applyFont="1" applyFill="1" applyBorder="1" applyAlignment="1">
      <alignment horizontal="center" vertical="top"/>
    </xf>
    <xf numFmtId="0" fontId="9" fillId="0" borderId="60" xfId="0" applyFont="1" applyBorder="1" applyAlignment="1">
      <alignment horizontal="center" vertical="top"/>
    </xf>
    <xf numFmtId="0" fontId="9" fillId="0" borderId="60" xfId="0" applyFont="1" applyBorder="1" applyAlignment="1">
      <alignment horizontal="center" vertical="top" wrapText="1"/>
    </xf>
    <xf numFmtId="0" fontId="9" fillId="8" borderId="60" xfId="0" applyFont="1" applyFill="1" applyBorder="1" applyAlignment="1">
      <alignment horizontal="center" vertical="top" wrapText="1"/>
    </xf>
    <xf numFmtId="0" fontId="9" fillId="8" borderId="60" xfId="0" applyFont="1" applyFill="1" applyBorder="1" applyAlignment="1">
      <alignment wrapText="1"/>
    </xf>
    <xf numFmtId="0" fontId="14" fillId="8" borderId="60" xfId="0" applyFont="1" applyFill="1" applyBorder="1" applyAlignment="1">
      <alignment horizontal="center" vertical="top" wrapText="1"/>
    </xf>
    <xf numFmtId="0" fontId="9" fillId="4" borderId="60" xfId="0" applyFont="1" applyFill="1" applyBorder="1" applyAlignment="1">
      <alignment wrapText="1"/>
    </xf>
    <xf numFmtId="0" fontId="14" fillId="4" borderId="60" xfId="0" applyFont="1" applyFill="1" applyBorder="1" applyAlignment="1">
      <alignment wrapText="1"/>
    </xf>
    <xf numFmtId="0" fontId="9" fillId="4" borderId="60" xfId="0" applyFont="1" applyFill="1" applyBorder="1" applyAlignment="1">
      <alignment vertical="center"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1" fillId="0" borderId="23"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horizontal="center" vertical="center" wrapText="1"/>
    </xf>
    <xf numFmtId="0" fontId="11" fillId="0" borderId="26"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28" xfId="0" applyFont="1"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center" vertical="center" wrapText="1"/>
    </xf>
    <xf numFmtId="0" fontId="0" fillId="2" borderId="17" xfId="0" applyFill="1" applyBorder="1" applyAlignment="1">
      <alignment horizontal="center" vertical="center" wrapText="1"/>
    </xf>
    <xf numFmtId="0" fontId="0" fillId="2" borderId="24" xfId="0" applyFill="1" applyBorder="1" applyAlignment="1">
      <alignment horizontal="center" vertical="center" wrapText="1"/>
    </xf>
    <xf numFmtId="0" fontId="0" fillId="2" borderId="25" xfId="0" applyFill="1" applyBorder="1" applyAlignment="1">
      <alignment horizontal="center" vertical="center" wrapText="1"/>
    </xf>
    <xf numFmtId="0" fontId="0" fillId="2" borderId="0" xfId="0" applyFill="1" applyAlignment="1">
      <alignment horizontal="center" vertical="center" wrapText="1"/>
    </xf>
    <xf numFmtId="0" fontId="0" fillId="2" borderId="26" xfId="0" applyFill="1" applyBorder="1" applyAlignment="1">
      <alignment horizontal="center" vertical="center" wrapText="1"/>
    </xf>
    <xf numFmtId="0" fontId="0" fillId="2" borderId="27" xfId="0" applyFill="1" applyBorder="1" applyAlignment="1">
      <alignment horizontal="center" vertical="center" wrapText="1"/>
    </xf>
    <xf numFmtId="0" fontId="0" fillId="2" borderId="31" xfId="0" applyFill="1" applyBorder="1" applyAlignment="1">
      <alignment horizontal="center" vertical="center" wrapText="1"/>
    </xf>
    <xf numFmtId="0" fontId="0" fillId="2" borderId="28" xfId="0" applyFill="1" applyBorder="1" applyAlignment="1">
      <alignment horizontal="center" vertical="center" wrapText="1"/>
    </xf>
    <xf numFmtId="0" fontId="1" fillId="0" borderId="57" xfId="0" applyFont="1" applyBorder="1" applyAlignment="1">
      <alignment horizontal="center" wrapText="1"/>
    </xf>
    <xf numFmtId="0" fontId="1" fillId="0" borderId="58" xfId="0" applyFont="1" applyBorder="1" applyAlignment="1">
      <alignment horizontal="center" wrapText="1"/>
    </xf>
    <xf numFmtId="0" fontId="1" fillId="0" borderId="59" xfId="0" applyFont="1" applyBorder="1" applyAlignment="1">
      <alignment horizontal="center" wrapText="1"/>
    </xf>
    <xf numFmtId="0" fontId="11" fillId="0" borderId="2" xfId="0" applyFont="1" applyBorder="1" applyAlignment="1">
      <alignment horizontal="center" wrapText="1"/>
    </xf>
    <xf numFmtId="0" fontId="11" fillId="0" borderId="15" xfId="0" applyFont="1" applyBorder="1" applyAlignment="1">
      <alignment horizontal="center" wrapText="1"/>
    </xf>
    <xf numFmtId="0" fontId="11" fillId="0" borderId="56" xfId="0" applyFont="1" applyBorder="1" applyAlignment="1">
      <alignment horizontal="center" wrapText="1"/>
    </xf>
    <xf numFmtId="0" fontId="1" fillId="0" borderId="37" xfId="0" applyFont="1" applyBorder="1" applyAlignment="1">
      <alignment horizontal="center"/>
    </xf>
    <xf numFmtId="0" fontId="10" fillId="0" borderId="1" xfId="0" applyFont="1" applyBorder="1" applyAlignment="1">
      <alignment horizontal="center" wrapText="1"/>
    </xf>
    <xf numFmtId="0" fontId="10" fillId="0" borderId="37" xfId="0" applyFont="1"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wrapText="1"/>
    </xf>
    <xf numFmtId="0" fontId="0" fillId="0" borderId="34" xfId="0"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1" fillId="0" borderId="23" xfId="0" applyFont="1" applyBorder="1" applyAlignment="1">
      <alignment horizontal="center" vertical="top" wrapText="1"/>
    </xf>
    <xf numFmtId="0" fontId="11" fillId="0" borderId="17" xfId="0" applyFont="1" applyBorder="1" applyAlignment="1">
      <alignment horizontal="center" vertical="top" wrapText="1"/>
    </xf>
    <xf numFmtId="0" fontId="11" fillId="0" borderId="18" xfId="0" applyFont="1" applyBorder="1" applyAlignment="1">
      <alignment horizontal="center" vertical="top" wrapText="1"/>
    </xf>
    <xf numFmtId="0" fontId="11" fillId="0" borderId="25" xfId="0" applyFont="1" applyBorder="1" applyAlignment="1">
      <alignment horizontal="center" vertical="top" wrapText="1"/>
    </xf>
    <xf numFmtId="0" fontId="11" fillId="0" borderId="0" xfId="0" applyFont="1" applyAlignment="1">
      <alignment horizontal="center" vertical="top" wrapText="1"/>
    </xf>
    <xf numFmtId="0" fontId="11" fillId="0" borderId="20" xfId="0" applyFont="1" applyBorder="1" applyAlignment="1">
      <alignment horizontal="center" vertical="top" wrapText="1"/>
    </xf>
    <xf numFmtId="0" fontId="11" fillId="0" borderId="27" xfId="0" applyFont="1" applyBorder="1" applyAlignment="1">
      <alignment horizontal="center" vertical="top" wrapText="1"/>
    </xf>
    <xf numFmtId="0" fontId="11" fillId="0" borderId="31" xfId="0" applyFont="1" applyBorder="1" applyAlignment="1">
      <alignment horizontal="center" vertical="top" wrapText="1"/>
    </xf>
    <xf numFmtId="0" fontId="11" fillId="0" borderId="54" xfId="0" applyFont="1" applyBorder="1" applyAlignment="1">
      <alignment horizontal="center" vertical="top" wrapText="1"/>
    </xf>
    <xf numFmtId="0" fontId="11" fillId="0" borderId="16" xfId="0" applyFont="1" applyBorder="1" applyAlignment="1">
      <alignment horizontal="center" vertical="top" wrapText="1"/>
    </xf>
    <xf numFmtId="0" fontId="11" fillId="0" borderId="24" xfId="0" applyFont="1" applyBorder="1" applyAlignment="1">
      <alignment horizontal="center" vertical="top" wrapText="1"/>
    </xf>
    <xf numFmtId="0" fontId="11" fillId="0" borderId="19" xfId="0" applyFont="1" applyBorder="1" applyAlignment="1">
      <alignment horizontal="center" vertical="top" wrapText="1"/>
    </xf>
    <xf numFmtId="0" fontId="11" fillId="0" borderId="26" xfId="0" applyFont="1" applyBorder="1" applyAlignment="1">
      <alignment horizontal="center" vertical="top" wrapText="1"/>
    </xf>
    <xf numFmtId="0" fontId="11" fillId="0" borderId="55" xfId="0" applyFont="1" applyBorder="1" applyAlignment="1">
      <alignment horizontal="center" vertical="top" wrapText="1"/>
    </xf>
    <xf numFmtId="0" fontId="11" fillId="0" borderId="28" xfId="0" applyFont="1" applyBorder="1" applyAlignment="1">
      <alignment horizontal="center" vertical="top" wrapText="1"/>
    </xf>
    <xf numFmtId="0" fontId="0" fillId="0" borderId="39" xfId="0" applyBorder="1" applyAlignment="1">
      <alignment horizontal="center" wrapText="1"/>
    </xf>
    <xf numFmtId="0" fontId="0" fillId="0" borderId="40"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86"/>
      <c r="C2" s="88" t="s">
        <v>0</v>
      </c>
      <c r="D2" s="88"/>
      <c r="E2" s="88"/>
      <c r="F2" s="88"/>
      <c r="G2" s="88"/>
      <c r="H2" s="88"/>
      <c r="I2" s="6" t="s">
        <v>1</v>
      </c>
    </row>
    <row r="3" spans="2:9" ht="20.25" customHeight="1">
      <c r="B3" s="87"/>
      <c r="C3" s="89"/>
      <c r="D3" s="89"/>
      <c r="E3" s="89"/>
      <c r="F3" s="89"/>
      <c r="G3" s="89"/>
      <c r="H3" s="89"/>
      <c r="I3" s="7" t="s">
        <v>2</v>
      </c>
    </row>
    <row r="4" spans="2:9" ht="21" customHeight="1" thickBot="1">
      <c r="B4" s="90" t="s">
        <v>3</v>
      </c>
      <c r="C4" s="91"/>
      <c r="D4" s="91"/>
      <c r="E4" s="91"/>
      <c r="F4" s="91"/>
      <c r="G4" s="91"/>
      <c r="H4" s="91"/>
      <c r="I4" s="8" t="s">
        <v>4</v>
      </c>
    </row>
    <row r="5" spans="2:9" ht="15.75" thickTop="1">
      <c r="B5" s="76"/>
      <c r="C5" s="76"/>
      <c r="D5" s="76"/>
      <c r="E5" s="76"/>
      <c r="F5" s="76"/>
      <c r="G5" s="76"/>
      <c r="H5" s="76"/>
      <c r="I5" s="76"/>
    </row>
    <row r="6" spans="2:9">
      <c r="B6" s="76" t="s">
        <v>5</v>
      </c>
      <c r="C6" s="76"/>
      <c r="D6" s="76"/>
      <c r="E6" s="76"/>
      <c r="F6" s="76"/>
      <c r="G6" s="76"/>
      <c r="H6" s="76"/>
      <c r="I6" s="76"/>
    </row>
    <row r="7" spans="2:9" ht="60">
      <c r="B7" s="3" t="s">
        <v>6</v>
      </c>
      <c r="C7" s="1"/>
      <c r="D7" s="2" t="s">
        <v>7</v>
      </c>
      <c r="E7" s="1"/>
      <c r="F7" s="2" t="s">
        <v>8</v>
      </c>
      <c r="G7" s="1"/>
      <c r="H7" s="2" t="s">
        <v>9</v>
      </c>
      <c r="I7" s="1"/>
    </row>
    <row r="8" spans="2:9" ht="45">
      <c r="B8" s="2" t="s">
        <v>10</v>
      </c>
      <c r="C8" s="1"/>
      <c r="D8" s="3" t="s">
        <v>11</v>
      </c>
      <c r="E8" s="78"/>
      <c r="F8" s="78"/>
      <c r="G8" s="2" t="s">
        <v>12</v>
      </c>
      <c r="H8" s="78"/>
      <c r="I8" s="78"/>
    </row>
    <row r="9" spans="2:9" ht="30">
      <c r="B9" s="2" t="s">
        <v>13</v>
      </c>
      <c r="C9" s="5"/>
      <c r="D9" s="2" t="s">
        <v>14</v>
      </c>
      <c r="E9" s="5"/>
      <c r="F9" s="2" t="s">
        <v>15</v>
      </c>
      <c r="G9" s="5"/>
      <c r="H9" s="2" t="s">
        <v>16</v>
      </c>
      <c r="I9" s="5">
        <f>E9+G9</f>
        <v>0</v>
      </c>
    </row>
    <row r="10" spans="2:9">
      <c r="B10" s="75" t="s">
        <v>17</v>
      </c>
      <c r="C10" s="79"/>
      <c r="D10" s="79"/>
      <c r="E10" s="79"/>
      <c r="F10" s="79"/>
      <c r="G10" s="79"/>
      <c r="H10" s="79"/>
      <c r="I10" s="79"/>
    </row>
    <row r="11" spans="2:9">
      <c r="B11" s="75" t="s">
        <v>18</v>
      </c>
      <c r="C11" s="75"/>
      <c r="D11" s="76" t="s">
        <v>19</v>
      </c>
      <c r="E11" s="77"/>
      <c r="F11" s="77"/>
      <c r="G11" s="76" t="s">
        <v>20</v>
      </c>
      <c r="H11" s="77"/>
      <c r="I11" s="77"/>
    </row>
    <row r="12" spans="2:9">
      <c r="B12" s="75"/>
      <c r="C12" s="75"/>
      <c r="D12" s="76"/>
      <c r="E12" s="77"/>
      <c r="F12" s="77"/>
      <c r="G12" s="76"/>
      <c r="H12" s="77"/>
      <c r="I12" s="77"/>
    </row>
    <row r="13" spans="2:9">
      <c r="B13" s="79" t="s">
        <v>21</v>
      </c>
      <c r="C13" s="79"/>
      <c r="D13" s="79"/>
      <c r="E13" s="79"/>
      <c r="F13" s="79"/>
      <c r="G13" s="79"/>
      <c r="H13" s="79"/>
      <c r="I13" s="79"/>
    </row>
    <row r="14" spans="2:9">
      <c r="B14" s="3" t="s">
        <v>22</v>
      </c>
      <c r="C14" s="78"/>
      <c r="D14" s="78"/>
      <c r="E14" s="3" t="s">
        <v>23</v>
      </c>
      <c r="F14" s="1"/>
      <c r="G14" s="3" t="s">
        <v>24</v>
      </c>
      <c r="H14" s="78"/>
      <c r="I14" s="78"/>
    </row>
    <row r="15" spans="2:9">
      <c r="B15" s="79" t="s">
        <v>25</v>
      </c>
      <c r="C15" s="79"/>
      <c r="D15" s="79"/>
      <c r="E15" s="79"/>
      <c r="F15" s="79"/>
      <c r="G15" s="79"/>
      <c r="H15" s="79"/>
      <c r="I15" s="79"/>
    </row>
    <row r="16" spans="2:9">
      <c r="B16" s="75" t="s">
        <v>26</v>
      </c>
      <c r="C16" s="75"/>
      <c r="D16" s="77"/>
      <c r="E16" s="77"/>
      <c r="F16" s="77"/>
      <c r="G16" s="77"/>
      <c r="H16" s="77"/>
      <c r="I16" s="77"/>
    </row>
    <row r="17" spans="2:9">
      <c r="B17" s="75"/>
      <c r="C17" s="75"/>
      <c r="D17" s="77"/>
      <c r="E17" s="77"/>
      <c r="F17" s="77"/>
      <c r="G17" s="77"/>
      <c r="H17" s="77"/>
      <c r="I17" s="77"/>
    </row>
    <row r="18" spans="2:9">
      <c r="B18" s="80" t="s">
        <v>27</v>
      </c>
      <c r="C18" s="81"/>
      <c r="D18" s="77"/>
      <c r="E18" s="77"/>
      <c r="F18" s="77"/>
      <c r="G18" s="77"/>
      <c r="H18" s="77"/>
      <c r="I18" s="77"/>
    </row>
    <row r="19" spans="2:9">
      <c r="B19" s="75" t="s">
        <v>28</v>
      </c>
      <c r="C19" s="75"/>
      <c r="D19" s="77"/>
      <c r="E19" s="77"/>
      <c r="F19" s="77"/>
      <c r="G19" s="77"/>
      <c r="H19" s="77"/>
      <c r="I19" s="77"/>
    </row>
    <row r="20" spans="2:9">
      <c r="B20" s="75"/>
      <c r="C20" s="75"/>
      <c r="D20" s="77"/>
      <c r="E20" s="77"/>
      <c r="F20" s="77"/>
      <c r="G20" s="77"/>
      <c r="H20" s="77"/>
      <c r="I20" s="77"/>
    </row>
    <row r="21" spans="2:9">
      <c r="B21" s="75" t="s">
        <v>29</v>
      </c>
      <c r="C21" s="75"/>
      <c r="D21" s="77"/>
      <c r="E21" s="77"/>
      <c r="F21" s="77"/>
      <c r="G21" s="77"/>
      <c r="H21" s="77"/>
      <c r="I21" s="77"/>
    </row>
    <row r="22" spans="2:9">
      <c r="B22" s="75"/>
      <c r="C22" s="75"/>
      <c r="D22" s="77"/>
      <c r="E22" s="77"/>
      <c r="F22" s="77"/>
      <c r="G22" s="77"/>
      <c r="H22" s="77"/>
      <c r="I22" s="77"/>
    </row>
    <row r="23" spans="2:9">
      <c r="B23" s="76" t="s">
        <v>30</v>
      </c>
      <c r="C23" s="76"/>
      <c r="D23" s="77" t="s">
        <v>31</v>
      </c>
      <c r="E23" s="77"/>
      <c r="F23" s="77"/>
      <c r="G23" s="77"/>
      <c r="H23" s="77"/>
      <c r="I23" s="77"/>
    </row>
    <row r="24" spans="2:9">
      <c r="B24" s="76"/>
      <c r="C24" s="76"/>
      <c r="D24" s="77" t="s">
        <v>32</v>
      </c>
      <c r="E24" s="77"/>
      <c r="F24" s="77"/>
      <c r="G24" s="77"/>
      <c r="H24" s="77"/>
      <c r="I24" s="77"/>
    </row>
    <row r="25" spans="2:9">
      <c r="B25" s="76"/>
      <c r="C25" s="76"/>
      <c r="D25" s="77" t="s">
        <v>33</v>
      </c>
      <c r="E25" s="77"/>
      <c r="F25" s="77"/>
      <c r="G25" s="77"/>
      <c r="H25" s="77"/>
      <c r="I25" s="77"/>
    </row>
    <row r="26" spans="2:9">
      <c r="B26" s="76"/>
      <c r="C26" s="76"/>
      <c r="D26" s="77" t="s">
        <v>34</v>
      </c>
      <c r="E26" s="77"/>
      <c r="F26" s="77"/>
      <c r="G26" s="77"/>
      <c r="H26" s="77"/>
      <c r="I26" s="77"/>
    </row>
    <row r="27" spans="2:9">
      <c r="B27" s="82" t="s">
        <v>35</v>
      </c>
      <c r="C27" s="82"/>
      <c r="D27" s="3" t="s">
        <v>36</v>
      </c>
      <c r="E27" s="1"/>
      <c r="F27" s="3" t="s">
        <v>37</v>
      </c>
      <c r="G27" s="1"/>
      <c r="H27" s="3" t="s">
        <v>38</v>
      </c>
      <c r="I27" s="1"/>
    </row>
    <row r="28" spans="2:9">
      <c r="B28" s="82"/>
      <c r="C28" s="82"/>
      <c r="D28" s="4" t="s">
        <v>39</v>
      </c>
      <c r="E28" s="1"/>
      <c r="F28" s="3" t="s">
        <v>40</v>
      </c>
      <c r="G28" s="1"/>
      <c r="H28" s="3" t="s">
        <v>41</v>
      </c>
      <c r="I28" s="1"/>
    </row>
    <row r="29" spans="2:9">
      <c r="B29" s="82"/>
      <c r="C29" s="82"/>
      <c r="D29" s="3" t="s">
        <v>42</v>
      </c>
      <c r="E29" s="1"/>
      <c r="F29" s="3" t="s">
        <v>43</v>
      </c>
      <c r="G29" s="1"/>
      <c r="H29" s="3" t="s">
        <v>44</v>
      </c>
      <c r="I29" s="1"/>
    </row>
    <row r="30" spans="2:9">
      <c r="B30" s="83" t="s">
        <v>45</v>
      </c>
      <c r="C30" s="83"/>
      <c r="D30" s="83"/>
      <c r="E30" s="83"/>
      <c r="F30" s="83"/>
      <c r="G30" s="83"/>
      <c r="H30" s="83"/>
      <c r="I30" s="83"/>
    </row>
    <row r="31" spans="2:9">
      <c r="B31" s="83"/>
      <c r="C31" s="83"/>
      <c r="D31" s="83"/>
      <c r="E31" s="83"/>
      <c r="F31" s="83"/>
      <c r="G31" s="83"/>
      <c r="H31" s="83"/>
      <c r="I31" s="83"/>
    </row>
    <row r="32" spans="2:9">
      <c r="B32" s="83"/>
      <c r="C32" s="83"/>
      <c r="D32" s="83"/>
      <c r="E32" s="83"/>
      <c r="F32" s="83"/>
      <c r="G32" s="83"/>
      <c r="H32" s="83"/>
      <c r="I32" s="83"/>
    </row>
    <row r="33" spans="2:9">
      <c r="B33" s="83"/>
      <c r="C33" s="83"/>
      <c r="D33" s="83"/>
      <c r="E33" s="83"/>
      <c r="F33" s="83"/>
      <c r="G33" s="83"/>
      <c r="H33" s="83"/>
      <c r="I33" s="83"/>
    </row>
    <row r="34" spans="2:9">
      <c r="B34" s="83"/>
      <c r="C34" s="83"/>
      <c r="D34" s="83"/>
      <c r="E34" s="83"/>
      <c r="F34" s="83"/>
      <c r="G34" s="83"/>
      <c r="H34" s="83"/>
      <c r="I34" s="83"/>
    </row>
    <row r="35" spans="2:9">
      <c r="B35" s="79" t="s">
        <v>46</v>
      </c>
      <c r="C35" s="79"/>
      <c r="D35" s="79"/>
      <c r="E35" s="79"/>
      <c r="F35" s="79"/>
      <c r="G35" s="79"/>
      <c r="H35" s="79"/>
      <c r="I35" s="79"/>
    </row>
    <row r="36" spans="2:9">
      <c r="B36" s="84" t="s">
        <v>47</v>
      </c>
      <c r="C36" s="84"/>
      <c r="D36" s="84"/>
      <c r="E36" s="84"/>
      <c r="F36" s="84"/>
      <c r="G36" s="84"/>
      <c r="H36" s="84"/>
      <c r="I36" s="84"/>
    </row>
    <row r="37" spans="2:9">
      <c r="B37" s="84"/>
      <c r="C37" s="84"/>
      <c r="D37" s="84"/>
      <c r="E37" s="84"/>
      <c r="F37" s="84"/>
      <c r="G37" s="84"/>
      <c r="H37" s="84"/>
      <c r="I37" s="84"/>
    </row>
    <row r="38" spans="2:9">
      <c r="B38" s="84"/>
      <c r="C38" s="84"/>
      <c r="D38" s="84"/>
      <c r="E38" s="84"/>
      <c r="F38" s="84"/>
      <c r="G38" s="84"/>
      <c r="H38" s="84"/>
      <c r="I38" s="84"/>
    </row>
    <row r="39" spans="2:9">
      <c r="B39" s="85" t="s">
        <v>48</v>
      </c>
      <c r="C39" s="85"/>
      <c r="D39" s="85"/>
      <c r="E39" s="85"/>
      <c r="F39" s="85" t="s">
        <v>49</v>
      </c>
      <c r="G39" s="85"/>
      <c r="H39" s="85"/>
      <c r="I39" s="85"/>
    </row>
    <row r="40" spans="2:9">
      <c r="B40" s="85"/>
      <c r="C40" s="85"/>
      <c r="D40" s="85"/>
      <c r="E40" s="85"/>
      <c r="F40" s="85"/>
      <c r="G40" s="85"/>
      <c r="H40" s="85"/>
      <c r="I40" s="85"/>
    </row>
    <row r="41" spans="2:9">
      <c r="B41" s="85"/>
      <c r="C41" s="85"/>
      <c r="D41" s="85"/>
      <c r="E41" s="85"/>
      <c r="F41" s="85"/>
      <c r="G41" s="85"/>
      <c r="H41" s="85"/>
      <c r="I41" s="85"/>
    </row>
    <row r="42" spans="2:9">
      <c r="B42" s="85"/>
      <c r="C42" s="85"/>
      <c r="D42" s="85"/>
      <c r="E42" s="85"/>
      <c r="F42" s="85"/>
      <c r="G42" s="85"/>
      <c r="H42" s="85"/>
      <c r="I42" s="85"/>
    </row>
    <row r="43" spans="2:9">
      <c r="B43" s="85"/>
      <c r="C43" s="85"/>
      <c r="D43" s="85"/>
      <c r="E43" s="85"/>
      <c r="F43" s="85"/>
      <c r="G43" s="85"/>
      <c r="H43" s="85"/>
      <c r="I43" s="85"/>
    </row>
    <row r="44" spans="2:9">
      <c r="B44" s="85"/>
      <c r="C44" s="85"/>
      <c r="D44" s="85"/>
      <c r="E44" s="85"/>
      <c r="F44" s="85"/>
      <c r="G44" s="85"/>
      <c r="H44" s="85"/>
      <c r="I44" s="85"/>
    </row>
    <row r="45" spans="2:9">
      <c r="B45" s="85"/>
      <c r="C45" s="85"/>
      <c r="D45" s="85"/>
      <c r="E45" s="85"/>
      <c r="F45" s="85"/>
      <c r="G45" s="85"/>
      <c r="H45" s="85"/>
      <c r="I45" s="85"/>
    </row>
    <row r="46" spans="2:9">
      <c r="B46" s="85"/>
      <c r="C46" s="85"/>
      <c r="D46" s="85"/>
      <c r="E46" s="85"/>
      <c r="F46" s="85"/>
      <c r="G46" s="85"/>
      <c r="H46" s="85"/>
      <c r="I46" s="85"/>
    </row>
    <row r="47" spans="2:9">
      <c r="B47" s="85"/>
      <c r="C47" s="85"/>
      <c r="D47" s="85"/>
      <c r="E47" s="85"/>
      <c r="F47" s="85"/>
      <c r="G47" s="85"/>
      <c r="H47" s="85"/>
      <c r="I47" s="85"/>
    </row>
    <row r="48" spans="2:9">
      <c r="B48" s="79" t="s">
        <v>50</v>
      </c>
      <c r="C48" s="79"/>
      <c r="D48" s="79"/>
      <c r="E48" s="79"/>
      <c r="F48" s="79"/>
      <c r="G48" s="79"/>
      <c r="H48" s="79"/>
      <c r="I48" s="79"/>
    </row>
    <row r="49" spans="2:9">
      <c r="B49" s="93" t="s">
        <v>51</v>
      </c>
      <c r="C49" s="93"/>
      <c r="D49" s="93"/>
      <c r="E49" s="93"/>
      <c r="F49" s="85" t="s">
        <v>52</v>
      </c>
      <c r="G49" s="85"/>
      <c r="H49" s="85"/>
      <c r="I49" s="85"/>
    </row>
    <row r="50" spans="2:9">
      <c r="B50" s="93"/>
      <c r="C50" s="93"/>
      <c r="D50" s="93"/>
      <c r="E50" s="93"/>
      <c r="F50" s="85"/>
      <c r="G50" s="85"/>
      <c r="H50" s="85"/>
      <c r="I50" s="85"/>
    </row>
    <row r="51" spans="2:9">
      <c r="B51" s="93"/>
      <c r="C51" s="93"/>
      <c r="D51" s="93"/>
      <c r="E51" s="93"/>
      <c r="F51" s="85"/>
      <c r="G51" s="85"/>
      <c r="H51" s="85"/>
      <c r="I51" s="85"/>
    </row>
    <row r="52" spans="2:9">
      <c r="B52" s="93"/>
      <c r="C52" s="93"/>
      <c r="D52" s="93"/>
      <c r="E52" s="93"/>
      <c r="F52" s="85"/>
      <c r="G52" s="85"/>
      <c r="H52" s="85"/>
      <c r="I52" s="85"/>
    </row>
    <row r="53" spans="2:9">
      <c r="B53" s="93"/>
      <c r="C53" s="93"/>
      <c r="D53" s="93"/>
      <c r="E53" s="93"/>
      <c r="F53" s="85"/>
      <c r="G53" s="85"/>
      <c r="H53" s="85"/>
      <c r="I53" s="85"/>
    </row>
    <row r="54" spans="2:9">
      <c r="B54" s="93"/>
      <c r="C54" s="93"/>
      <c r="D54" s="93"/>
      <c r="E54" s="93"/>
      <c r="F54" s="85"/>
      <c r="G54" s="85"/>
      <c r="H54" s="85"/>
      <c r="I54" s="85"/>
    </row>
    <row r="55" spans="2:9">
      <c r="B55" s="93"/>
      <c r="C55" s="93"/>
      <c r="D55" s="93"/>
      <c r="E55" s="93"/>
      <c r="F55" s="85"/>
      <c r="G55" s="85"/>
      <c r="H55" s="85"/>
      <c r="I55" s="85"/>
    </row>
    <row r="56" spans="2:9">
      <c r="B56" s="93"/>
      <c r="C56" s="93"/>
      <c r="D56" s="93"/>
      <c r="E56" s="93"/>
      <c r="F56" s="85"/>
      <c r="G56" s="85"/>
      <c r="H56" s="85"/>
      <c r="I56" s="85"/>
    </row>
    <row r="57" spans="2:9">
      <c r="B57" s="93"/>
      <c r="C57" s="93"/>
      <c r="D57" s="93"/>
      <c r="E57" s="93"/>
      <c r="F57" s="85"/>
      <c r="G57" s="85"/>
      <c r="H57" s="85"/>
      <c r="I57" s="85"/>
    </row>
    <row r="58" spans="2:9">
      <c r="B58" s="93"/>
      <c r="C58" s="93"/>
      <c r="D58" s="93"/>
      <c r="E58" s="93"/>
      <c r="F58" s="85"/>
      <c r="G58" s="85"/>
      <c r="H58" s="85"/>
      <c r="I58" s="85"/>
    </row>
    <row r="59" spans="2:9">
      <c r="B59" s="93"/>
      <c r="C59" s="93"/>
      <c r="D59" s="93"/>
      <c r="E59" s="93"/>
      <c r="F59" s="85"/>
      <c r="G59" s="85"/>
      <c r="H59" s="85"/>
      <c r="I59" s="85"/>
    </row>
    <row r="60" spans="2:9">
      <c r="B60" s="76" t="s">
        <v>53</v>
      </c>
      <c r="C60" s="76"/>
      <c r="D60" s="76"/>
      <c r="E60" s="76"/>
      <c r="F60" s="77"/>
      <c r="G60" s="77"/>
      <c r="H60" s="76" t="s">
        <v>54</v>
      </c>
      <c r="I60" s="5"/>
    </row>
    <row r="61" spans="2:9">
      <c r="B61" s="76"/>
      <c r="C61" s="76"/>
      <c r="D61" s="76"/>
      <c r="E61" s="76"/>
      <c r="F61" s="77"/>
      <c r="G61" s="77"/>
      <c r="H61" s="76"/>
      <c r="I61" s="5"/>
    </row>
    <row r="62" spans="2:9">
      <c r="B62" s="76"/>
      <c r="C62" s="76"/>
      <c r="D62" s="76"/>
      <c r="E62" s="76"/>
      <c r="F62" s="77"/>
      <c r="G62" s="77"/>
      <c r="H62" s="76"/>
      <c r="I62" s="5"/>
    </row>
    <row r="63" spans="2:9">
      <c r="B63" s="76"/>
      <c r="C63" s="76"/>
      <c r="D63" s="76"/>
      <c r="E63" s="76"/>
      <c r="F63" s="77"/>
      <c r="G63" s="77"/>
      <c r="H63" s="76"/>
      <c r="I63" s="5"/>
    </row>
    <row r="64" spans="2:9">
      <c r="B64" s="76"/>
      <c r="C64" s="76"/>
      <c r="D64" s="76"/>
      <c r="E64" s="76"/>
      <c r="F64" s="77"/>
      <c r="G64" s="77"/>
      <c r="H64" s="76"/>
      <c r="I64" s="5"/>
    </row>
    <row r="65" spans="2:9">
      <c r="B65" s="79" t="s">
        <v>55</v>
      </c>
      <c r="C65" s="79"/>
      <c r="D65" s="79"/>
      <c r="E65" s="79"/>
      <c r="F65" s="79"/>
      <c r="G65" s="79"/>
      <c r="H65" s="79"/>
      <c r="I65" s="79"/>
    </row>
    <row r="66" spans="2:9">
      <c r="B66" s="85" t="s">
        <v>56</v>
      </c>
      <c r="C66" s="85"/>
      <c r="D66" s="85"/>
      <c r="E66" s="85"/>
      <c r="F66" s="85" t="s">
        <v>57</v>
      </c>
      <c r="G66" s="85"/>
      <c r="H66" s="85"/>
      <c r="I66" s="85"/>
    </row>
    <row r="67" spans="2:9">
      <c r="B67" s="85"/>
      <c r="C67" s="85"/>
      <c r="D67" s="85"/>
      <c r="E67" s="85"/>
      <c r="F67" s="85"/>
      <c r="G67" s="85"/>
      <c r="H67" s="85"/>
      <c r="I67" s="85"/>
    </row>
    <row r="68" spans="2:9">
      <c r="B68" s="85"/>
      <c r="C68" s="85"/>
      <c r="D68" s="85"/>
      <c r="E68" s="85"/>
      <c r="F68" s="85"/>
      <c r="G68" s="85"/>
      <c r="H68" s="85"/>
      <c r="I68" s="85"/>
    </row>
    <row r="69" spans="2:9">
      <c r="B69" s="85"/>
      <c r="C69" s="85"/>
      <c r="D69" s="85"/>
      <c r="E69" s="85"/>
      <c r="F69" s="85"/>
      <c r="G69" s="85"/>
      <c r="H69" s="85"/>
      <c r="I69" s="85"/>
    </row>
    <row r="70" spans="2:9">
      <c r="B70" s="85"/>
      <c r="C70" s="85"/>
      <c r="D70" s="85"/>
      <c r="E70" s="85"/>
      <c r="F70" s="85"/>
      <c r="G70" s="85"/>
      <c r="H70" s="85"/>
      <c r="I70" s="85"/>
    </row>
    <row r="71" spans="2:9">
      <c r="B71" s="85"/>
      <c r="C71" s="85"/>
      <c r="D71" s="85"/>
      <c r="E71" s="85"/>
      <c r="F71" s="85"/>
      <c r="G71" s="85"/>
      <c r="H71" s="85"/>
      <c r="I71" s="85"/>
    </row>
    <row r="72" spans="2:9">
      <c r="B72" s="85"/>
      <c r="C72" s="85"/>
      <c r="D72" s="85"/>
      <c r="E72" s="85"/>
      <c r="F72" s="85"/>
      <c r="G72" s="85"/>
      <c r="H72" s="85"/>
      <c r="I72" s="85"/>
    </row>
    <row r="73" spans="2:9">
      <c r="B73" s="85"/>
      <c r="C73" s="85"/>
      <c r="D73" s="85"/>
      <c r="E73" s="85"/>
      <c r="F73" s="85"/>
      <c r="G73" s="85"/>
      <c r="H73" s="85"/>
      <c r="I73" s="85"/>
    </row>
    <row r="74" spans="2:9">
      <c r="B74" s="85"/>
      <c r="C74" s="85"/>
      <c r="D74" s="85"/>
      <c r="E74" s="85"/>
      <c r="F74" s="85"/>
      <c r="G74" s="85"/>
      <c r="H74" s="85"/>
      <c r="I74" s="85"/>
    </row>
    <row r="75" spans="2:9">
      <c r="B75" s="85"/>
      <c r="C75" s="85"/>
      <c r="D75" s="85"/>
      <c r="E75" s="85"/>
      <c r="F75" s="85"/>
      <c r="G75" s="85"/>
      <c r="H75" s="85"/>
      <c r="I75" s="85"/>
    </row>
    <row r="76" spans="2:9">
      <c r="B76" s="85"/>
      <c r="C76" s="85"/>
      <c r="D76" s="85"/>
      <c r="E76" s="85"/>
      <c r="F76" s="85"/>
      <c r="G76" s="85"/>
      <c r="H76" s="85"/>
      <c r="I76" s="85"/>
    </row>
    <row r="77" spans="2:9">
      <c r="B77" s="85"/>
      <c r="C77" s="85"/>
      <c r="D77" s="85"/>
      <c r="E77" s="85"/>
      <c r="F77" s="85"/>
      <c r="G77" s="85"/>
      <c r="H77" s="85"/>
      <c r="I77" s="85"/>
    </row>
    <row r="78" spans="2:9">
      <c r="B78" s="85"/>
      <c r="C78" s="85"/>
      <c r="D78" s="85"/>
      <c r="E78" s="85"/>
      <c r="F78" s="85"/>
      <c r="G78" s="85"/>
      <c r="H78" s="85"/>
      <c r="I78" s="85"/>
    </row>
    <row r="79" spans="2:9">
      <c r="B79" s="85"/>
      <c r="C79" s="85"/>
      <c r="D79" s="85"/>
      <c r="E79" s="85"/>
      <c r="F79" s="85"/>
      <c r="G79" s="85"/>
      <c r="H79" s="85"/>
      <c r="I79" s="85"/>
    </row>
    <row r="80" spans="2:9">
      <c r="B80" s="92"/>
      <c r="C80" s="92"/>
      <c r="D80" s="92"/>
      <c r="E80" s="92"/>
      <c r="F80" s="92"/>
      <c r="G80" s="92"/>
      <c r="H80" s="92"/>
      <c r="I80" s="92"/>
    </row>
    <row r="81" spans="2:9">
      <c r="B81" s="79" t="s">
        <v>58</v>
      </c>
      <c r="C81" s="79"/>
      <c r="D81" s="79"/>
      <c r="E81" s="79"/>
      <c r="F81" s="79"/>
      <c r="G81" s="79"/>
      <c r="H81" s="79"/>
      <c r="I81" s="79"/>
    </row>
    <row r="82" spans="2:9">
      <c r="B82" s="9" t="s">
        <v>59</v>
      </c>
      <c r="C82" s="9" t="s">
        <v>60</v>
      </c>
      <c r="D82" s="9" t="s">
        <v>61</v>
      </c>
      <c r="E82" s="9" t="s">
        <v>62</v>
      </c>
      <c r="F82" s="9" t="s">
        <v>63</v>
      </c>
      <c r="G82" s="79" t="s">
        <v>64</v>
      </c>
      <c r="H82" s="79"/>
      <c r="I82" s="79"/>
    </row>
    <row r="83" spans="2:9">
      <c r="B83" s="10"/>
      <c r="C83" s="10"/>
      <c r="D83" s="10"/>
      <c r="E83" s="10"/>
      <c r="F83" s="10"/>
      <c r="G83" s="84"/>
      <c r="H83" s="84"/>
      <c r="I83" s="84"/>
    </row>
    <row r="84" spans="2:9">
      <c r="B84" s="10"/>
      <c r="C84" s="10"/>
      <c r="D84" s="10"/>
      <c r="E84" s="10"/>
      <c r="F84" s="10"/>
      <c r="G84" s="84"/>
      <c r="H84" s="84"/>
      <c r="I84" s="84"/>
    </row>
    <row r="85" spans="2:9">
      <c r="B85" s="10"/>
      <c r="C85" s="10"/>
      <c r="D85" s="10"/>
      <c r="E85" s="10"/>
      <c r="F85" s="10"/>
      <c r="G85" s="84"/>
      <c r="H85" s="84"/>
      <c r="I85" s="84"/>
    </row>
    <row r="86" spans="2:9">
      <c r="B86" s="10"/>
      <c r="C86" s="10"/>
      <c r="D86" s="10"/>
      <c r="E86" s="10"/>
      <c r="F86" s="10"/>
      <c r="G86" s="84"/>
      <c r="H86" s="84"/>
      <c r="I86" s="84"/>
    </row>
    <row r="87" spans="2:9">
      <c r="B87" s="10"/>
      <c r="C87" s="10"/>
      <c r="D87" s="10"/>
      <c r="E87" s="10"/>
      <c r="F87" s="10"/>
      <c r="G87" s="84"/>
      <c r="H87" s="84"/>
      <c r="I87" s="84"/>
    </row>
    <row r="88" spans="2:9">
      <c r="B88" s="10"/>
      <c r="C88" s="10"/>
      <c r="D88" s="10"/>
      <c r="E88" s="10"/>
      <c r="F88" s="10"/>
      <c r="G88" s="84"/>
      <c r="H88" s="84"/>
      <c r="I88" s="8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86"/>
      <c r="C2" s="88" t="s">
        <v>0</v>
      </c>
      <c r="D2" s="88"/>
      <c r="E2" s="88"/>
      <c r="F2" s="88"/>
      <c r="G2" s="88"/>
      <c r="H2" s="88"/>
      <c r="I2" s="6" t="s">
        <v>1</v>
      </c>
    </row>
    <row r="3" spans="2:11" ht="20.25" customHeight="1">
      <c r="B3" s="87"/>
      <c r="C3" s="89"/>
      <c r="D3" s="89"/>
      <c r="E3" s="89"/>
      <c r="F3" s="89"/>
      <c r="G3" s="89"/>
      <c r="H3" s="89"/>
      <c r="I3" s="7" t="s">
        <v>2</v>
      </c>
    </row>
    <row r="4" spans="2:11" ht="21" customHeight="1" thickBot="1">
      <c r="B4" s="90" t="s">
        <v>3</v>
      </c>
      <c r="C4" s="91"/>
      <c r="D4" s="91"/>
      <c r="E4" s="91"/>
      <c r="F4" s="91"/>
      <c r="G4" s="91"/>
      <c r="H4" s="91"/>
      <c r="I4" s="8" t="s">
        <v>4</v>
      </c>
    </row>
    <row r="5" spans="2:11" ht="15.75" thickTop="1">
      <c r="B5" s="76"/>
      <c r="C5" s="76"/>
      <c r="D5" s="76"/>
      <c r="E5" s="76"/>
      <c r="F5" s="76"/>
      <c r="G5" s="76"/>
      <c r="H5" s="76"/>
      <c r="I5" s="76"/>
    </row>
    <row r="6" spans="2:11">
      <c r="B6" s="76" t="s">
        <v>5</v>
      </c>
      <c r="C6" s="76"/>
      <c r="D6" s="76"/>
      <c r="E6" s="76"/>
      <c r="F6" s="76"/>
      <c r="G6" s="76"/>
      <c r="H6" s="76"/>
      <c r="I6" s="76"/>
    </row>
    <row r="7" spans="2:11" ht="60">
      <c r="B7" s="3" t="s">
        <v>6</v>
      </c>
      <c r="C7" s="1"/>
      <c r="D7" s="2" t="s">
        <v>7</v>
      </c>
      <c r="E7" s="1"/>
      <c r="F7" s="2" t="s">
        <v>8</v>
      </c>
      <c r="G7" s="1"/>
      <c r="H7" s="2" t="s">
        <v>9</v>
      </c>
      <c r="I7" s="1"/>
    </row>
    <row r="8" spans="2:11" ht="45">
      <c r="B8" s="15" t="s">
        <v>10</v>
      </c>
      <c r="C8" s="16"/>
      <c r="D8" s="3" t="s">
        <v>65</v>
      </c>
      <c r="E8" s="78"/>
      <c r="F8" s="78"/>
      <c r="G8" s="2" t="s">
        <v>12</v>
      </c>
      <c r="H8" s="78"/>
      <c r="I8" s="78"/>
      <c r="K8" s="11" t="s">
        <v>66</v>
      </c>
    </row>
    <row r="9" spans="2:11" ht="30">
      <c r="B9" s="2" t="s">
        <v>13</v>
      </c>
      <c r="C9" s="5">
        <v>3</v>
      </c>
      <c r="D9" s="2" t="s">
        <v>14</v>
      </c>
      <c r="E9" s="5">
        <v>54</v>
      </c>
      <c r="F9" s="2" t="s">
        <v>15</v>
      </c>
      <c r="G9" s="5">
        <v>90</v>
      </c>
      <c r="H9" s="2" t="s">
        <v>16</v>
      </c>
      <c r="I9" s="5">
        <f>E9+G9</f>
        <v>144</v>
      </c>
      <c r="K9" s="11" t="s">
        <v>67</v>
      </c>
    </row>
    <row r="10" spans="2:11">
      <c r="B10" s="75" t="s">
        <v>17</v>
      </c>
      <c r="C10" s="79"/>
      <c r="D10" s="79"/>
      <c r="E10" s="79"/>
      <c r="F10" s="79"/>
      <c r="G10" s="79"/>
      <c r="H10" s="79"/>
      <c r="I10" s="79"/>
    </row>
    <row r="11" spans="2:11">
      <c r="B11" s="75" t="s">
        <v>18</v>
      </c>
      <c r="C11" s="75"/>
      <c r="D11" s="76" t="s">
        <v>19</v>
      </c>
      <c r="E11" s="77"/>
      <c r="F11" s="77"/>
      <c r="G11" s="76" t="s">
        <v>20</v>
      </c>
      <c r="H11" s="77"/>
      <c r="I11" s="77"/>
    </row>
    <row r="12" spans="2:11">
      <c r="B12" s="75"/>
      <c r="C12" s="75"/>
      <c r="D12" s="76"/>
      <c r="E12" s="77"/>
      <c r="F12" s="77"/>
      <c r="G12" s="76"/>
      <c r="H12" s="77"/>
      <c r="I12" s="77"/>
    </row>
    <row r="13" spans="2:11">
      <c r="B13" s="79" t="s">
        <v>21</v>
      </c>
      <c r="C13" s="79"/>
      <c r="D13" s="79"/>
      <c r="E13" s="79"/>
      <c r="F13" s="79"/>
      <c r="G13" s="79"/>
      <c r="H13" s="79"/>
      <c r="I13" s="79"/>
    </row>
    <row r="14" spans="2:11">
      <c r="B14" s="3" t="s">
        <v>22</v>
      </c>
      <c r="C14" s="78"/>
      <c r="D14" s="78"/>
      <c r="E14" s="3" t="s">
        <v>23</v>
      </c>
      <c r="F14" s="1"/>
      <c r="G14" s="3" t="s">
        <v>24</v>
      </c>
      <c r="H14" s="78"/>
      <c r="I14" s="78"/>
    </row>
    <row r="15" spans="2:11">
      <c r="B15" s="79" t="s">
        <v>25</v>
      </c>
      <c r="C15" s="79"/>
      <c r="D15" s="79"/>
      <c r="E15" s="79"/>
      <c r="F15" s="79"/>
      <c r="G15" s="79"/>
      <c r="H15" s="79"/>
      <c r="I15" s="79"/>
    </row>
    <row r="16" spans="2:11">
      <c r="B16" s="75" t="s">
        <v>26</v>
      </c>
      <c r="C16" s="75"/>
      <c r="D16" s="77" t="s">
        <v>68</v>
      </c>
      <c r="E16" s="77"/>
      <c r="F16" s="77"/>
      <c r="G16" s="77"/>
      <c r="H16" s="77"/>
      <c r="I16" s="77"/>
    </row>
    <row r="17" spans="2:12">
      <c r="B17" s="75"/>
      <c r="C17" s="75"/>
      <c r="D17" s="77"/>
      <c r="E17" s="77"/>
      <c r="F17" s="77"/>
      <c r="G17" s="77"/>
      <c r="H17" s="77"/>
      <c r="I17" s="77"/>
    </row>
    <row r="18" spans="2:12">
      <c r="B18" s="103" t="s">
        <v>27</v>
      </c>
      <c r="C18" s="104"/>
      <c r="D18" s="105"/>
      <c r="E18" s="105"/>
      <c r="F18" s="105"/>
      <c r="G18" s="105"/>
      <c r="H18" s="105"/>
      <c r="I18" s="105"/>
    </row>
    <row r="19" spans="2:12">
      <c r="B19" s="106" t="s">
        <v>28</v>
      </c>
      <c r="C19" s="106"/>
      <c r="D19" s="105"/>
      <c r="E19" s="105"/>
      <c r="F19" s="105"/>
      <c r="G19" s="105"/>
      <c r="H19" s="105"/>
      <c r="I19" s="105"/>
    </row>
    <row r="20" spans="2:12">
      <c r="B20" s="106"/>
      <c r="C20" s="106"/>
      <c r="D20" s="105"/>
      <c r="E20" s="105"/>
      <c r="F20" s="105"/>
      <c r="G20" s="105"/>
      <c r="H20" s="105"/>
      <c r="I20" s="105"/>
    </row>
    <row r="21" spans="2:12">
      <c r="B21" s="106" t="s">
        <v>29</v>
      </c>
      <c r="C21" s="106"/>
      <c r="D21" s="105" t="s">
        <v>69</v>
      </c>
      <c r="E21" s="105"/>
      <c r="F21" s="105"/>
      <c r="G21" s="105"/>
      <c r="H21" s="105"/>
      <c r="I21" s="105"/>
    </row>
    <row r="22" spans="2:12">
      <c r="B22" s="106"/>
      <c r="C22" s="106"/>
      <c r="D22" s="105"/>
      <c r="E22" s="105"/>
      <c r="F22" s="105"/>
      <c r="G22" s="105"/>
      <c r="H22" s="105"/>
      <c r="I22" s="105"/>
    </row>
    <row r="23" spans="2:12">
      <c r="B23" s="107" t="s">
        <v>30</v>
      </c>
      <c r="C23" s="107"/>
      <c r="D23" s="105" t="s">
        <v>31</v>
      </c>
      <c r="E23" s="105"/>
      <c r="F23" s="105"/>
      <c r="G23" s="105"/>
      <c r="H23" s="105"/>
      <c r="I23" s="105"/>
    </row>
    <row r="24" spans="2:12">
      <c r="B24" s="107"/>
      <c r="C24" s="107"/>
      <c r="D24" s="105" t="s">
        <v>32</v>
      </c>
      <c r="E24" s="105"/>
      <c r="F24" s="105"/>
      <c r="G24" s="105"/>
      <c r="H24" s="105"/>
      <c r="I24" s="105"/>
    </row>
    <row r="25" spans="2:12">
      <c r="B25" s="107"/>
      <c r="C25" s="107"/>
      <c r="D25" s="105" t="s">
        <v>33</v>
      </c>
      <c r="E25" s="105"/>
      <c r="F25" s="105"/>
      <c r="G25" s="105"/>
      <c r="H25" s="105"/>
      <c r="I25" s="105"/>
    </row>
    <row r="26" spans="2:12">
      <c r="B26" s="107"/>
      <c r="C26" s="107"/>
      <c r="D26" s="105" t="s">
        <v>34</v>
      </c>
      <c r="E26" s="105"/>
      <c r="F26" s="105"/>
      <c r="G26" s="105"/>
      <c r="H26" s="105"/>
      <c r="I26" s="105"/>
    </row>
    <row r="27" spans="2:12" ht="99.6" customHeight="1">
      <c r="B27" s="82" t="s">
        <v>70</v>
      </c>
      <c r="C27" s="82"/>
      <c r="D27" s="97" t="s">
        <v>71</v>
      </c>
      <c r="E27" s="98"/>
      <c r="F27" s="99"/>
      <c r="G27" s="94" t="s">
        <v>72</v>
      </c>
      <c r="H27" s="98"/>
      <c r="I27" s="99"/>
      <c r="L27" s="11" t="s">
        <v>73</v>
      </c>
    </row>
    <row r="28" spans="2:12" ht="90.6" customHeight="1">
      <c r="B28" s="82"/>
      <c r="C28" s="82"/>
      <c r="D28" s="108" t="s">
        <v>74</v>
      </c>
      <c r="E28" s="109"/>
      <c r="F28" s="110"/>
      <c r="G28" s="94" t="s">
        <v>75</v>
      </c>
      <c r="H28" s="95"/>
      <c r="I28" s="96"/>
      <c r="L28" s="11" t="s">
        <v>76</v>
      </c>
    </row>
    <row r="29" spans="2:12" ht="75.599999999999994" customHeight="1">
      <c r="B29" s="82"/>
      <c r="C29" s="82"/>
      <c r="D29" s="97" t="s">
        <v>77</v>
      </c>
      <c r="E29" s="98"/>
      <c r="F29" s="99"/>
      <c r="G29" s="94" t="s">
        <v>78</v>
      </c>
      <c r="H29" s="101"/>
      <c r="I29" s="102"/>
      <c r="L29" s="11" t="s">
        <v>79</v>
      </c>
    </row>
    <row r="30" spans="2:12">
      <c r="B30" s="79" t="s">
        <v>46</v>
      </c>
      <c r="C30" s="79"/>
      <c r="D30" s="79"/>
      <c r="E30" s="79"/>
      <c r="F30" s="79"/>
      <c r="G30" s="79"/>
      <c r="H30" s="79"/>
      <c r="I30" s="79"/>
    </row>
    <row r="31" spans="2:12">
      <c r="B31" s="84" t="s">
        <v>47</v>
      </c>
      <c r="C31" s="84"/>
      <c r="D31" s="84"/>
      <c r="E31" s="84"/>
      <c r="F31" s="84"/>
      <c r="G31" s="84"/>
      <c r="H31" s="84"/>
      <c r="I31" s="84"/>
    </row>
    <row r="32" spans="2:12">
      <c r="B32" s="84"/>
      <c r="C32" s="84"/>
      <c r="D32" s="84"/>
      <c r="E32" s="84"/>
      <c r="F32" s="84"/>
      <c r="G32" s="84"/>
      <c r="H32" s="84"/>
      <c r="I32" s="84"/>
    </row>
    <row r="33" spans="2:9">
      <c r="B33" s="84"/>
      <c r="C33" s="84"/>
      <c r="D33" s="84"/>
      <c r="E33" s="84"/>
      <c r="F33" s="84"/>
      <c r="G33" s="84"/>
      <c r="H33" s="84"/>
      <c r="I33" s="84"/>
    </row>
    <row r="34" spans="2:9">
      <c r="B34" s="85" t="s">
        <v>80</v>
      </c>
      <c r="C34" s="85"/>
      <c r="D34" s="85"/>
      <c r="E34" s="85"/>
      <c r="F34" s="100" t="s">
        <v>49</v>
      </c>
      <c r="G34" s="100"/>
      <c r="H34" s="100"/>
      <c r="I34" s="100"/>
    </row>
    <row r="35" spans="2:9">
      <c r="B35" s="85"/>
      <c r="C35" s="85"/>
      <c r="D35" s="85"/>
      <c r="E35" s="85"/>
      <c r="F35" s="100"/>
      <c r="G35" s="100"/>
      <c r="H35" s="100"/>
      <c r="I35" s="100"/>
    </row>
    <row r="36" spans="2:9">
      <c r="B36" s="85"/>
      <c r="C36" s="85"/>
      <c r="D36" s="85"/>
      <c r="E36" s="85"/>
      <c r="F36" s="100"/>
      <c r="G36" s="100"/>
      <c r="H36" s="100"/>
      <c r="I36" s="100"/>
    </row>
    <row r="37" spans="2:9">
      <c r="B37" s="85"/>
      <c r="C37" s="85"/>
      <c r="D37" s="85"/>
      <c r="E37" s="85"/>
      <c r="F37" s="100"/>
      <c r="G37" s="100"/>
      <c r="H37" s="100"/>
      <c r="I37" s="100"/>
    </row>
    <row r="38" spans="2:9">
      <c r="B38" s="85"/>
      <c r="C38" s="85"/>
      <c r="D38" s="85"/>
      <c r="E38" s="85"/>
      <c r="F38" s="100"/>
      <c r="G38" s="100"/>
      <c r="H38" s="100"/>
      <c r="I38" s="100"/>
    </row>
    <row r="39" spans="2:9">
      <c r="B39" s="85"/>
      <c r="C39" s="85"/>
      <c r="D39" s="85"/>
      <c r="E39" s="85"/>
      <c r="F39" s="100"/>
      <c r="G39" s="100"/>
      <c r="H39" s="100"/>
      <c r="I39" s="100"/>
    </row>
    <row r="40" spans="2:9">
      <c r="B40" s="85"/>
      <c r="C40" s="85"/>
      <c r="D40" s="85"/>
      <c r="E40" s="85"/>
      <c r="F40" s="100"/>
      <c r="G40" s="100"/>
      <c r="H40" s="100"/>
      <c r="I40" s="100"/>
    </row>
    <row r="41" spans="2:9">
      <c r="B41" s="85"/>
      <c r="C41" s="85"/>
      <c r="D41" s="85"/>
      <c r="E41" s="85"/>
      <c r="F41" s="100"/>
      <c r="G41" s="100"/>
      <c r="H41" s="100"/>
      <c r="I41" s="100"/>
    </row>
    <row r="42" spans="2:9">
      <c r="B42" s="85"/>
      <c r="C42" s="85"/>
      <c r="D42" s="85"/>
      <c r="E42" s="85"/>
      <c r="F42" s="100"/>
      <c r="G42" s="100"/>
      <c r="H42" s="100"/>
      <c r="I42" s="100"/>
    </row>
    <row r="43" spans="2:9">
      <c r="B43" s="79" t="s">
        <v>50</v>
      </c>
      <c r="C43" s="79"/>
      <c r="D43" s="79"/>
      <c r="E43" s="79"/>
      <c r="F43" s="79"/>
      <c r="G43" s="79"/>
      <c r="H43" s="79"/>
      <c r="I43" s="79"/>
    </row>
    <row r="44" spans="2:9">
      <c r="B44" s="93" t="s">
        <v>81</v>
      </c>
      <c r="C44" s="93"/>
      <c r="D44" s="93"/>
      <c r="E44" s="93"/>
      <c r="F44" s="85" t="s">
        <v>82</v>
      </c>
      <c r="G44" s="85"/>
      <c r="H44" s="85"/>
      <c r="I44" s="85"/>
    </row>
    <row r="45" spans="2:9">
      <c r="B45" s="93"/>
      <c r="C45" s="93"/>
      <c r="D45" s="93"/>
      <c r="E45" s="93"/>
      <c r="F45" s="85"/>
      <c r="G45" s="85"/>
      <c r="H45" s="85"/>
      <c r="I45" s="85"/>
    </row>
    <row r="46" spans="2:9">
      <c r="B46" s="93"/>
      <c r="C46" s="93"/>
      <c r="D46" s="93"/>
      <c r="E46" s="93"/>
      <c r="F46" s="85"/>
      <c r="G46" s="85"/>
      <c r="H46" s="85"/>
      <c r="I46" s="85"/>
    </row>
    <row r="47" spans="2:9">
      <c r="B47" s="93"/>
      <c r="C47" s="93"/>
      <c r="D47" s="93"/>
      <c r="E47" s="93"/>
      <c r="F47" s="85"/>
      <c r="G47" s="85"/>
      <c r="H47" s="85"/>
      <c r="I47" s="85"/>
    </row>
    <row r="48" spans="2:9">
      <c r="B48" s="93"/>
      <c r="C48" s="93"/>
      <c r="D48" s="93"/>
      <c r="E48" s="93"/>
      <c r="F48" s="85"/>
      <c r="G48" s="85"/>
      <c r="H48" s="85"/>
      <c r="I48" s="85"/>
    </row>
    <row r="49" spans="2:9">
      <c r="B49" s="93"/>
      <c r="C49" s="93"/>
      <c r="D49" s="93"/>
      <c r="E49" s="93"/>
      <c r="F49" s="85"/>
      <c r="G49" s="85"/>
      <c r="H49" s="85"/>
      <c r="I49" s="85"/>
    </row>
    <row r="50" spans="2:9">
      <c r="B50" s="93"/>
      <c r="C50" s="93"/>
      <c r="D50" s="93"/>
      <c r="E50" s="93"/>
      <c r="F50" s="85"/>
      <c r="G50" s="85"/>
      <c r="H50" s="85"/>
      <c r="I50" s="85"/>
    </row>
    <row r="51" spans="2:9">
      <c r="B51" s="93"/>
      <c r="C51" s="93"/>
      <c r="D51" s="93"/>
      <c r="E51" s="93"/>
      <c r="F51" s="85"/>
      <c r="G51" s="85"/>
      <c r="H51" s="85"/>
      <c r="I51" s="85"/>
    </row>
    <row r="52" spans="2:9">
      <c r="B52" s="93"/>
      <c r="C52" s="93"/>
      <c r="D52" s="93"/>
      <c r="E52" s="93"/>
      <c r="F52" s="85"/>
      <c r="G52" s="85"/>
      <c r="H52" s="85"/>
      <c r="I52" s="85"/>
    </row>
    <row r="53" spans="2:9">
      <c r="B53" s="93"/>
      <c r="C53" s="93"/>
      <c r="D53" s="93"/>
      <c r="E53" s="93"/>
      <c r="F53" s="85"/>
      <c r="G53" s="85"/>
      <c r="H53" s="85"/>
      <c r="I53" s="85"/>
    </row>
    <row r="54" spans="2:9">
      <c r="B54" s="93"/>
      <c r="C54" s="93"/>
      <c r="D54" s="93"/>
      <c r="E54" s="93"/>
      <c r="F54" s="85"/>
      <c r="G54" s="85"/>
      <c r="H54" s="85"/>
      <c r="I54" s="85"/>
    </row>
    <row r="55" spans="2:9">
      <c r="B55" s="76" t="s">
        <v>83</v>
      </c>
      <c r="C55" s="76"/>
      <c r="D55" s="76"/>
      <c r="E55" s="76"/>
      <c r="F55" s="77" t="s">
        <v>84</v>
      </c>
      <c r="G55" s="77"/>
      <c r="H55" s="76" t="s">
        <v>54</v>
      </c>
      <c r="I55" s="5"/>
    </row>
    <row r="56" spans="2:9">
      <c r="B56" s="76"/>
      <c r="C56" s="76"/>
      <c r="D56" s="76"/>
      <c r="E56" s="76"/>
      <c r="F56" s="77"/>
      <c r="G56" s="77"/>
      <c r="H56" s="76"/>
      <c r="I56" s="5"/>
    </row>
    <row r="57" spans="2:9">
      <c r="B57" s="76"/>
      <c r="C57" s="76"/>
      <c r="D57" s="76"/>
      <c r="E57" s="76"/>
      <c r="F57" s="77"/>
      <c r="G57" s="77"/>
      <c r="H57" s="76"/>
      <c r="I57" s="5"/>
    </row>
    <row r="58" spans="2:9">
      <c r="B58" s="76"/>
      <c r="C58" s="76"/>
      <c r="D58" s="76"/>
      <c r="E58" s="76"/>
      <c r="F58" s="77"/>
      <c r="G58" s="77"/>
      <c r="H58" s="76"/>
      <c r="I58" s="5"/>
    </row>
    <row r="59" spans="2:9">
      <c r="B59" s="76"/>
      <c r="C59" s="76"/>
      <c r="D59" s="76"/>
      <c r="E59" s="76"/>
      <c r="F59" s="77"/>
      <c r="G59" s="77"/>
      <c r="H59" s="76"/>
      <c r="I59" s="5"/>
    </row>
    <row r="60" spans="2:9">
      <c r="B60" s="79" t="s">
        <v>55</v>
      </c>
      <c r="C60" s="79"/>
      <c r="D60" s="79"/>
      <c r="E60" s="79"/>
      <c r="F60" s="79"/>
      <c r="G60" s="79"/>
      <c r="H60" s="79"/>
      <c r="I60" s="79"/>
    </row>
    <row r="61" spans="2:9">
      <c r="B61" s="85" t="s">
        <v>56</v>
      </c>
      <c r="C61" s="85"/>
      <c r="D61" s="85"/>
      <c r="E61" s="85"/>
      <c r="F61" s="85" t="s">
        <v>57</v>
      </c>
      <c r="G61" s="85"/>
      <c r="H61" s="85"/>
      <c r="I61" s="85"/>
    </row>
    <row r="62" spans="2:9">
      <c r="B62" s="85"/>
      <c r="C62" s="85"/>
      <c r="D62" s="85"/>
      <c r="E62" s="85"/>
      <c r="F62" s="85"/>
      <c r="G62" s="85"/>
      <c r="H62" s="85"/>
      <c r="I62" s="85"/>
    </row>
    <row r="63" spans="2:9">
      <c r="B63" s="85"/>
      <c r="C63" s="85"/>
      <c r="D63" s="85"/>
      <c r="E63" s="85"/>
      <c r="F63" s="85"/>
      <c r="G63" s="85"/>
      <c r="H63" s="85"/>
      <c r="I63" s="85"/>
    </row>
    <row r="64" spans="2:9">
      <c r="B64" s="85"/>
      <c r="C64" s="85"/>
      <c r="D64" s="85"/>
      <c r="E64" s="85"/>
      <c r="F64" s="85"/>
      <c r="G64" s="85"/>
      <c r="H64" s="85"/>
      <c r="I64" s="85"/>
    </row>
    <row r="65" spans="2:9">
      <c r="B65" s="85"/>
      <c r="C65" s="85"/>
      <c r="D65" s="85"/>
      <c r="E65" s="85"/>
      <c r="F65" s="85"/>
      <c r="G65" s="85"/>
      <c r="H65" s="85"/>
      <c r="I65" s="85"/>
    </row>
    <row r="66" spans="2:9">
      <c r="B66" s="85"/>
      <c r="C66" s="85"/>
      <c r="D66" s="85"/>
      <c r="E66" s="85"/>
      <c r="F66" s="85"/>
      <c r="G66" s="85"/>
      <c r="H66" s="85"/>
      <c r="I66" s="85"/>
    </row>
    <row r="67" spans="2:9">
      <c r="B67" s="85"/>
      <c r="C67" s="85"/>
      <c r="D67" s="85"/>
      <c r="E67" s="85"/>
      <c r="F67" s="85"/>
      <c r="G67" s="85"/>
      <c r="H67" s="85"/>
      <c r="I67" s="85"/>
    </row>
    <row r="68" spans="2:9">
      <c r="B68" s="85"/>
      <c r="C68" s="85"/>
      <c r="D68" s="85"/>
      <c r="E68" s="85"/>
      <c r="F68" s="85"/>
      <c r="G68" s="85"/>
      <c r="H68" s="85"/>
      <c r="I68" s="85"/>
    </row>
    <row r="69" spans="2:9">
      <c r="B69" s="85"/>
      <c r="C69" s="85"/>
      <c r="D69" s="85"/>
      <c r="E69" s="85"/>
      <c r="F69" s="85"/>
      <c r="G69" s="85"/>
      <c r="H69" s="85"/>
      <c r="I69" s="85"/>
    </row>
    <row r="70" spans="2:9">
      <c r="B70" s="85"/>
      <c r="C70" s="85"/>
      <c r="D70" s="85"/>
      <c r="E70" s="85"/>
      <c r="F70" s="85"/>
      <c r="G70" s="85"/>
      <c r="H70" s="85"/>
      <c r="I70" s="85"/>
    </row>
    <row r="71" spans="2:9">
      <c r="B71" s="85"/>
      <c r="C71" s="85"/>
      <c r="D71" s="85"/>
      <c r="E71" s="85"/>
      <c r="F71" s="85"/>
      <c r="G71" s="85"/>
      <c r="H71" s="85"/>
      <c r="I71" s="85"/>
    </row>
    <row r="72" spans="2:9">
      <c r="B72" s="85"/>
      <c r="C72" s="85"/>
      <c r="D72" s="85"/>
      <c r="E72" s="85"/>
      <c r="F72" s="85"/>
      <c r="G72" s="85"/>
      <c r="H72" s="85"/>
      <c r="I72" s="85"/>
    </row>
    <row r="73" spans="2:9">
      <c r="B73" s="85"/>
      <c r="C73" s="85"/>
      <c r="D73" s="85"/>
      <c r="E73" s="85"/>
      <c r="F73" s="85"/>
      <c r="G73" s="85"/>
      <c r="H73" s="85"/>
      <c r="I73" s="85"/>
    </row>
    <row r="74" spans="2:9">
      <c r="B74" s="85"/>
      <c r="C74" s="85"/>
      <c r="D74" s="85"/>
      <c r="E74" s="85"/>
      <c r="F74" s="85"/>
      <c r="G74" s="85"/>
      <c r="H74" s="85"/>
      <c r="I74" s="85"/>
    </row>
    <row r="75" spans="2:9">
      <c r="B75" s="92"/>
      <c r="C75" s="92"/>
      <c r="D75" s="92"/>
      <c r="E75" s="92"/>
      <c r="F75" s="92"/>
      <c r="G75" s="92"/>
      <c r="H75" s="92"/>
      <c r="I75" s="92"/>
    </row>
    <row r="76" spans="2:9">
      <c r="B76" s="79" t="s">
        <v>58</v>
      </c>
      <c r="C76" s="79"/>
      <c r="D76" s="79"/>
      <c r="E76" s="79"/>
      <c r="F76" s="79"/>
      <c r="G76" s="79"/>
      <c r="H76" s="79"/>
      <c r="I76" s="79"/>
    </row>
    <row r="77" spans="2:9">
      <c r="B77" s="9" t="s">
        <v>59</v>
      </c>
      <c r="C77" s="9" t="s">
        <v>60</v>
      </c>
      <c r="D77" s="9" t="s">
        <v>61</v>
      </c>
      <c r="E77" s="9" t="s">
        <v>62</v>
      </c>
      <c r="F77" s="9" t="s">
        <v>63</v>
      </c>
      <c r="G77" s="79" t="s">
        <v>64</v>
      </c>
      <c r="H77" s="79"/>
      <c r="I77" s="79"/>
    </row>
    <row r="78" spans="2:9">
      <c r="B78" s="10"/>
      <c r="C78" s="10"/>
      <c r="D78" s="10"/>
      <c r="E78" s="10"/>
      <c r="F78" s="10"/>
      <c r="G78" s="84"/>
      <c r="H78" s="84"/>
      <c r="I78" s="84"/>
    </row>
    <row r="79" spans="2:9">
      <c r="B79" s="10"/>
      <c r="C79" s="10"/>
      <c r="D79" s="10"/>
      <c r="E79" s="10"/>
      <c r="F79" s="10"/>
      <c r="G79" s="84"/>
      <c r="H79" s="84"/>
      <c r="I79" s="84"/>
    </row>
    <row r="80" spans="2:9">
      <c r="B80" s="10"/>
      <c r="C80" s="10"/>
      <c r="D80" s="10"/>
      <c r="E80" s="10"/>
      <c r="F80" s="10"/>
      <c r="G80" s="84"/>
      <c r="H80" s="84"/>
      <c r="I80" s="84"/>
    </row>
    <row r="81" spans="2:9">
      <c r="B81" s="10"/>
      <c r="C81" s="10"/>
      <c r="D81" s="10"/>
      <c r="E81" s="10"/>
      <c r="F81" s="10"/>
      <c r="G81" s="84"/>
      <c r="H81" s="84"/>
      <c r="I81" s="84"/>
    </row>
    <row r="82" spans="2:9">
      <c r="B82" s="10"/>
      <c r="C82" s="10"/>
      <c r="D82" s="10"/>
      <c r="E82" s="10"/>
      <c r="F82" s="10"/>
      <c r="G82" s="84"/>
      <c r="H82" s="84"/>
      <c r="I82" s="84"/>
    </row>
    <row r="83" spans="2:9">
      <c r="B83" s="10"/>
      <c r="C83" s="10"/>
      <c r="D83" s="10"/>
      <c r="E83" s="10"/>
      <c r="F83" s="10"/>
      <c r="G83" s="84"/>
      <c r="H83" s="84"/>
      <c r="I83" s="8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02FAA-7448-415A-9188-F1A5055635C9}">
  <dimension ref="A1:R36"/>
  <sheetViews>
    <sheetView topLeftCell="B1" zoomScale="85" zoomScaleNormal="85" workbookViewId="0">
      <pane xSplit="2" ySplit="2" topLeftCell="E21" activePane="bottomRight" state="frozen"/>
      <selection pane="bottomRight" activeCell="H2" sqref="H2"/>
      <selection pane="bottomLeft" activeCell="B3" sqref="B3"/>
      <selection pane="topRight" activeCell="D1" sqref="D1"/>
    </sheetView>
  </sheetViews>
  <sheetFormatPr defaultColWidth="11.42578125" defaultRowHeight="15"/>
  <cols>
    <col min="3" max="3" width="74" bestFit="1" customWidth="1"/>
    <col min="4" max="4" width="32.85546875" customWidth="1"/>
    <col min="5" max="7" width="16.28515625" customWidth="1"/>
    <col min="8" max="8" width="44.140625" customWidth="1"/>
    <col min="9" max="9" width="14.7109375" customWidth="1"/>
    <col min="10" max="16" width="13.140625" customWidth="1"/>
    <col min="17" max="17" width="13.140625" style="63" customWidth="1"/>
    <col min="18" max="18" width="13.140625" customWidth="1"/>
  </cols>
  <sheetData>
    <row r="1" spans="1:18" ht="15.75" thickBot="1"/>
    <row r="2" spans="1:18" ht="68.25" thickBot="1">
      <c r="H2" s="56" t="s">
        <v>85</v>
      </c>
      <c r="I2" s="56" t="str">
        <f>+I10</f>
        <v>Ingenium for a Better World</v>
      </c>
      <c r="J2" s="61" t="str">
        <f t="shared" ref="J2:R2" si="0">+J10</f>
        <v>Gestión de Compras, Negociación y Estrategias de Aprovisionamiento</v>
      </c>
      <c r="K2" s="61" t="str">
        <f t="shared" si="0"/>
        <v>Gestión de Inventarios</v>
      </c>
      <c r="L2" s="61" t="str">
        <f t="shared" si="0"/>
        <v>Gestión de la Entrega y Logística Inversa</v>
      </c>
      <c r="M2" s="61" t="str">
        <f t="shared" si="0"/>
        <v>Gestión de Operaciones y Alineación Estratégica</v>
      </c>
      <c r="N2" s="61" t="str">
        <f t="shared" si="0"/>
        <v>Simulación de Modelos de Operaciones y Logística</v>
      </c>
      <c r="O2" s="61" t="str">
        <f t="shared" si="0"/>
        <v>Ventas y Planeación de la Demanda</v>
      </c>
      <c r="P2" s="61" t="str">
        <f t="shared" si="0"/>
        <v>Gerencia de la Cadena de Abastecimiento</v>
      </c>
      <c r="Q2" s="64" t="str">
        <f t="shared" si="0"/>
        <v>Ética Empresarial y Sostenibilidad</v>
      </c>
      <c r="R2" s="61" t="str">
        <f t="shared" si="0"/>
        <v>Logística Integral y Comercio Internacional</v>
      </c>
    </row>
    <row r="3" spans="1:18" ht="27" thickBot="1">
      <c r="H3" s="58" t="str">
        <f>+I3</f>
        <v>Información Extraída</v>
      </c>
      <c r="I3" s="55" t="s">
        <v>86</v>
      </c>
      <c r="J3" s="37" t="s">
        <v>87</v>
      </c>
      <c r="K3" s="37" t="s">
        <v>88</v>
      </c>
      <c r="L3" s="37" t="s">
        <v>89</v>
      </c>
      <c r="M3" s="37" t="s">
        <v>90</v>
      </c>
      <c r="N3" s="37" t="s">
        <v>91</v>
      </c>
      <c r="O3" s="37" t="s">
        <v>92</v>
      </c>
      <c r="P3" s="37" t="s">
        <v>93</v>
      </c>
      <c r="Q3" s="60" t="s">
        <v>94</v>
      </c>
      <c r="R3" s="54" t="s">
        <v>95</v>
      </c>
    </row>
    <row r="4" spans="1:18" ht="17.25" thickBot="1">
      <c r="A4">
        <v>3</v>
      </c>
      <c r="B4">
        <v>1</v>
      </c>
      <c r="C4" s="33" t="s">
        <v>6</v>
      </c>
      <c r="D4" s="40">
        <v>2026</v>
      </c>
      <c r="H4" s="57">
        <f>HLOOKUP(H$2,$I$2:$R$36,A4,0)</f>
        <v>2013</v>
      </c>
      <c r="I4" s="36">
        <v>2024</v>
      </c>
      <c r="J4" s="36">
        <v>2024</v>
      </c>
      <c r="K4" s="36">
        <v>2024</v>
      </c>
      <c r="L4" s="36">
        <v>2023</v>
      </c>
      <c r="M4" s="36">
        <v>2024</v>
      </c>
      <c r="N4" s="36">
        <v>2024</v>
      </c>
      <c r="O4" s="36">
        <v>2024</v>
      </c>
      <c r="P4" s="36">
        <v>2013</v>
      </c>
      <c r="Q4" s="59">
        <v>2015</v>
      </c>
      <c r="R4" s="36">
        <v>2016</v>
      </c>
    </row>
    <row r="5" spans="1:18" ht="27" thickBot="1">
      <c r="A5">
        <v>4</v>
      </c>
      <c r="B5">
        <v>2</v>
      </c>
      <c r="C5" s="33" t="s">
        <v>7</v>
      </c>
      <c r="D5" s="40" t="str">
        <f>+H5</f>
        <v>MAVGCABOG001</v>
      </c>
      <c r="H5" s="57" t="str">
        <f t="shared" ref="H5:H36" si="1">HLOOKUP(H$2,$I$2:$R$36,A5,0)</f>
        <v>MAVGCABOG001</v>
      </c>
      <c r="I5" s="35" t="s">
        <v>96</v>
      </c>
      <c r="J5" s="60" t="s">
        <v>97</v>
      </c>
      <c r="K5" s="60" t="s">
        <v>97</v>
      </c>
      <c r="L5" s="60" t="s">
        <v>97</v>
      </c>
      <c r="M5" s="60" t="s">
        <v>97</v>
      </c>
      <c r="N5" s="60" t="s">
        <v>97</v>
      </c>
      <c r="O5" s="60" t="s">
        <v>97</v>
      </c>
      <c r="P5" s="60" t="s">
        <v>97</v>
      </c>
      <c r="Q5" s="60" t="s">
        <v>97</v>
      </c>
      <c r="R5" s="60" t="s">
        <v>97</v>
      </c>
    </row>
    <row r="6" spans="1:18" ht="27" thickBot="1">
      <c r="A6">
        <v>5</v>
      </c>
      <c r="B6">
        <v>3</v>
      </c>
      <c r="C6" s="33" t="s">
        <v>8</v>
      </c>
      <c r="D6" s="40" t="s">
        <v>98</v>
      </c>
      <c r="H6" s="57" t="str">
        <f t="shared" si="1"/>
        <v>VMV01884</v>
      </c>
      <c r="I6" s="36">
        <v>0</v>
      </c>
      <c r="J6" s="62" t="s">
        <v>99</v>
      </c>
      <c r="K6" s="62" t="s">
        <v>100</v>
      </c>
      <c r="L6" s="62" t="s">
        <v>101</v>
      </c>
      <c r="M6" s="62" t="s">
        <v>102</v>
      </c>
      <c r="N6" s="62" t="s">
        <v>103</v>
      </c>
      <c r="O6" s="62" t="s">
        <v>104</v>
      </c>
      <c r="P6" s="62" t="s">
        <v>105</v>
      </c>
      <c r="Q6" s="60" t="s">
        <v>106</v>
      </c>
      <c r="R6" s="62" t="s">
        <v>107</v>
      </c>
    </row>
    <row r="7" spans="1:18" ht="17.25" thickBot="1">
      <c r="A7">
        <v>6</v>
      </c>
      <c r="B7">
        <v>4</v>
      </c>
      <c r="C7" s="33" t="s">
        <v>9</v>
      </c>
      <c r="D7" s="5" t="str">
        <f>+H7</f>
        <v>Nuclear</v>
      </c>
      <c r="H7" s="57" t="str">
        <f t="shared" si="1"/>
        <v>Nuclear</v>
      </c>
      <c r="I7" s="37" t="s">
        <v>108</v>
      </c>
      <c r="J7" s="37" t="s">
        <v>108</v>
      </c>
      <c r="K7" s="37" t="s">
        <v>108</v>
      </c>
      <c r="L7" s="37" t="s">
        <v>108</v>
      </c>
      <c r="M7" s="37" t="s">
        <v>108</v>
      </c>
      <c r="N7" s="37" t="s">
        <v>108</v>
      </c>
      <c r="O7" s="37" t="s">
        <v>108</v>
      </c>
      <c r="P7" s="37" t="s">
        <v>108</v>
      </c>
      <c r="Q7" s="60" t="s">
        <v>109</v>
      </c>
      <c r="R7" s="37" t="s">
        <v>108</v>
      </c>
    </row>
    <row r="8" spans="1:18" ht="17.25" thickBot="1">
      <c r="A8">
        <v>7</v>
      </c>
      <c r="B8">
        <v>5</v>
      </c>
      <c r="C8" s="33" t="s">
        <v>10</v>
      </c>
      <c r="D8" s="5" t="str">
        <f>+H8</f>
        <v>Facultad de Ingeniería</v>
      </c>
      <c r="H8" s="57" t="str">
        <f t="shared" si="1"/>
        <v>Facultad de Ingeniería</v>
      </c>
      <c r="I8" s="65" t="s">
        <v>110</v>
      </c>
      <c r="J8" s="65" t="s">
        <v>110</v>
      </c>
      <c r="K8" s="65" t="s">
        <v>110</v>
      </c>
      <c r="L8" s="65" t="s">
        <v>110</v>
      </c>
      <c r="M8" s="65" t="s">
        <v>110</v>
      </c>
      <c r="N8" s="65" t="s">
        <v>110</v>
      </c>
      <c r="O8" s="65" t="s">
        <v>110</v>
      </c>
      <c r="P8" s="65" t="s">
        <v>110</v>
      </c>
      <c r="Q8" s="65" t="s">
        <v>110</v>
      </c>
      <c r="R8" s="65" t="s">
        <v>110</v>
      </c>
    </row>
    <row r="9" spans="1:18" ht="52.5" thickBot="1">
      <c r="A9">
        <v>8</v>
      </c>
      <c r="B9">
        <v>6</v>
      </c>
      <c r="C9" s="33" t="s">
        <v>11</v>
      </c>
      <c r="D9" s="5" t="str">
        <f>+H9</f>
        <v>Mtr. Gerencia Cadena Abastecimiento</v>
      </c>
      <c r="H9" s="57" t="str">
        <f t="shared" si="1"/>
        <v>Mtr. Gerencia Cadena Abastecimiento</v>
      </c>
      <c r="I9" s="35" t="s">
        <v>111</v>
      </c>
      <c r="J9" s="37" t="s">
        <v>112</v>
      </c>
      <c r="K9" s="37" t="s">
        <v>112</v>
      </c>
      <c r="L9" s="37" t="s">
        <v>112</v>
      </c>
      <c r="M9" s="37" t="s">
        <v>112</v>
      </c>
      <c r="N9" s="37" t="s">
        <v>112</v>
      </c>
      <c r="O9" s="37" t="s">
        <v>112</v>
      </c>
      <c r="P9" s="37" t="s">
        <v>112</v>
      </c>
      <c r="Q9" s="37" t="s">
        <v>112</v>
      </c>
      <c r="R9" s="37" t="s">
        <v>112</v>
      </c>
    </row>
    <row r="10" spans="1:18" ht="14.25" customHeight="1" thickBot="1">
      <c r="A10">
        <v>9</v>
      </c>
      <c r="B10">
        <v>7</v>
      </c>
      <c r="C10" s="33" t="s">
        <v>113</v>
      </c>
      <c r="D10" s="49" t="str">
        <f>+H10</f>
        <v>Gerencia de la Cadena de Abastecimiento</v>
      </c>
      <c r="H10" s="57" t="str">
        <f t="shared" si="1"/>
        <v>Gerencia de la Cadena de Abastecimiento</v>
      </c>
      <c r="I10" s="35" t="s">
        <v>114</v>
      </c>
      <c r="J10" s="37" t="s">
        <v>115</v>
      </c>
      <c r="K10" s="37" t="s">
        <v>88</v>
      </c>
      <c r="L10" s="37" t="s">
        <v>116</v>
      </c>
      <c r="M10" s="37" t="s">
        <v>117</v>
      </c>
      <c r="N10" s="37" t="s">
        <v>118</v>
      </c>
      <c r="O10" s="37" t="s">
        <v>119</v>
      </c>
      <c r="P10" s="37" t="s">
        <v>85</v>
      </c>
      <c r="Q10" s="60" t="s">
        <v>120</v>
      </c>
      <c r="R10" s="54" t="s">
        <v>121</v>
      </c>
    </row>
    <row r="11" spans="1:18" ht="17.25" thickBot="1">
      <c r="A11">
        <v>10</v>
      </c>
      <c r="B11">
        <v>8</v>
      </c>
      <c r="C11" s="33" t="s">
        <v>13</v>
      </c>
      <c r="D11" s="5">
        <v>3</v>
      </c>
      <c r="H11" s="57">
        <f t="shared" si="1"/>
        <v>3</v>
      </c>
      <c r="I11" s="36">
        <v>3</v>
      </c>
      <c r="J11" s="36">
        <v>3</v>
      </c>
      <c r="K11" s="36">
        <v>3</v>
      </c>
      <c r="L11" s="36">
        <v>3</v>
      </c>
      <c r="M11" s="36">
        <v>3</v>
      </c>
      <c r="N11" s="36">
        <v>3</v>
      </c>
      <c r="O11" s="36">
        <v>3</v>
      </c>
      <c r="P11" s="59">
        <v>3</v>
      </c>
      <c r="Q11" s="59">
        <v>3</v>
      </c>
      <c r="R11" s="36">
        <v>3</v>
      </c>
    </row>
    <row r="12" spans="1:18" ht="17.25" thickBot="1">
      <c r="A12">
        <v>11</v>
      </c>
      <c r="B12">
        <v>9</v>
      </c>
      <c r="C12" s="33" t="s">
        <v>14</v>
      </c>
      <c r="D12" s="5">
        <f t="shared" ref="D12:D19" si="2">+H12</f>
        <v>36</v>
      </c>
      <c r="H12" s="57">
        <f t="shared" si="1"/>
        <v>36</v>
      </c>
      <c r="I12" s="36">
        <v>54</v>
      </c>
      <c r="J12" s="36">
        <v>36</v>
      </c>
      <c r="K12" s="36">
        <v>36</v>
      </c>
      <c r="L12" s="36">
        <v>36</v>
      </c>
      <c r="M12" s="36">
        <v>36</v>
      </c>
      <c r="N12" s="36">
        <v>36</v>
      </c>
      <c r="O12" s="36">
        <v>36</v>
      </c>
      <c r="P12" s="59">
        <v>36</v>
      </c>
      <c r="Q12" s="59">
        <v>36</v>
      </c>
      <c r="R12" s="36">
        <v>36</v>
      </c>
    </row>
    <row r="13" spans="1:18" ht="17.25" thickBot="1">
      <c r="A13">
        <v>12</v>
      </c>
      <c r="B13">
        <v>10</v>
      </c>
      <c r="C13" s="33" t="s">
        <v>15</v>
      </c>
      <c r="D13" s="5">
        <f t="shared" si="2"/>
        <v>108</v>
      </c>
      <c r="H13" s="57">
        <f t="shared" si="1"/>
        <v>108</v>
      </c>
      <c r="I13" s="36">
        <v>90</v>
      </c>
      <c r="J13" s="36">
        <v>108</v>
      </c>
      <c r="K13" s="36">
        <v>108</v>
      </c>
      <c r="L13" s="36">
        <v>108</v>
      </c>
      <c r="M13" s="36">
        <v>108</v>
      </c>
      <c r="N13" s="36">
        <v>108</v>
      </c>
      <c r="O13" s="36">
        <v>108</v>
      </c>
      <c r="P13" s="59">
        <v>108</v>
      </c>
      <c r="Q13" s="59">
        <v>108</v>
      </c>
      <c r="R13" s="36">
        <v>108</v>
      </c>
    </row>
    <row r="14" spans="1:18" ht="17.25" thickBot="1">
      <c r="A14">
        <v>13</v>
      </c>
      <c r="B14">
        <v>11</v>
      </c>
      <c r="C14" s="33" t="s">
        <v>16</v>
      </c>
      <c r="D14" s="5">
        <f t="shared" si="2"/>
        <v>144</v>
      </c>
      <c r="H14" s="57">
        <f t="shared" si="1"/>
        <v>144</v>
      </c>
      <c r="I14" s="36">
        <v>144</v>
      </c>
      <c r="J14" s="36">
        <v>144</v>
      </c>
      <c r="K14" s="36">
        <v>144</v>
      </c>
      <c r="L14" s="36">
        <v>144</v>
      </c>
      <c r="M14" s="36">
        <v>144</v>
      </c>
      <c r="N14" s="36">
        <v>144</v>
      </c>
      <c r="O14" s="36">
        <v>144</v>
      </c>
      <c r="P14" s="59">
        <v>144</v>
      </c>
      <c r="Q14" s="59">
        <v>144</v>
      </c>
      <c r="R14" s="36">
        <v>144</v>
      </c>
    </row>
    <row r="15" spans="1:18" ht="17.25" thickBot="1">
      <c r="A15">
        <v>14</v>
      </c>
      <c r="B15">
        <v>12</v>
      </c>
      <c r="C15" s="33" t="s">
        <v>122</v>
      </c>
      <c r="D15" s="5" t="str">
        <f t="shared" si="2"/>
        <v>Virtual</v>
      </c>
      <c r="E15" s="45" t="str">
        <f>IF(D15="Presencial","SI","")</f>
        <v/>
      </c>
      <c r="F15" s="45" t="str">
        <f>IF(D15="Virtual","SI","")</f>
        <v>SI</v>
      </c>
      <c r="H15" s="57" t="str">
        <f t="shared" si="1"/>
        <v>Virtual</v>
      </c>
      <c r="I15" s="37" t="s">
        <v>123</v>
      </c>
      <c r="J15" s="37" t="s">
        <v>20</v>
      </c>
      <c r="K15" s="37" t="s">
        <v>20</v>
      </c>
      <c r="L15" s="37" t="s">
        <v>20</v>
      </c>
      <c r="M15" s="37" t="s">
        <v>20</v>
      </c>
      <c r="N15" s="37" t="s">
        <v>20</v>
      </c>
      <c r="O15" s="37" t="s">
        <v>20</v>
      </c>
      <c r="P15" s="37" t="s">
        <v>20</v>
      </c>
      <c r="Q15" s="60" t="s">
        <v>20</v>
      </c>
      <c r="R15" s="37" t="s">
        <v>20</v>
      </c>
    </row>
    <row r="16" spans="1:18" ht="27" thickBot="1">
      <c r="A16">
        <v>15</v>
      </c>
      <c r="B16">
        <v>13</v>
      </c>
      <c r="C16" s="33" t="s">
        <v>124</v>
      </c>
      <c r="D16" s="5" t="str">
        <f t="shared" si="2"/>
        <v>No especificado</v>
      </c>
      <c r="H16" s="57" t="str">
        <f t="shared" si="1"/>
        <v>No especificado</v>
      </c>
      <c r="I16" s="35" t="s">
        <v>125</v>
      </c>
      <c r="J16" s="37" t="s">
        <v>106</v>
      </c>
      <c r="K16" s="37" t="s">
        <v>106</v>
      </c>
      <c r="L16" s="37" t="s">
        <v>106</v>
      </c>
      <c r="M16" s="37" t="s">
        <v>106</v>
      </c>
      <c r="N16" s="37" t="s">
        <v>106</v>
      </c>
      <c r="O16" s="37" t="s">
        <v>106</v>
      </c>
      <c r="P16" s="37" t="s">
        <v>106</v>
      </c>
      <c r="Q16" s="60" t="s">
        <v>106</v>
      </c>
      <c r="R16" s="37" t="s">
        <v>106</v>
      </c>
    </row>
    <row r="17" spans="1:18" ht="110.25" customHeight="1" thickBot="1">
      <c r="A17">
        <v>16</v>
      </c>
      <c r="B17">
        <v>14</v>
      </c>
      <c r="C17" s="33" t="s">
        <v>26</v>
      </c>
      <c r="D17" s="5" t="str">
        <f t="shared" si="2"/>
        <v>Los estudiantes serán sensibles a la importancia de la estrategia del gerenciamiento de la cadena de abastecimiento global en la actual economía, desarrollando las habilidades gerenciales necesarias que junto a la incorporación de algunas herramientas, les permitirán asumir como suya la responsabilidad de transformar el quehacer logístico que enmarca el sector empresarial colombiano.</v>
      </c>
      <c r="H17" s="66" t="str">
        <f t="shared" si="1"/>
        <v>Los estudiantes serán sensibles a la importancia de la estrategia del gerenciamiento de la cadena de abastecimiento global en la actual economía, desarrollando las habilidades gerenciales necesarias que junto a la incorporación de algunas herramientas, les permitirán asumir como suya la responsabilidad de transformar el quehacer logístico que enmarca el sector empresarial colombiano.</v>
      </c>
      <c r="I17" s="67" t="s">
        <v>126</v>
      </c>
      <c r="J17" s="69" t="s">
        <v>127</v>
      </c>
      <c r="K17" s="69" t="s">
        <v>128</v>
      </c>
      <c r="L17" s="69" t="s">
        <v>129</v>
      </c>
      <c r="M17" s="69" t="s">
        <v>130</v>
      </c>
      <c r="N17" s="69" t="s">
        <v>131</v>
      </c>
      <c r="O17" s="69" t="s">
        <v>132</v>
      </c>
      <c r="P17" s="69" t="s">
        <v>133</v>
      </c>
      <c r="Q17" s="71" t="s">
        <v>134</v>
      </c>
      <c r="R17" s="68" t="s">
        <v>135</v>
      </c>
    </row>
    <row r="18" spans="1:18" ht="78" thickBot="1">
      <c r="A18">
        <v>17</v>
      </c>
      <c r="B18">
        <v>15</v>
      </c>
      <c r="C18" s="33" t="s">
        <v>27</v>
      </c>
      <c r="D18" s="5" t="str">
        <f t="shared" si="2"/>
        <v>No especificado</v>
      </c>
      <c r="H18" s="57" t="str">
        <f t="shared" si="1"/>
        <v>No especificado</v>
      </c>
      <c r="I18" s="35" t="s">
        <v>136</v>
      </c>
      <c r="J18" s="37" t="s">
        <v>106</v>
      </c>
      <c r="K18" s="37" t="s">
        <v>106</v>
      </c>
      <c r="L18" s="37" t="s">
        <v>106</v>
      </c>
      <c r="M18" s="37" t="s">
        <v>106</v>
      </c>
      <c r="N18" s="37" t="s">
        <v>106</v>
      </c>
      <c r="O18" s="37" t="s">
        <v>106</v>
      </c>
      <c r="P18" s="37" t="s">
        <v>106</v>
      </c>
      <c r="Q18" s="60" t="s">
        <v>137</v>
      </c>
      <c r="R18" s="37" t="s">
        <v>106</v>
      </c>
    </row>
    <row r="19" spans="1:18" ht="65.25" thickBot="1">
      <c r="A19">
        <v>18</v>
      </c>
      <c r="B19">
        <v>16</v>
      </c>
      <c r="C19" s="33" t="s">
        <v>138</v>
      </c>
      <c r="D19" s="5" t="str">
        <f t="shared" si="2"/>
        <v>No especificado</v>
      </c>
      <c r="H19" s="57" t="str">
        <f t="shared" si="1"/>
        <v>No especificado</v>
      </c>
      <c r="I19" s="35" t="s">
        <v>139</v>
      </c>
      <c r="J19" s="37" t="s">
        <v>106</v>
      </c>
      <c r="K19" s="37" t="s">
        <v>106</v>
      </c>
      <c r="L19" s="37" t="s">
        <v>106</v>
      </c>
      <c r="M19" s="37" t="s">
        <v>106</v>
      </c>
      <c r="N19" s="37" t="s">
        <v>106</v>
      </c>
      <c r="O19" s="37" t="s">
        <v>106</v>
      </c>
      <c r="P19" s="37" t="s">
        <v>106</v>
      </c>
      <c r="Q19" s="60" t="s">
        <v>140</v>
      </c>
      <c r="R19" s="37" t="s">
        <v>106</v>
      </c>
    </row>
    <row r="20" spans="1:18" ht="90.75" thickBot="1">
      <c r="A20">
        <v>19</v>
      </c>
      <c r="B20">
        <v>17</v>
      </c>
      <c r="C20" s="33" t="s">
        <v>141</v>
      </c>
      <c r="D20" s="5"/>
      <c r="H20" s="57" t="str">
        <f t="shared" si="1"/>
        <v>No especificado</v>
      </c>
      <c r="I20" s="35" t="s">
        <v>142</v>
      </c>
      <c r="J20" s="37" t="s">
        <v>106</v>
      </c>
      <c r="K20" s="37" t="s">
        <v>106</v>
      </c>
      <c r="L20" s="37" t="s">
        <v>106</v>
      </c>
      <c r="M20" s="37" t="s">
        <v>106</v>
      </c>
      <c r="N20" s="37" t="s">
        <v>106</v>
      </c>
      <c r="O20" s="37" t="s">
        <v>106</v>
      </c>
      <c r="P20" s="37" t="s">
        <v>106</v>
      </c>
      <c r="Q20" s="60" t="s">
        <v>143</v>
      </c>
      <c r="R20" s="37" t="s">
        <v>106</v>
      </c>
    </row>
    <row r="21" spans="1:18" ht="52.5" thickBot="1">
      <c r="A21">
        <v>20</v>
      </c>
      <c r="B21">
        <v>18</v>
      </c>
      <c r="C21" s="33" t="s">
        <v>144</v>
      </c>
      <c r="D21" s="5"/>
      <c r="H21" s="57" t="str">
        <f t="shared" si="1"/>
        <v>Guía 1, 2, 3, Foro, Encuentro Final</v>
      </c>
      <c r="I21" s="35" t="s">
        <v>145</v>
      </c>
      <c r="J21" s="37" t="s">
        <v>146</v>
      </c>
      <c r="K21" s="37" t="s">
        <v>146</v>
      </c>
      <c r="L21" s="37" t="s">
        <v>146</v>
      </c>
      <c r="M21" s="37" t="s">
        <v>146</v>
      </c>
      <c r="N21" s="37" t="s">
        <v>146</v>
      </c>
      <c r="O21" s="37" t="s">
        <v>146</v>
      </c>
      <c r="P21" s="37" t="s">
        <v>146</v>
      </c>
      <c r="Q21" s="37" t="s">
        <v>146</v>
      </c>
      <c r="R21" s="37" t="s">
        <v>146</v>
      </c>
    </row>
    <row r="22" spans="1:18" ht="39.75" thickBot="1">
      <c r="A22">
        <v>21</v>
      </c>
      <c r="B22">
        <v>19</v>
      </c>
      <c r="C22" s="33" t="s">
        <v>147</v>
      </c>
      <c r="D22" s="5"/>
      <c r="H22" s="57" t="str">
        <f t="shared" si="1"/>
        <v>No especificado</v>
      </c>
      <c r="I22" s="35" t="s">
        <v>148</v>
      </c>
      <c r="J22" s="37" t="s">
        <v>106</v>
      </c>
      <c r="K22" s="37" t="s">
        <v>106</v>
      </c>
      <c r="L22" s="37" t="s">
        <v>149</v>
      </c>
      <c r="M22" s="37" t="s">
        <v>150</v>
      </c>
      <c r="N22" s="37" t="s">
        <v>106</v>
      </c>
      <c r="O22" s="37" t="s">
        <v>106</v>
      </c>
      <c r="P22" s="37" t="s">
        <v>106</v>
      </c>
      <c r="Q22" s="60" t="s">
        <v>151</v>
      </c>
      <c r="R22" s="37" t="s">
        <v>106</v>
      </c>
    </row>
    <row r="23" spans="1:18" ht="112.5" customHeight="1" thickBot="1">
      <c r="A23">
        <v>22</v>
      </c>
      <c r="B23">
        <v>20</v>
      </c>
      <c r="C23" s="53" t="s">
        <v>152</v>
      </c>
      <c r="D23" s="5" t="s">
        <v>153</v>
      </c>
      <c r="E23" s="34" t="str">
        <f>IF(D23="4.5 Semanas",H23,"")</f>
        <v>Concepto Integral de Logística.
Procesos del SCM.
Crowdsourcing Strategy
Perfil del profesional logístico.
Megatendencias. AAA Supply Chain
 Tendencias de la logística</v>
      </c>
      <c r="F23" s="34" t="str">
        <f>IF(D23="9 Semanas",H23,"")</f>
        <v/>
      </c>
      <c r="G23" s="34" t="str">
        <f>IF(D23="18 Semanas",H23,"")</f>
        <v/>
      </c>
      <c r="H23" s="57" t="str">
        <f t="shared" si="1"/>
        <v>Concepto Integral de Logística.
Procesos del SCM.
Crowdsourcing Strategy
Perfil del profesional logístico.
Megatendencias. AAA Supply Chain
 Tendencias de la logística</v>
      </c>
      <c r="I23" s="54" t="s">
        <v>154</v>
      </c>
      <c r="J23" s="72" t="s">
        <v>155</v>
      </c>
      <c r="K23" s="72" t="s">
        <v>156</v>
      </c>
      <c r="L23" s="72" t="s">
        <v>157</v>
      </c>
      <c r="M23" s="72" t="s">
        <v>158</v>
      </c>
      <c r="N23" s="72" t="s">
        <v>159</v>
      </c>
      <c r="O23" s="72" t="s">
        <v>160</v>
      </c>
      <c r="P23" s="72" t="s">
        <v>161</v>
      </c>
      <c r="Q23" s="73" t="s">
        <v>162</v>
      </c>
      <c r="R23" s="74" t="s">
        <v>163</v>
      </c>
    </row>
    <row r="24" spans="1:18" ht="27" thickBot="1">
      <c r="A24">
        <v>23</v>
      </c>
      <c r="B24">
        <v>21</v>
      </c>
      <c r="C24" s="33" t="s">
        <v>164</v>
      </c>
      <c r="D24" s="5"/>
      <c r="H24" s="57" t="str">
        <f t="shared" si="1"/>
        <v>No especificado</v>
      </c>
      <c r="I24" s="35" t="s">
        <v>165</v>
      </c>
      <c r="J24" s="37" t="s">
        <v>20</v>
      </c>
      <c r="K24" s="37" t="s">
        <v>20</v>
      </c>
      <c r="L24" s="37" t="s">
        <v>20</v>
      </c>
      <c r="M24" s="37" t="s">
        <v>166</v>
      </c>
      <c r="N24" s="37" t="s">
        <v>167</v>
      </c>
      <c r="O24" s="37" t="s">
        <v>20</v>
      </c>
      <c r="P24" s="37" t="s">
        <v>106</v>
      </c>
      <c r="Q24" s="60" t="s">
        <v>168</v>
      </c>
      <c r="R24" s="37" t="s">
        <v>106</v>
      </c>
    </row>
    <row r="25" spans="1:18" ht="179.25" thickBot="1">
      <c r="A25">
        <v>24</v>
      </c>
      <c r="B25">
        <v>22</v>
      </c>
      <c r="C25" s="33" t="s">
        <v>169</v>
      </c>
      <c r="D25" s="5" t="str">
        <f t="shared" ref="D25:D34" si="3">+H25</f>
        <v>No especificado</v>
      </c>
      <c r="H25" s="57" t="str">
        <f t="shared" si="1"/>
        <v>No especificado</v>
      </c>
      <c r="I25" s="54" t="s">
        <v>170</v>
      </c>
      <c r="J25" s="37" t="s">
        <v>171</v>
      </c>
      <c r="K25" s="37" t="s">
        <v>172</v>
      </c>
      <c r="L25" s="37" t="s">
        <v>171</v>
      </c>
      <c r="M25" s="37" t="s">
        <v>171</v>
      </c>
      <c r="N25" s="37" t="s">
        <v>171</v>
      </c>
      <c r="O25" s="37" t="s">
        <v>173</v>
      </c>
      <c r="P25" s="37" t="s">
        <v>106</v>
      </c>
      <c r="Q25" s="60" t="s">
        <v>106</v>
      </c>
      <c r="R25" s="37" t="s">
        <v>106</v>
      </c>
    </row>
    <row r="26" spans="1:18" ht="52.5" thickBot="1">
      <c r="A26">
        <v>25</v>
      </c>
      <c r="B26">
        <v>23</v>
      </c>
      <c r="C26" s="33" t="s">
        <v>52</v>
      </c>
      <c r="D26" s="5" t="str">
        <f t="shared" si="3"/>
        <v>Plataforma LMS, Excel</v>
      </c>
      <c r="H26" s="57" t="str">
        <f t="shared" si="1"/>
        <v>Plataforma LMS, Excel</v>
      </c>
      <c r="I26" s="35" t="s">
        <v>174</v>
      </c>
      <c r="J26" s="37" t="s">
        <v>175</v>
      </c>
      <c r="K26" s="37" t="s">
        <v>175</v>
      </c>
      <c r="L26" s="37" t="s">
        <v>175</v>
      </c>
      <c r="M26" s="37" t="s">
        <v>175</v>
      </c>
      <c r="N26" s="37" t="s">
        <v>176</v>
      </c>
      <c r="O26" s="37" t="s">
        <v>175</v>
      </c>
      <c r="P26" s="37" t="s">
        <v>175</v>
      </c>
      <c r="Q26" s="60" t="s">
        <v>177</v>
      </c>
      <c r="R26" s="37" t="s">
        <v>175</v>
      </c>
    </row>
    <row r="27" spans="1:18" ht="17.25" thickBot="1">
      <c r="A27">
        <v>26</v>
      </c>
      <c r="B27">
        <v>24</v>
      </c>
      <c r="C27" s="33" t="s">
        <v>178</v>
      </c>
      <c r="D27" s="5" t="str">
        <f t="shared" si="3"/>
        <v>Inglés</v>
      </c>
      <c r="H27" s="57" t="str">
        <f t="shared" si="1"/>
        <v>Inglés</v>
      </c>
      <c r="I27" s="37" t="s">
        <v>84</v>
      </c>
      <c r="J27" s="37" t="s">
        <v>84</v>
      </c>
      <c r="K27" s="37" t="s">
        <v>84</v>
      </c>
      <c r="L27" s="37" t="s">
        <v>84</v>
      </c>
      <c r="M27" s="37" t="s">
        <v>84</v>
      </c>
      <c r="N27" s="37" t="s">
        <v>84</v>
      </c>
      <c r="O27" s="37" t="s">
        <v>84</v>
      </c>
      <c r="P27" s="37" t="s">
        <v>84</v>
      </c>
      <c r="Q27" s="37" t="s">
        <v>84</v>
      </c>
      <c r="R27" s="37" t="s">
        <v>84</v>
      </c>
    </row>
    <row r="28" spans="1:18" ht="27" thickBot="1">
      <c r="A28">
        <v>27</v>
      </c>
      <c r="B28">
        <v>25</v>
      </c>
      <c r="C28" s="33" t="s">
        <v>54</v>
      </c>
      <c r="D28" s="42">
        <f t="shared" si="3"/>
        <v>0.2</v>
      </c>
      <c r="H28" s="57">
        <f t="shared" si="1"/>
        <v>0.2</v>
      </c>
      <c r="I28" s="38">
        <v>0.2</v>
      </c>
      <c r="J28" s="38">
        <v>0.2</v>
      </c>
      <c r="K28" s="38">
        <v>0.2</v>
      </c>
      <c r="L28" s="38">
        <v>0.2</v>
      </c>
      <c r="M28" s="38">
        <v>0.4</v>
      </c>
      <c r="N28" s="38">
        <v>0.3</v>
      </c>
      <c r="O28" s="38">
        <v>0.2</v>
      </c>
      <c r="P28" s="38">
        <v>0.2</v>
      </c>
      <c r="Q28" s="60" t="s">
        <v>106</v>
      </c>
      <c r="R28" s="38">
        <v>0.2</v>
      </c>
    </row>
    <row r="29" spans="1:18" ht="57" customHeight="1" thickBot="1">
      <c r="A29">
        <v>28</v>
      </c>
      <c r="B29">
        <v>26</v>
      </c>
      <c r="C29" s="33" t="s">
        <v>56</v>
      </c>
      <c r="D29" s="46" t="str">
        <f t="shared" si="3"/>
        <v>EugeneS. Schneller y Larry R. Smeltzer Strategic Management of the Health Care Supply Chain Jossey –Bass EEUU 2006,John Gattorna Cadenas de Abastecimiento Dinámicas Ecoe Bogotá 2009, Pablo C. Ocampo Emprendimiento e innovación, artículo Gerencia Logística y global, Mayo-Agosto 2009, páginas de 113-136. Universidad EAN ISSN 0120-8160. Bogotá 2009, Andrés Muñoz Machado Logística y Turismo Diaz Santos España 2005, Gs1 Switzerland Logistikmark 2009 Edit Alemana Suiza 2009, Profesores y consultores de MBA Europeos. MBA . L´essencial de l´ Administration par les meillures professeurs d’Organisation (Éditions Oct 2008) Paris 2008 Gerard Baglin, Olivier Bruel. Management Industriel et Logistique (Concevoir et piloter la Supply Chain). Económica Paris 2007, Ronald Ballou Administración de la Cadena de Suministro, quinta edición Prentice Hall México 2006, Revista Zona 7ork7tica Bogotá y Medellín 2007, Revista Mecalux Española.. España 2007,</v>
      </c>
      <c r="E29" s="47" t="str">
        <f>CONCATENATE("Bibliografía Obligatoria",": ",D29)</f>
        <v>Bibliografía Obligatoria: EugeneS. Schneller y Larry R. Smeltzer Strategic Management of the Health Care Supply Chain Jossey –Bass EEUU 2006,John Gattorna Cadenas de Abastecimiento Dinámicas Ecoe Bogotá 2009, Pablo C. Ocampo Emprendimiento e innovación, artículo Gerencia Logística y global, Mayo-Agosto 2009, páginas de 113-136. Universidad EAN ISSN 0120-8160. Bogotá 2009, Andrés Muñoz Machado Logística y Turismo Diaz Santos España 2005, Gs1 Switzerland Logistikmark 2009 Edit Alemana Suiza 2009, Profesores y consultores de MBA Europeos. MBA . L´essencial de l´ Administration par les meillures professeurs d’Organisation (Éditions Oct 2008) Paris 2008 Gerard Baglin, Olivier Bruel. Management Industriel et Logistique (Concevoir et piloter la Supply Chain). Económica Paris 2007, Ronald Ballou Administración de la Cadena de Suministro, quinta edición Prentice Hall México 2006, Revista Zona 7ork7tica Bogotá y Medellín 2007, Revista Mecalux Española.. España 2007,</v>
      </c>
      <c r="H29" s="57" t="str">
        <f t="shared" si="1"/>
        <v>EugeneS. Schneller y Larry R. Smeltzer Strategic Management of the Health Care Supply Chain Jossey –Bass EEUU 2006,John Gattorna Cadenas de Abastecimiento Dinámicas Ecoe Bogotá 2009, Pablo C. Ocampo Emprendimiento e innovación, artículo Gerencia Logística y global, Mayo-Agosto 2009, páginas de 113-136. Universidad EAN ISSN 0120-8160. Bogotá 2009, Andrés Muñoz Machado Logística y Turismo Diaz Santos España 2005, Gs1 Switzerland Logistikmark 2009 Edit Alemana Suiza 2009, Profesores y consultores de MBA Europeos. MBA . L´essencial de l´ Administration par les meillures professeurs d’Organisation (Éditions Oct 2008) Paris 2008 Gerard Baglin, Olivier Bruel. Management Industriel et Logistique (Concevoir et piloter la Supply Chain). Económica Paris 2007, Ronald Ballou Administración de la Cadena de Suministro, quinta edición Prentice Hall México 2006, Revista Zona 7ork7tica Bogotá y Medellín 2007, Revista Mecalux Española.. España 2007,</v>
      </c>
      <c r="I29" s="54" t="s">
        <v>179</v>
      </c>
      <c r="J29" s="70" t="s">
        <v>180</v>
      </c>
      <c r="K29" s="70" t="s">
        <v>181</v>
      </c>
      <c r="L29" s="70" t="s">
        <v>182</v>
      </c>
      <c r="M29" s="70" t="s">
        <v>183</v>
      </c>
      <c r="N29" s="70" t="s">
        <v>184</v>
      </c>
      <c r="O29" s="70" t="s">
        <v>185</v>
      </c>
      <c r="P29" s="70" t="s">
        <v>186</v>
      </c>
      <c r="Q29" s="60" t="s">
        <v>187</v>
      </c>
      <c r="R29" s="54" t="s">
        <v>188</v>
      </c>
    </row>
    <row r="30" spans="1:18" ht="56.25" customHeight="1" thickBot="1">
      <c r="A30">
        <v>29</v>
      </c>
      <c r="B30">
        <v>27</v>
      </c>
      <c r="C30" s="33" t="s">
        <v>57</v>
      </c>
      <c r="D30" s="46" t="str">
        <f t="shared" si="3"/>
        <v>Sunil Chopra, Peter Meindl Administración de la Cadena de Suministro Prentice Hall New Yersey 2007, Shoshahah Cohen y Joseph Roussel Avantage Supply Chain Editions d´organisation Paris 2005, Hartmut Stadler y Christoph Kilger Supply Chain Management and Advance Schedule Planning (APS),third editions Springler Alemania 2005, Peter Bolstorff y Robert Rosenbaum Supply Chain Excellent SCOR model Amacon New 7ork 2003, Hernando Marino Navarrete Gerencia de Procesos Alfaomega Mexico 2002, Douglas Lambert, James Stock, Lisa Ellram Fundamentals of Logistics Management Mc Graw –Hill EEUU 1998</v>
      </c>
      <c r="E30" s="47" t="str">
        <f>CONCATENATE("Bibliografía Complementaria",": ",D30)</f>
        <v>Bibliografía Complementaria: Sunil Chopra, Peter Meindl Administración de la Cadena de Suministro Prentice Hall New Yersey 2007, Shoshahah Cohen y Joseph Roussel Avantage Supply Chain Editions d´organisation Paris 2005, Hartmut Stadler y Christoph Kilger Supply Chain Management and Advance Schedule Planning (APS),third editions Springler Alemania 2005, Peter Bolstorff y Robert Rosenbaum Supply Chain Excellent SCOR model Amacon New 7ork 2003, Hernando Marino Navarrete Gerencia de Procesos Alfaomega Mexico 2002, Douglas Lambert, James Stock, Lisa Ellram Fundamentals of Logistics Management Mc Graw –Hill EEUU 1998</v>
      </c>
      <c r="H30" s="57" t="str">
        <f t="shared" si="1"/>
        <v>Sunil Chopra, Peter Meindl Administración de la Cadena de Suministro Prentice Hall New Yersey 2007, Shoshahah Cohen y Joseph Roussel Avantage Supply Chain Editions d´organisation Paris 2005, Hartmut Stadler y Christoph Kilger Supply Chain Management and Advance Schedule Planning (APS),third editions Springler Alemania 2005, Peter Bolstorff y Robert Rosenbaum Supply Chain Excellent SCOR model Amacon New 7ork 2003, Hernando Marino Navarrete Gerencia de Procesos Alfaomega Mexico 2002, Douglas Lambert, James Stock, Lisa Ellram Fundamentals of Logistics Management Mc Graw –Hill EEUU 1998</v>
      </c>
      <c r="I30" s="54" t="s">
        <v>189</v>
      </c>
      <c r="J30" s="70" t="s">
        <v>190</v>
      </c>
      <c r="K30" s="70" t="s">
        <v>190</v>
      </c>
      <c r="L30" s="70" t="s">
        <v>191</v>
      </c>
      <c r="M30" s="70" t="s">
        <v>192</v>
      </c>
      <c r="N30" s="70" t="s">
        <v>193</v>
      </c>
      <c r="O30" s="70" t="s">
        <v>194</v>
      </c>
      <c r="P30" s="70" t="s">
        <v>195</v>
      </c>
      <c r="Q30" s="60" t="s">
        <v>196</v>
      </c>
      <c r="R30" s="54" t="s">
        <v>190</v>
      </c>
    </row>
    <row r="31" spans="1:18" ht="27" thickBot="1">
      <c r="A31">
        <v>30</v>
      </c>
      <c r="B31">
        <v>28</v>
      </c>
      <c r="C31" s="33" t="s">
        <v>197</v>
      </c>
      <c r="D31" s="5">
        <f>+H31</f>
        <v>4</v>
      </c>
      <c r="H31" s="57">
        <f t="shared" si="1"/>
        <v>4</v>
      </c>
      <c r="I31" s="35">
        <v>1</v>
      </c>
      <c r="J31" s="36">
        <v>5</v>
      </c>
      <c r="K31" s="36">
        <v>4</v>
      </c>
      <c r="L31" s="37">
        <v>4</v>
      </c>
      <c r="M31" s="37">
        <v>4</v>
      </c>
      <c r="N31" s="37">
        <v>4</v>
      </c>
      <c r="O31" s="36">
        <v>5</v>
      </c>
      <c r="P31" s="37">
        <v>4</v>
      </c>
      <c r="Q31" s="60" t="s">
        <v>106</v>
      </c>
      <c r="R31" s="37">
        <v>4</v>
      </c>
    </row>
    <row r="32" spans="1:18" ht="17.25" thickBot="1">
      <c r="A32">
        <v>31</v>
      </c>
      <c r="B32">
        <v>29</v>
      </c>
      <c r="C32" s="33" t="s">
        <v>60</v>
      </c>
      <c r="D32" s="44">
        <f t="shared" si="3"/>
        <v>44940</v>
      </c>
      <c r="H32" s="57">
        <f t="shared" si="1"/>
        <v>44940</v>
      </c>
      <c r="I32" s="39">
        <v>45886</v>
      </c>
      <c r="J32" s="39">
        <v>45292</v>
      </c>
      <c r="K32" s="39">
        <v>44940</v>
      </c>
      <c r="L32" s="39">
        <v>44940</v>
      </c>
      <c r="M32" s="39">
        <v>44940</v>
      </c>
      <c r="N32" s="39">
        <v>44940</v>
      </c>
      <c r="O32" s="39">
        <v>45292</v>
      </c>
      <c r="P32" s="39">
        <v>44940</v>
      </c>
      <c r="Q32" s="39">
        <v>44940</v>
      </c>
      <c r="R32" s="39">
        <v>44940</v>
      </c>
    </row>
    <row r="33" spans="1:18" ht="27" thickBot="1">
      <c r="A33">
        <v>32</v>
      </c>
      <c r="B33">
        <v>30</v>
      </c>
      <c r="C33" s="33" t="s">
        <v>198</v>
      </c>
      <c r="D33" s="5" t="str">
        <f t="shared" si="3"/>
        <v>Natalia Zapata</v>
      </c>
      <c r="H33" s="57" t="str">
        <f t="shared" si="1"/>
        <v>Natalia Zapata</v>
      </c>
      <c r="I33" s="35" t="s">
        <v>199</v>
      </c>
      <c r="J33" s="37" t="s">
        <v>200</v>
      </c>
      <c r="K33" s="37" t="s">
        <v>200</v>
      </c>
      <c r="L33" s="37" t="s">
        <v>200</v>
      </c>
      <c r="M33" s="37" t="s">
        <v>200</v>
      </c>
      <c r="N33" s="37" t="s">
        <v>200</v>
      </c>
      <c r="O33" s="37" t="s">
        <v>201</v>
      </c>
      <c r="P33" s="37" t="s">
        <v>200</v>
      </c>
      <c r="Q33" s="37"/>
      <c r="R33" s="37" t="s">
        <v>200</v>
      </c>
    </row>
    <row r="34" spans="1:18" ht="27" thickBot="1">
      <c r="A34">
        <v>33</v>
      </c>
      <c r="B34">
        <v>31</v>
      </c>
      <c r="C34" s="33" t="s">
        <v>62</v>
      </c>
      <c r="D34" s="5" t="str">
        <f t="shared" si="3"/>
        <v>Pablo Ocampo</v>
      </c>
      <c r="H34" s="57" t="str">
        <f t="shared" si="1"/>
        <v>Pablo Ocampo</v>
      </c>
      <c r="I34" s="35" t="s">
        <v>199</v>
      </c>
      <c r="J34" s="37" t="s">
        <v>202</v>
      </c>
      <c r="K34" s="37" t="s">
        <v>202</v>
      </c>
      <c r="L34" s="37" t="s">
        <v>202</v>
      </c>
      <c r="M34" s="37" t="s">
        <v>202</v>
      </c>
      <c r="N34" s="37" t="s">
        <v>202</v>
      </c>
      <c r="O34" s="37" t="s">
        <v>200</v>
      </c>
      <c r="P34" s="37" t="s">
        <v>202</v>
      </c>
      <c r="Q34" s="37"/>
      <c r="R34" s="37" t="s">
        <v>202</v>
      </c>
    </row>
    <row r="35" spans="1:18" ht="27" thickBot="1">
      <c r="A35">
        <v>34</v>
      </c>
      <c r="B35">
        <v>32</v>
      </c>
      <c r="C35" s="33" t="s">
        <v>63</v>
      </c>
      <c r="D35" s="34" t="s">
        <v>203</v>
      </c>
      <c r="H35" s="57" t="str">
        <f t="shared" si="1"/>
        <v>Maribel Guevara</v>
      </c>
      <c r="I35" s="35" t="s">
        <v>204</v>
      </c>
      <c r="J35" s="37" t="s">
        <v>205</v>
      </c>
      <c r="K35" s="37" t="s">
        <v>205</v>
      </c>
      <c r="L35" s="37" t="s">
        <v>205</v>
      </c>
      <c r="M35" s="37" t="s">
        <v>205</v>
      </c>
      <c r="N35" s="37" t="s">
        <v>205</v>
      </c>
      <c r="O35" s="37" t="s">
        <v>205</v>
      </c>
      <c r="P35" s="37" t="s">
        <v>205</v>
      </c>
      <c r="Q35" s="37"/>
      <c r="R35" s="37" t="s">
        <v>205</v>
      </c>
    </row>
    <row r="36" spans="1:18" ht="27" thickBot="1">
      <c r="A36">
        <v>35</v>
      </c>
      <c r="B36">
        <v>33</v>
      </c>
      <c r="C36" s="33" t="s">
        <v>64</v>
      </c>
      <c r="D36" s="5" t="str">
        <f>+H36</f>
        <v xml:space="preserve">Actualización de Bibliografía </v>
      </c>
      <c r="H36" s="57" t="str">
        <f t="shared" si="1"/>
        <v xml:space="preserve">Actualización de Bibliografía </v>
      </c>
      <c r="I36" s="35" t="s">
        <v>206</v>
      </c>
      <c r="J36" s="37" t="s">
        <v>207</v>
      </c>
      <c r="K36" s="37" t="s">
        <v>208</v>
      </c>
      <c r="L36" s="35" t="s">
        <v>206</v>
      </c>
      <c r="M36" s="35" t="s">
        <v>206</v>
      </c>
      <c r="N36" s="35" t="s">
        <v>206</v>
      </c>
      <c r="O36" s="37" t="s">
        <v>207</v>
      </c>
      <c r="P36" s="35" t="s">
        <v>206</v>
      </c>
      <c r="Q36" s="35" t="s">
        <v>206</v>
      </c>
      <c r="R36" s="35" t="s">
        <v>206</v>
      </c>
    </row>
  </sheetData>
  <phoneticPr fontId="13" type="noConversion"/>
  <dataValidations count="1">
    <dataValidation type="list" allowBlank="1" showInputMessage="1" showErrorMessage="1" sqref="H2" xr:uid="{6B51C7FD-8EC8-4D10-B20E-1260E0B663BC}">
      <formula1>$I$2:$R$2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2F58610-8BE9-400B-B5E3-930E48F074A0}">
          <x14:formula1>
            <xm:f>'Formato Syllabus_NV (2)'!$B$19:$I$19</xm:f>
          </x14:formula1>
          <xm:sqref>D23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7" zoomScaleNormal="100" workbookViewId="0">
      <selection activeCell="B15" sqref="B15:I17"/>
    </sheetView>
  </sheetViews>
  <sheetFormatPr defaultColWidth="10.85546875" defaultRowHeight="15"/>
  <cols>
    <col min="1" max="1" width="3.140625" style="11" customWidth="1"/>
    <col min="2" max="2" width="14.28515625" style="11" customWidth="1"/>
    <col min="3" max="3" width="14" style="11" customWidth="1"/>
    <col min="4" max="4" width="12.28515625" style="11" customWidth="1"/>
    <col min="5" max="5" width="10.140625" style="11" customWidth="1"/>
    <col min="6" max="6" width="10.85546875" style="11"/>
    <col min="7" max="7" width="12.2851562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86"/>
      <c r="C2" s="88" t="s">
        <v>0</v>
      </c>
      <c r="D2" s="88"/>
      <c r="E2" s="88"/>
      <c r="F2" s="88"/>
      <c r="G2" s="88"/>
      <c r="H2" s="88"/>
      <c r="I2" s="6" t="s">
        <v>209</v>
      </c>
    </row>
    <row r="3" spans="2:9" ht="20.25" customHeight="1">
      <c r="B3" s="87"/>
      <c r="C3" s="89"/>
      <c r="D3" s="89"/>
      <c r="E3" s="89"/>
      <c r="F3" s="89"/>
      <c r="G3" s="89"/>
      <c r="H3" s="89"/>
      <c r="I3" s="7" t="s">
        <v>2</v>
      </c>
    </row>
    <row r="4" spans="2:9" ht="21" customHeight="1" thickBot="1">
      <c r="B4" s="90" t="s">
        <v>3</v>
      </c>
      <c r="C4" s="91"/>
      <c r="D4" s="91"/>
      <c r="E4" s="91"/>
      <c r="F4" s="91"/>
      <c r="G4" s="91"/>
      <c r="H4" s="91"/>
      <c r="I4" s="8" t="s">
        <v>210</v>
      </c>
    </row>
    <row r="5" spans="2:9" ht="16.5" thickTop="1" thickBot="1">
      <c r="B5" s="115"/>
      <c r="C5" s="115"/>
      <c r="D5" s="115"/>
      <c r="E5" s="115"/>
      <c r="F5" s="115"/>
      <c r="G5" s="115"/>
      <c r="H5" s="115"/>
      <c r="I5" s="115"/>
    </row>
    <row r="6" spans="2:9">
      <c r="B6" s="116" t="s">
        <v>5</v>
      </c>
      <c r="C6" s="117"/>
      <c r="D6" s="117"/>
      <c r="E6" s="117"/>
      <c r="F6" s="117"/>
      <c r="G6" s="117"/>
      <c r="H6" s="117"/>
      <c r="I6" s="118"/>
    </row>
    <row r="7" spans="2:9" ht="60">
      <c r="B7" s="26" t="s">
        <v>6</v>
      </c>
      <c r="C7" s="1">
        <f>+Hoja1!D4</f>
        <v>2026</v>
      </c>
      <c r="D7" s="2" t="s">
        <v>7</v>
      </c>
      <c r="E7" s="48" t="str">
        <f>+Hoja1!D5</f>
        <v>MAVGCABOG001</v>
      </c>
      <c r="F7" s="2" t="s">
        <v>8</v>
      </c>
      <c r="G7" s="41" t="str">
        <f>+Hoja1!D6</f>
        <v>IFVN0001+</v>
      </c>
      <c r="H7" s="2" t="s">
        <v>9</v>
      </c>
      <c r="I7" s="27" t="str">
        <f>+Hoja1!D7</f>
        <v>Nuclear</v>
      </c>
    </row>
    <row r="8" spans="2:9" ht="30">
      <c r="B8" s="26" t="s">
        <v>211</v>
      </c>
      <c r="C8" s="3" t="s">
        <v>19</v>
      </c>
      <c r="D8" s="2" t="str">
        <f>+Hoja1!E15</f>
        <v/>
      </c>
      <c r="E8" s="3" t="s">
        <v>20</v>
      </c>
      <c r="F8" s="2" t="str">
        <f>+Hoja1!F15</f>
        <v>SI</v>
      </c>
      <c r="G8" s="2" t="s">
        <v>212</v>
      </c>
      <c r="H8" s="113"/>
      <c r="I8" s="114"/>
    </row>
    <row r="9" spans="2:9" ht="45">
      <c r="B9" s="28" t="s">
        <v>213</v>
      </c>
      <c r="C9" s="25" t="s">
        <v>214</v>
      </c>
      <c r="D9" s="3" t="s">
        <v>65</v>
      </c>
      <c r="E9" s="111" t="str">
        <f>+Hoja1!D9</f>
        <v>Mtr. Gerencia Cadena Abastecimiento</v>
      </c>
      <c r="F9" s="111"/>
      <c r="G9" s="2" t="s">
        <v>12</v>
      </c>
      <c r="H9" s="111" t="str">
        <f>+Hoja1!D10</f>
        <v>Gerencia de la Cadena de Abastecimiento</v>
      </c>
      <c r="I9" s="112"/>
    </row>
    <row r="10" spans="2:9" ht="30.75" thickBot="1">
      <c r="B10" s="29" t="s">
        <v>13</v>
      </c>
      <c r="C10" s="31">
        <f>+Hoja1!D11</f>
        <v>3</v>
      </c>
      <c r="D10" s="30" t="s">
        <v>14</v>
      </c>
      <c r="E10" s="31">
        <f>+Hoja1!D12</f>
        <v>36</v>
      </c>
      <c r="F10" s="30" t="s">
        <v>15</v>
      </c>
      <c r="G10" s="31">
        <f>+Hoja1!D13</f>
        <v>108</v>
      </c>
      <c r="H10" s="30" t="s">
        <v>16</v>
      </c>
      <c r="I10" s="32">
        <f>E10+G10</f>
        <v>144</v>
      </c>
    </row>
    <row r="11" spans="2:9">
      <c r="B11" s="119" t="s">
        <v>215</v>
      </c>
      <c r="C11" s="120"/>
      <c r="D11" s="120"/>
      <c r="E11" s="120"/>
      <c r="F11" s="120"/>
      <c r="G11" s="120"/>
      <c r="H11" s="120"/>
      <c r="I11" s="121"/>
    </row>
    <row r="12" spans="2:9" ht="37.5" customHeight="1">
      <c r="B12" s="160" t="s">
        <v>216</v>
      </c>
      <c r="C12" s="81"/>
      <c r="D12" s="161" t="str">
        <f>+Hoja1!D17</f>
        <v>Los estudiantes serán sensibles a la importancia de la estrategia del gerenciamiento de la cadena de abastecimiento global en la actual economía, desarrollando las habilidades gerenciales necesarias que junto a la incorporación de algunas herramientas, les permitirán asumir como suya la responsabilidad de transformar el quehacer logístico que enmarca el sector empresarial colombiano.</v>
      </c>
      <c r="E12" s="162"/>
      <c r="F12" s="162"/>
      <c r="G12" s="162"/>
      <c r="H12" s="162"/>
      <c r="I12" s="163"/>
    </row>
    <row r="13" spans="2:9" ht="28.5" customHeight="1">
      <c r="B13" s="158" t="s">
        <v>217</v>
      </c>
      <c r="C13" s="159"/>
      <c r="D13" s="161" t="s">
        <v>218</v>
      </c>
      <c r="E13" s="162"/>
      <c r="F13" s="162"/>
      <c r="G13" s="162"/>
      <c r="H13" s="162"/>
      <c r="I13" s="163"/>
    </row>
    <row r="14" spans="2:9">
      <c r="B14" s="119" t="s">
        <v>219</v>
      </c>
      <c r="C14" s="120"/>
      <c r="D14" s="120"/>
      <c r="E14" s="120"/>
      <c r="F14" s="120"/>
      <c r="G14" s="120"/>
      <c r="H14" s="120"/>
      <c r="I14" s="121"/>
    </row>
    <row r="15" spans="2:9">
      <c r="B15" s="122" t="s">
        <v>220</v>
      </c>
      <c r="C15" s="84"/>
      <c r="D15" s="84"/>
      <c r="E15" s="84"/>
      <c r="F15" s="84"/>
      <c r="G15" s="84"/>
      <c r="H15" s="84"/>
      <c r="I15" s="123"/>
    </row>
    <row r="16" spans="2:9">
      <c r="B16" s="122"/>
      <c r="C16" s="84"/>
      <c r="D16" s="84"/>
      <c r="E16" s="84"/>
      <c r="F16" s="84"/>
      <c r="G16" s="84"/>
      <c r="H16" s="84"/>
      <c r="I16" s="123"/>
    </row>
    <row r="17" spans="2:9" ht="15.75" thickBot="1">
      <c r="B17" s="124"/>
      <c r="C17" s="125"/>
      <c r="D17" s="125"/>
      <c r="E17" s="125"/>
      <c r="F17" s="125"/>
      <c r="G17" s="125"/>
      <c r="H17" s="125"/>
      <c r="I17" s="126"/>
    </row>
    <row r="18" spans="2:9" ht="15.75" thickBot="1">
      <c r="B18" s="142" t="s">
        <v>221</v>
      </c>
      <c r="C18" s="143"/>
      <c r="D18" s="143"/>
      <c r="E18" s="143"/>
      <c r="F18" s="143"/>
      <c r="G18" s="143"/>
      <c r="H18" s="143"/>
      <c r="I18" s="144"/>
    </row>
    <row r="19" spans="2:9">
      <c r="B19" s="17" t="s">
        <v>222</v>
      </c>
      <c r="C19" s="18" t="s">
        <v>153</v>
      </c>
      <c r="D19" s="17" t="s">
        <v>223</v>
      </c>
      <c r="E19" s="147" t="s">
        <v>224</v>
      </c>
      <c r="F19" s="148"/>
      <c r="G19" s="19" t="s">
        <v>225</v>
      </c>
      <c r="H19" s="145" t="s">
        <v>226</v>
      </c>
      <c r="I19" s="146"/>
    </row>
    <row r="20" spans="2:9">
      <c r="B20" s="136" t="str">
        <f>+Hoja1!E23</f>
        <v>Concepto Integral de Logística.
Procesos del SCM.
Crowdsourcing Strategy
Perfil del profesional logístico.
Megatendencias. AAA Supply Chain
 Tendencias de la logística</v>
      </c>
      <c r="C20" s="137"/>
      <c r="D20" s="127" t="str">
        <f>+Hoja1!F23</f>
        <v/>
      </c>
      <c r="E20" s="128"/>
      <c r="F20" s="129"/>
      <c r="G20" s="149" t="str">
        <f>+Hoja1!G23</f>
        <v/>
      </c>
      <c r="H20" s="150"/>
      <c r="I20" s="151"/>
    </row>
    <row r="21" spans="2:9">
      <c r="B21" s="138"/>
      <c r="C21" s="139"/>
      <c r="D21" s="130"/>
      <c r="E21" s="131"/>
      <c r="F21" s="132"/>
      <c r="G21" s="152"/>
      <c r="H21" s="153"/>
      <c r="I21" s="154"/>
    </row>
    <row r="22" spans="2:9">
      <c r="B22" s="138"/>
      <c r="C22" s="139"/>
      <c r="D22" s="130"/>
      <c r="E22" s="131"/>
      <c r="F22" s="132"/>
      <c r="G22" s="152"/>
      <c r="H22" s="153"/>
      <c r="I22" s="154"/>
    </row>
    <row r="23" spans="2:9">
      <c r="B23" s="138"/>
      <c r="C23" s="139"/>
      <c r="D23" s="130"/>
      <c r="E23" s="131"/>
      <c r="F23" s="132"/>
      <c r="G23" s="152"/>
      <c r="H23" s="153"/>
      <c r="I23" s="154"/>
    </row>
    <row r="24" spans="2:9">
      <c r="B24" s="138"/>
      <c r="C24" s="139"/>
      <c r="D24" s="130"/>
      <c r="E24" s="131"/>
      <c r="F24" s="132"/>
      <c r="G24" s="152"/>
      <c r="H24" s="153"/>
      <c r="I24" s="154"/>
    </row>
    <row r="25" spans="2:9">
      <c r="B25" s="138"/>
      <c r="C25" s="139"/>
      <c r="D25" s="130"/>
      <c r="E25" s="131"/>
      <c r="F25" s="132"/>
      <c r="G25" s="152"/>
      <c r="H25" s="153"/>
      <c r="I25" s="154"/>
    </row>
    <row r="26" spans="2:9" ht="40.5" customHeight="1" thickBot="1">
      <c r="B26" s="140"/>
      <c r="C26" s="141"/>
      <c r="D26" s="133"/>
      <c r="E26" s="134"/>
      <c r="F26" s="135"/>
      <c r="G26" s="155"/>
      <c r="H26" s="156"/>
      <c r="I26" s="157"/>
    </row>
    <row r="27" spans="2:9" ht="15.75" thickBot="1">
      <c r="B27" s="167" t="s">
        <v>227</v>
      </c>
      <c r="C27" s="168"/>
      <c r="D27" s="168"/>
      <c r="E27" s="168"/>
      <c r="F27" s="168"/>
      <c r="G27" s="168"/>
      <c r="H27" s="168"/>
      <c r="I27" s="169"/>
    </row>
    <row r="28" spans="2:9" ht="14.45" customHeight="1">
      <c r="B28" s="179" t="str">
        <f>+Hoja1!D25</f>
        <v>No especificado</v>
      </c>
      <c r="C28" s="180"/>
      <c r="D28" s="180"/>
      <c r="E28" s="180"/>
      <c r="F28" s="180"/>
      <c r="G28" s="180"/>
      <c r="H28" s="180"/>
      <c r="I28" s="181"/>
    </row>
    <row r="29" spans="2:9">
      <c r="B29" s="182"/>
      <c r="C29" s="183"/>
      <c r="D29" s="183"/>
      <c r="E29" s="183"/>
      <c r="F29" s="183"/>
      <c r="G29" s="183"/>
      <c r="H29" s="183"/>
      <c r="I29" s="184"/>
    </row>
    <row r="30" spans="2:9">
      <c r="B30" s="182"/>
      <c r="C30" s="183"/>
      <c r="D30" s="183"/>
      <c r="E30" s="183"/>
      <c r="F30" s="183"/>
      <c r="G30" s="183"/>
      <c r="H30" s="183"/>
      <c r="I30" s="184"/>
    </row>
    <row r="31" spans="2:9">
      <c r="B31" s="182"/>
      <c r="C31" s="183"/>
      <c r="D31" s="183"/>
      <c r="E31" s="183"/>
      <c r="F31" s="183"/>
      <c r="G31" s="183"/>
      <c r="H31" s="183"/>
      <c r="I31" s="184"/>
    </row>
    <row r="32" spans="2:9" ht="15.75" thickBot="1">
      <c r="B32" s="185"/>
      <c r="C32" s="186"/>
      <c r="D32" s="186"/>
      <c r="E32" s="186"/>
      <c r="F32" s="186"/>
      <c r="G32" s="186"/>
      <c r="H32" s="186"/>
      <c r="I32" s="187"/>
    </row>
    <row r="33" spans="2:9" ht="34.5" customHeight="1" thickBot="1">
      <c r="B33" s="173" t="s">
        <v>228</v>
      </c>
      <c r="C33" s="174"/>
      <c r="D33" s="174"/>
      <c r="E33" s="175"/>
      <c r="F33" s="176" t="str">
        <f>+Hoja1!D26</f>
        <v>Plataforma LMS, Excel</v>
      </c>
      <c r="G33" s="177"/>
      <c r="H33" s="177"/>
      <c r="I33" s="178"/>
    </row>
    <row r="34" spans="2:9" ht="15.75" thickBot="1">
      <c r="B34" s="170" t="s">
        <v>229</v>
      </c>
      <c r="C34" s="171"/>
      <c r="D34" s="171"/>
      <c r="E34" s="171"/>
      <c r="F34" s="172" t="s">
        <v>84</v>
      </c>
      <c r="G34" s="172"/>
      <c r="H34" s="20" t="s">
        <v>54</v>
      </c>
      <c r="I34" s="43">
        <f>+Hoja1!D28</f>
        <v>0.2</v>
      </c>
    </row>
    <row r="35" spans="2:9">
      <c r="B35" s="119" t="s">
        <v>230</v>
      </c>
      <c r="C35" s="120"/>
      <c r="D35" s="120"/>
      <c r="E35" s="120"/>
      <c r="F35" s="120"/>
      <c r="G35" s="120"/>
      <c r="H35" s="120"/>
      <c r="I35" s="121"/>
    </row>
    <row r="36" spans="2:9" ht="14.45" customHeight="1">
      <c r="B36" s="188" t="str">
        <f>+Hoja1!E29</f>
        <v>Bibliografía Obligatoria: EugeneS. Schneller y Larry R. Smeltzer Strategic Management of the Health Care Supply Chain Jossey –Bass EEUU 2006,John Gattorna Cadenas de Abastecimiento Dinámicas Ecoe Bogotá 2009, Pablo C. Ocampo Emprendimiento e innovación, artículo Gerencia Logística y global, Mayo-Agosto 2009, páginas de 113-136. Universidad EAN ISSN 0120-8160. Bogotá 2009, Andrés Muñoz Machado Logística y Turismo Diaz Santos España 2005, Gs1 Switzerland Logistikmark 2009 Edit Alemana Suiza 2009, Profesores y consultores de MBA Europeos. MBA . L´essencial de l´ Administration par les meillures professeurs d’Organisation (Éditions Oct 2008) Paris 2008 Gerard Baglin, Olivier Bruel. Management Industriel et Logistique (Concevoir et piloter la Supply Chain). Económica Paris 2007, Ronald Ballou Administración de la Cadena de Suministro, quinta edición Prentice Hall México 2006, Revista Zona 7ork7tica Bogotá y Medellín 2007, Revista Mecalux Española.. España 2007,</v>
      </c>
      <c r="C36" s="189"/>
      <c r="D36" s="189"/>
      <c r="E36" s="190"/>
      <c r="F36" s="197" t="str">
        <f>+Hoja1!E30</f>
        <v>Bibliografía Complementaria: Sunil Chopra, Peter Meindl Administración de la Cadena de Suministro Prentice Hall New Yersey 2007, Shoshahah Cohen y Joseph Roussel Avantage Supply Chain Editions d´organisation Paris 2005, Hartmut Stadler y Christoph Kilger Supply Chain Management and Advance Schedule Planning (APS),third editions Springler Alemania 2005, Peter Bolstorff y Robert Rosenbaum Supply Chain Excellent SCOR model Amacon New 7ork 2003, Hernando Marino Navarrete Gerencia de Procesos Alfaomega Mexico 2002, Douglas Lambert, James Stock, Lisa Ellram Fundamentals of Logistics Management Mc Graw –Hill EEUU 1998</v>
      </c>
      <c r="G36" s="189"/>
      <c r="H36" s="189"/>
      <c r="I36" s="198"/>
    </row>
    <row r="37" spans="2:9">
      <c r="B37" s="191"/>
      <c r="C37" s="192"/>
      <c r="D37" s="192"/>
      <c r="E37" s="193"/>
      <c r="F37" s="199"/>
      <c r="G37" s="192"/>
      <c r="H37" s="192"/>
      <c r="I37" s="200"/>
    </row>
    <row r="38" spans="2:9">
      <c r="B38" s="191"/>
      <c r="C38" s="192"/>
      <c r="D38" s="192"/>
      <c r="E38" s="193"/>
      <c r="F38" s="199"/>
      <c r="G38" s="192"/>
      <c r="H38" s="192"/>
      <c r="I38" s="200"/>
    </row>
    <row r="39" spans="2:9">
      <c r="B39" s="191"/>
      <c r="C39" s="192"/>
      <c r="D39" s="192"/>
      <c r="E39" s="193"/>
      <c r="F39" s="199"/>
      <c r="G39" s="192"/>
      <c r="H39" s="192"/>
      <c r="I39" s="200"/>
    </row>
    <row r="40" spans="2:9">
      <c r="B40" s="191"/>
      <c r="C40" s="192"/>
      <c r="D40" s="192"/>
      <c r="E40" s="193"/>
      <c r="F40" s="199"/>
      <c r="G40" s="192"/>
      <c r="H40" s="192"/>
      <c r="I40" s="200"/>
    </row>
    <row r="41" spans="2:9">
      <c r="B41" s="191"/>
      <c r="C41" s="192"/>
      <c r="D41" s="192"/>
      <c r="E41" s="193"/>
      <c r="F41" s="199"/>
      <c r="G41" s="192"/>
      <c r="H41" s="192"/>
      <c r="I41" s="200"/>
    </row>
    <row r="42" spans="2:9" ht="15.75" thickBot="1">
      <c r="B42" s="194"/>
      <c r="C42" s="195"/>
      <c r="D42" s="195"/>
      <c r="E42" s="196"/>
      <c r="F42" s="201"/>
      <c r="G42" s="195"/>
      <c r="H42" s="195"/>
      <c r="I42" s="202"/>
    </row>
    <row r="43" spans="2:9">
      <c r="B43" s="119" t="s">
        <v>231</v>
      </c>
      <c r="C43" s="120"/>
      <c r="D43" s="120"/>
      <c r="E43" s="120"/>
      <c r="F43" s="120"/>
      <c r="G43" s="120"/>
      <c r="H43" s="120"/>
      <c r="I43" s="121"/>
    </row>
    <row r="44" spans="2:9">
      <c r="B44" s="21" t="s">
        <v>59</v>
      </c>
      <c r="C44" s="9" t="s">
        <v>60</v>
      </c>
      <c r="D44" s="9" t="s">
        <v>198</v>
      </c>
      <c r="E44" s="9" t="s">
        <v>62</v>
      </c>
      <c r="F44" s="9" t="s">
        <v>63</v>
      </c>
      <c r="G44" s="79" t="s">
        <v>64</v>
      </c>
      <c r="H44" s="79"/>
      <c r="I44" s="164"/>
    </row>
    <row r="45" spans="2:9" ht="24.75">
      <c r="B45" s="50">
        <f>+Hoja1!D31</f>
        <v>4</v>
      </c>
      <c r="C45" s="51">
        <f>+Hoja1!D32</f>
        <v>44940</v>
      </c>
      <c r="D45" s="52" t="str">
        <f>+Hoja1!D33</f>
        <v>Natalia Zapata</v>
      </c>
      <c r="E45" s="52" t="str">
        <f>+Hoja1!D34</f>
        <v>Pablo Ocampo</v>
      </c>
      <c r="F45" s="52" t="str">
        <f>+Hoja1!D35</f>
        <v>Jose Divitt Velosa</v>
      </c>
      <c r="G45" s="165" t="str">
        <f>+Hoja1!D36</f>
        <v xml:space="preserve">Actualización de Bibliografía </v>
      </c>
      <c r="H45" s="165"/>
      <c r="I45" s="166"/>
    </row>
    <row r="46" spans="2:9">
      <c r="B46" s="22"/>
      <c r="C46" s="10"/>
      <c r="D46" s="10"/>
      <c r="E46" s="10"/>
      <c r="F46" s="10"/>
      <c r="G46" s="84"/>
      <c r="H46" s="84"/>
      <c r="I46" s="123"/>
    </row>
    <row r="47" spans="2:9">
      <c r="B47" s="22"/>
      <c r="C47" s="10"/>
      <c r="D47" s="10"/>
      <c r="E47" s="10"/>
      <c r="F47" s="10"/>
      <c r="G47" s="84"/>
      <c r="H47" s="84"/>
      <c r="I47" s="123"/>
    </row>
    <row r="48" spans="2:9">
      <c r="B48" s="22"/>
      <c r="C48" s="10"/>
      <c r="D48" s="10"/>
      <c r="E48" s="10"/>
      <c r="F48" s="10"/>
      <c r="G48" s="84"/>
      <c r="H48" s="84"/>
      <c r="I48" s="123"/>
    </row>
    <row r="49" spans="2:9">
      <c r="B49" s="22"/>
      <c r="C49" s="10"/>
      <c r="D49" s="10"/>
      <c r="E49" s="10"/>
      <c r="F49" s="10"/>
      <c r="G49" s="84"/>
      <c r="H49" s="84"/>
      <c r="I49" s="123"/>
    </row>
    <row r="50" spans="2:9" ht="15.75" thickBot="1">
      <c r="B50" s="23"/>
      <c r="C50" s="24"/>
      <c r="D50" s="24"/>
      <c r="E50" s="24"/>
      <c r="F50" s="24"/>
      <c r="G50" s="203"/>
      <c r="H50" s="203"/>
      <c r="I50" s="204"/>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disablePrompts="1"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108</v>
      </c>
      <c r="B1" s="11" t="s">
        <v>232</v>
      </c>
      <c r="C1" s="11">
        <v>2</v>
      </c>
      <c r="D1" s="11">
        <v>36</v>
      </c>
      <c r="E1" s="11">
        <v>60</v>
      </c>
      <c r="F1" s="11" t="s">
        <v>84</v>
      </c>
      <c r="G1" s="13">
        <v>0.1</v>
      </c>
      <c r="H1" s="11" t="s">
        <v>233</v>
      </c>
    </row>
    <row r="2" spans="1:8">
      <c r="A2" s="11" t="s">
        <v>234</v>
      </c>
      <c r="B2" s="11" t="s">
        <v>235</v>
      </c>
      <c r="C2" s="11">
        <v>3</v>
      </c>
      <c r="D2" s="11">
        <v>54</v>
      </c>
      <c r="E2" s="11">
        <v>90</v>
      </c>
      <c r="F2" s="11" t="s">
        <v>236</v>
      </c>
      <c r="G2" s="13">
        <v>0.2</v>
      </c>
      <c r="H2" s="11" t="s">
        <v>214</v>
      </c>
    </row>
    <row r="3" spans="1:8">
      <c r="A3" s="11" t="s">
        <v>109</v>
      </c>
      <c r="B3" s="11" t="s">
        <v>237</v>
      </c>
      <c r="C3" s="11">
        <v>4</v>
      </c>
      <c r="D3" s="11">
        <v>72</v>
      </c>
      <c r="E3" s="11">
        <v>120</v>
      </c>
      <c r="F3" s="11" t="s">
        <v>238</v>
      </c>
      <c r="G3" s="13">
        <v>0.3</v>
      </c>
    </row>
    <row r="4" spans="1:8">
      <c r="A4" s="11" t="s">
        <v>239</v>
      </c>
      <c r="B4" s="11" t="s">
        <v>240</v>
      </c>
      <c r="C4" s="11">
        <v>5</v>
      </c>
      <c r="D4" s="11">
        <v>90</v>
      </c>
      <c r="E4" s="11">
        <v>102</v>
      </c>
      <c r="F4" s="11" t="s">
        <v>241</v>
      </c>
      <c r="G4" s="13">
        <v>0.4</v>
      </c>
    </row>
    <row r="5" spans="1:8">
      <c r="A5" s="11" t="s">
        <v>242</v>
      </c>
      <c r="B5" s="11" t="s">
        <v>243</v>
      </c>
      <c r="C5" s="11">
        <v>6</v>
      </c>
      <c r="D5" s="11">
        <v>90</v>
      </c>
      <c r="E5" s="11">
        <v>150</v>
      </c>
      <c r="F5" s="11" t="s">
        <v>244</v>
      </c>
      <c r="G5" s="13">
        <v>0.5</v>
      </c>
    </row>
    <row r="6" spans="1:8">
      <c r="B6" s="11" t="s">
        <v>245</v>
      </c>
      <c r="C6" s="11">
        <v>8</v>
      </c>
      <c r="D6" s="11">
        <v>108</v>
      </c>
      <c r="E6" s="11">
        <v>180</v>
      </c>
      <c r="G6" s="13">
        <v>0.6</v>
      </c>
    </row>
    <row r="7" spans="1:8">
      <c r="B7" s="11" t="s">
        <v>246</v>
      </c>
      <c r="D7" s="11">
        <v>144</v>
      </c>
      <c r="E7" s="11">
        <v>240</v>
      </c>
      <c r="G7" s="13">
        <v>0.7</v>
      </c>
    </row>
    <row r="8" spans="1:8">
      <c r="B8" s="11" t="s">
        <v>247</v>
      </c>
      <c r="D8" s="11">
        <v>32</v>
      </c>
      <c r="E8" s="11">
        <v>64</v>
      </c>
      <c r="G8" s="13">
        <v>0.8</v>
      </c>
    </row>
    <row r="9" spans="1:8">
      <c r="B9" s="11" t="s">
        <v>248</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JOSE EDWARD DIVITT VELOSA GARCIA</cp:lastModifiedBy>
  <cp:revision/>
  <dcterms:created xsi:type="dcterms:W3CDTF">2025-08-27T15:39:23Z</dcterms:created>
  <dcterms:modified xsi:type="dcterms:W3CDTF">2026-02-21T15:27:09Z</dcterms:modified>
  <cp:category/>
  <cp:contentStatus/>
</cp:coreProperties>
</file>