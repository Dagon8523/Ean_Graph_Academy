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000-000 POSGRADOS\Mtr. Gerencia de la Cadena del Abastecimiento\Sylllabus Nuevo formato - 2026 S1\"/>
    </mc:Choice>
  </mc:AlternateContent>
  <xr:revisionPtr revIDLastSave="3" documentId="13_ncr:1_{AB1BD58F-E331-4F3C-B013-67650D85B0A7}" xr6:coauthVersionLast="47" xr6:coauthVersionMax="47" xr10:uidLastSave="{3F3B28EA-EBF6-45F2-B434-69D9B232E583}"/>
  <bookViews>
    <workbookView xWindow="-33495" yWindow="-16440" windowWidth="29040" windowHeight="1572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5" l="1"/>
  <c r="H15" i="5"/>
  <c r="H16" i="5"/>
  <c r="H26" i="5"/>
  <c r="H27" i="5"/>
  <c r="H28" i="5"/>
  <c r="J2" i="5"/>
  <c r="H23" i="5" s="1"/>
  <c r="E23" i="5" s="1"/>
  <c r="B20" i="4" s="1"/>
  <c r="K2" i="5"/>
  <c r="L2" i="5"/>
  <c r="M2" i="5"/>
  <c r="N2" i="5"/>
  <c r="O2" i="5"/>
  <c r="P2" i="5"/>
  <c r="Q2" i="5"/>
  <c r="R2" i="5"/>
  <c r="I2" i="5"/>
  <c r="H5" i="5" s="1"/>
  <c r="D5" i="5" s="1"/>
  <c r="E7" i="4" s="1"/>
  <c r="H3" i="5"/>
  <c r="F45" i="4"/>
  <c r="G23" i="5"/>
  <c r="G20" i="4" s="1"/>
  <c r="G7" i="4"/>
  <c r="C10" i="4"/>
  <c r="C7" i="4"/>
  <c r="I9" i="3"/>
  <c r="I9" i="1"/>
  <c r="H36" i="5" l="1"/>
  <c r="H24" i="5"/>
  <c r="H12" i="5"/>
  <c r="H9" i="5"/>
  <c r="H35" i="5"/>
  <c r="H34" i="5"/>
  <c r="H10" i="5"/>
  <c r="H21" i="5"/>
  <c r="H32" i="5"/>
  <c r="H20" i="5"/>
  <c r="H8" i="5"/>
  <c r="H25" i="5"/>
  <c r="H22" i="5"/>
  <c r="H33" i="5"/>
  <c r="H31" i="5"/>
  <c r="H19" i="5"/>
  <c r="H7" i="5"/>
  <c r="H13" i="5"/>
  <c r="H11" i="5"/>
  <c r="H30" i="5"/>
  <c r="H18" i="5"/>
  <c r="H6" i="5"/>
  <c r="H29" i="5"/>
  <c r="H17" i="5"/>
  <c r="D30" i="5" l="1"/>
  <c r="E30" i="5" s="1"/>
  <c r="F36" i="4" s="1"/>
  <c r="D16" i="5"/>
  <c r="D17" i="5"/>
  <c r="D12" i="4" s="1"/>
  <c r="D34" i="5"/>
  <c r="E45" i="4" s="1"/>
  <c r="D32" i="5"/>
  <c r="C45" i="4" s="1"/>
  <c r="D25" i="5"/>
  <c r="B28" i="4" s="1"/>
  <c r="D26" i="5"/>
  <c r="F33" i="4" s="1"/>
  <c r="D28" i="5"/>
  <c r="I34" i="4" s="1"/>
  <c r="D13" i="5"/>
  <c r="G10" i="4" s="1"/>
  <c r="D14" i="5"/>
  <c r="F23" i="5"/>
  <c r="D20" i="4" s="1"/>
  <c r="D27" i="5"/>
  <c r="D18" i="5"/>
  <c r="D31" i="5"/>
  <c r="B45" i="4" s="1"/>
  <c r="D15" i="5"/>
  <c r="E15" i="5" s="1"/>
  <c r="D8" i="4" s="1"/>
  <c r="D7" i="5"/>
  <c r="I7" i="4" s="1"/>
  <c r="D19" i="5"/>
  <c r="D29" i="5"/>
  <c r="E29" i="5" s="1"/>
  <c r="B36" i="4" s="1"/>
  <c r="D10" i="5"/>
  <c r="H9" i="4" s="1"/>
  <c r="D33" i="5"/>
  <c r="D45" i="4" s="1"/>
  <c r="D36" i="5"/>
  <c r="G45" i="4" s="1"/>
  <c r="D12" i="5"/>
  <c r="E10" i="4" s="1"/>
  <c r="H4" i="5"/>
  <c r="D8" i="5"/>
  <c r="F15" i="5" l="1"/>
  <c r="F8" i="4" s="1"/>
  <c r="I10" i="4"/>
  <c r="D9" i="5"/>
  <c r="E9" i="4" s="1"/>
</calcChain>
</file>

<file path=xl/sharedStrings.xml><?xml version="1.0" encoding="utf-8"?>
<sst xmlns="http://schemas.openxmlformats.org/spreadsheetml/2006/main" count="498" uniqueCount="249">
  <si>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</si>
  <si>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</si>
  <si>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</si>
  <si>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</si>
  <si>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</si>
  <si>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</si>
  <si>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</si>
  <si>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</si>
  <si>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</si>
  <si>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</si>
  <si>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</si>
  <si>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</si>
  <si>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</si>
  <si>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</si>
  <si>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</si>
  <si>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</si>
  <si>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</si>
  <si>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</si>
  <si>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</si>
  <si>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</si>
  <si>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</si>
  <si>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</si>
  <si>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</si>
  <si>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</si>
  <si>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</si>
  <si>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</si>
  <si>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</si>
  <si>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</si>
  <si>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</si>
  <si>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</si>
  <si>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</si>
  <si>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</si>
  <si>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</si>
  <si>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</si>
  <si>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</si>
  <si>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</si>
  <si>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</si>
  <si>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</si>
  <si>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</si>
  <si>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</si>
  <si>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</si>
  <si>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</si>
  <si>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</si>
  <si>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</si>
  <si>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</si>
  <si>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</si>
  <si>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</si>
  <si>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</si>
  <si>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</si>
  <si>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</si>
  <si>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</si>
  <si>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</si>
  <si>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</si>
  <si>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</si>
  <si>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</si>
  <si>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</si>
  <si>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</si>
  <si>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</si>
  <si>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</si>
  <si>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</si>
  <si>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</si>
  <si>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</si>
  <si>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</si>
  <si>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</si>
  <si>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</si>
  <si>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</si>
  <si>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</si>
  <si>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</si>
  <si>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</si>
  <si>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</si>
  <si>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</si>
  <si>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</si>
  <si>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</si>
  <si>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</si>
  <si>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</si>
  <si>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</si>
  <si>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</si>
  <si>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</si>
  <si>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</si>
  <si>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</si>
  <si>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</si>
  <si>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</si>
  <si>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</si>
  <si>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</si>
  <si>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</si>
  <si>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Gestión de Inventarios</t>
  </si>
  <si>
    <t>Información Extraída</t>
  </si>
  <si>
    <t>Gestión de Compras...</t>
  </si>
  <si>
    <t>Gestión de la Entrega...</t>
  </si>
  <si>
    <t>Gestión de Operaciones...</t>
  </si>
  <si>
    <t>Simulación de Modelos...</t>
  </si>
  <si>
    <t>Ventas y Planeación...</t>
  </si>
  <si>
    <t>Gerencia de la Cadena...</t>
  </si>
  <si>
    <t>Ética Empresarial...</t>
  </si>
  <si>
    <t>Logística Integral...</t>
  </si>
  <si>
    <t>No especificado en el documento</t>
  </si>
  <si>
    <t>MAVGCABOG001</t>
  </si>
  <si>
    <t>IFVN0001+</t>
  </si>
  <si>
    <t>VMV01892</t>
  </si>
  <si>
    <t>VMV01893</t>
  </si>
  <si>
    <t>VMV01894</t>
  </si>
  <si>
    <t>VMV01903</t>
  </si>
  <si>
    <t>VMV01992</t>
  </si>
  <si>
    <t>VMV02004</t>
  </si>
  <si>
    <t>VMV01884</t>
  </si>
  <si>
    <t>No especificado</t>
  </si>
  <si>
    <t>VMV01945</t>
  </si>
  <si>
    <t>Nuclear</t>
  </si>
  <si>
    <t>Electiva</t>
  </si>
  <si>
    <t>Facultad de Ingeniería</t>
  </si>
  <si>
    <t>Ingeniería Industrial</t>
  </si>
  <si>
    <t>Mtr. Gerencia Cadena Abastecimiento</t>
  </si>
  <si>
    <t>Nombre Unidad de estudios</t>
  </si>
  <si>
    <t>Ingenium for a Better World</t>
  </si>
  <si>
    <t>Gestión de Compras, Negociación y Estrategias de Aprovisionamiento</t>
  </si>
  <si>
    <t>Gestión de la Entrega y Logística Inversa</t>
  </si>
  <si>
    <t>Gestión de Operaciones y Alineación Estratégica</t>
  </si>
  <si>
    <t>Simulación de Modelos de Operaciones y Logística</t>
  </si>
  <si>
    <t>Ventas y Planeación de la Demanda</t>
  </si>
  <si>
    <t>Gerencia de la Cadena de Abastecimiento</t>
  </si>
  <si>
    <t>Ética Empresarial y Sostenibilidad</t>
  </si>
  <si>
    <t>Logística Integral y Comercio Internacional</t>
  </si>
  <si>
    <t>Modalidad (Presencial / Virtual)</t>
  </si>
  <si>
    <t>virtual</t>
  </si>
  <si>
    <t>Metodología (PAT / In Situ / Híbrida)</t>
  </si>
  <si>
    <t>No especificada bajo estas categorías en el documento</t>
  </si>
  <si>
    <t>Servir como una introducción al desarrollo de proyectos de ingeniería, abarcando ética profesional, herramientas esenciales de la ingeniería y principios de gestión de proyectos.</t>
  </si>
  <si>
    <t>Genera estrategias de aprovisionamiento para la organización y/o red en entornos globales basados en la generación de valor a los consumidores finales y en la disminución de la incertidumbre propia de la red de suministro, a partir de una adecuada gestión que permita la identificación, valoración y diseño de estrategias que permitan garantizar la continuidad de los flujos logísticos, con la mejor relación costo beneficio.</t>
  </si>
  <si>
    <t>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t>
  </si>
  <si>
    <t>Asegurar efectiva gestión de entrega y logística inversa para optimizar operaciones.</t>
  </si>
  <si>
    <t>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t>
  </si>
  <si>
    <t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t>
  </si>
  <si>
    <t>Maximizar eficiencia en cadenas de suministro mediante modelos de planeación.</t>
  </si>
  <si>
    <t>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t>
  </si>
  <si>
    <t>Implementa prácticas gerenciales, con un enfoque de gestión integral de programas y proyectos de ética y responsabilidad social, para el fortalecimiento de la competitividad de las empresas desde modelos de sostenibilidad empresarial</t>
  </si>
  <si>
    <t>Propone soluciones multimodales integrales, seleccionando la mejor alternativa desde los puntos de vista de costos, tiempos y aseguramiento de la integridad de las cargas y de hacer una gestión eficiente en el empleo de cada modo de transporte con un enfoque logístico y acorde con las últimas tendencias que existen en el mundo como la ética y la sostenibilidad empresarial.</t>
  </si>
  <si>
    <t>No especificada explícitamente en el documento</t>
  </si>
  <si>
    <t>Capacidad para actuar éticamente frente a realidades sociales.</t>
  </si>
  <si>
    <t>Resultado de Aprendizaje de Programa</t>
  </si>
  <si>
    <t>No especificado explícitamente en el documento</t>
  </si>
  <si>
    <t>Comprende factores de ética y su interrelación con entornos.</t>
  </si>
  <si>
    <t>Resultado de Aprendizaje de la Unidad de Estudio</t>
  </si>
  <si>
    <t>Al finalizar el curso, los estudiantes serán capaces de diseñar e implementar soluciones sostenibles e innovadoras para sistemas de producción y servicios.</t>
  </si>
  <si>
    <t>Elabora informes sobre impacto empresarial en temas sociales.</t>
  </si>
  <si>
    <t>Criterios de evaluación (1, 2, 3, 4)</t>
  </si>
  <si>
    <t>1. Comprensión de los principios de la ingeniería industrial sostenible. 2. Capacidad para diseñar soluciones sostenibles e innovadoras. 3. No especificado. 4. No especificado.</t>
  </si>
  <si>
    <t>Guía 1, 2, 3, Foro, Encuentro Final</t>
  </si>
  <si>
    <t>Competencias del modelo educativo (EM, SH, IN, COM, SO, AA, SE, COL, DI)</t>
  </si>
  <si>
    <t>No listadas en el documento</t>
  </si>
  <si>
    <t>SH, EM, IN, CO, TE</t>
  </si>
  <si>
    <t>C.T.</t>
  </si>
  <si>
    <t>COM, EMP, INV, TEC, SOC</t>
  </si>
  <si>
    <t>Contenidos de la Unidad de estudio</t>
  </si>
  <si>
    <t>4.5 Semanas</t>
  </si>
  <si>
    <t>1. Introducción a la en ingeniería en la Universidad Ean
2. Herramientas esenciales de la ingeniería
3. Principios de gestión de proyectos
4.Planificación y desarrollo de un proyecto de ingeniería</t>
  </si>
  <si>
    <t>Planeación estratégica de suministros.
Planificación de las compra
Negociación en el proceso de compras</t>
  </si>
  <si>
    <t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</si>
  <si>
    <t>1. Gestión de la entrega.
2. Logística inversa
3. Optimización de la gestión de la entrega y la logística inversa.</t>
  </si>
  <si>
    <t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t>
  </si>
  <si>
    <t>Modelado de sistemas
Simulación de Sistemas orientados a eventos Discretos
Aplicaciones en Procesos de Operación y logística</t>
  </si>
  <si>
    <t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t>
  </si>
  <si>
    <t>Concepto Integral de Logística.
Procesos del SCM.
Crowdsourcing Strategy
Perfil del profesional logístico.
Megatendencias. AAA Supply Chain
 Tendencias de la logística</t>
  </si>
  <si>
    <t>Ética en negocios, Liderazgo ético</t>
  </si>
  <si>
    <t>1. Logística de la Distribución Física Internacional (DFI).
2. Elementos componentes de las Cadenas de DFI.
3. Metodología para la Selección de la Cadena de DFI.
4. Criterios de Selección de la cadena de DFI óptima..
5, Logística del Transporte Marítimo de Cargas
6. Logística del Transporte Aéreo de Cargas
7. Logística del Transporte Terrestre de Cargas
 8. Logística del Transporte Multimodal de Cargas
9. Diseño de Soluciones Multimodales de Transporte Internacional de Cargas
 10. Análisis práctico.
 11. Us and global environmental regulations</t>
  </si>
  <si>
    <t>Estrategias Pedagógicas</t>
  </si>
  <si>
    <t>Enfoque virtual y participativo a través del cual los estudiantes se sumergen en el mundo de la ingeniería.</t>
  </si>
  <si>
    <t>Virtual/Teórico-práctica</t>
  </si>
  <si>
    <t>Simulación/Modelado</t>
  </si>
  <si>
    <t>Aula virtual/Casos</t>
  </si>
  <si>
    <t>Esquema de Calificación</t>
  </si>
  <si>
    <t>Guía (Fase) 1 - 10
Guía (Fase) 2 - 15
Guía (Fase) 3 - 15
Proyecto - 10
Prueba en línea - G1, G2, G3, - 30
Encuentro final - 10
Pruebas objetivas - 10</t>
  </si>
  <si>
    <t>Guía 1(25%), 2(25%), 3(20%), Foro(10%), Final(20%)</t>
  </si>
  <si>
    <t>Guía 1(20%), 2(20%), 3(30%), Foro(10%), Final(20%)</t>
  </si>
  <si>
    <t>G1(20p), G2(25p), G3(25p), Foro(10p), Encuentro(20p)</t>
  </si>
  <si>
    <t>1. Software de modelado y simulación. 2. Herramientas de análisis de datos. 3. Plataforma de aprendizaje virtual. 4. Bases de datos de investigación en ingeniería industrial.</t>
  </si>
  <si>
    <t>Plataforma LMS, Excel</t>
  </si>
  <si>
    <t>Flexsim, Taha (Software/Manual)</t>
  </si>
  <si>
    <t>Aula virtual</t>
  </si>
  <si>
    <t>Componente de Lengua Extranjera</t>
  </si>
  <si>
    <t>•
Grech Mayor, Pablo , Rodríguez Orozco, Jorge César rev. (2013) Introducción a la ingeniería: un enfoque a través del diseño. 2a. ed. Bogotá : Pearson, 2013. ebooks7-24
•
Terán, D.(2018) Introducción a la ingeniería. Editorial Alfaomega. ISBN 9786076227626. Alfaomegacloud
•
Gido, J., Clements, J. and Baker, R. (2018) Administración exitosa de proyectos. Sexta edición. Editorial Cengage Learning. http://bdbiblioteca.universidadean.edu.co:2076/?il=4644
•
González Ortiz, Oscar. (2014) Introducción a la ingeniería: una perspectiva desde el currículo en la formación del ingeniero. Primera edición, Ecoe ediciones. Colombia.
•
Gray, C., Larson, E., Cevallos Almada, M. and Treviño Rosales, M. (2009). Administración de proyectos. México: McGraw-Hill.
•
Barros, Rafael J. (2014) Grace. Introducción a la Ingeniería. Ediciones EAN. Colombia
•
Pinto, J., Pinto, J. and Cubillos Avellaneda, J. (2015). Gerencia de proyectos. Tercera edición. Bogotá: Pearson.
•
Prieto Contreras, L. (2004) Manual de procesos industriales. Editorial Pontificia Universidad Javeriana. Colombia
•
Romero Hernández, Omar. (2015) Introducción a la ingeniería. Segunda edición, Cengage Lerning. México.
•
Stincer,J.R. (2012). Introducción a la ingeniería industrial. México: http://www.aliat.org.mx/BibliotecasDigitales/ingenieria/Introduccion_a_la_ingenieria_industrial.pdf
•
Vicerrectorado de investigación. Universidad Tecnológica del Perú: http://aulavirtual.utp.edu.pe/file/20102/is/I4/07/I110/20102ISI407I110T080.pdf
•
Wright, Paul H. (2010) Introducción a la ingeniería. Editorial Limusa. México.</t>
  </si>
  <si>
    <t xml:space="preserve"> Lysons, Kenneth; Farrington, Brian (2020),  Procurement and Supply Chain Management   10th  Editorial Pearson
Spiller, Peter, et al. (2022). Procurement 20/20 : Supply Entrepreneurship in a Changing World, John Wiley &amp; Sons, Ebook Central, 
https://ebookcentral.proquest.com/lib/bibliotecaean-ebooks/detail.action?docID=1563652.
Bryngemark Elina et al. (2023). The adoption of green public procurement practices: Analytical challenges and empirical illustration on Swedish municipalities Disponible base de datos Universidad Ean
Ali A. y  Appollon A. (2022). A systematic review on barriers and enablers toward circular procurement management. Disponible base de datos Universidad Ean</t>
  </si>
  <si>
    <t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</si>
  <si>
    <t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t>
  </si>
  <si>
    <t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t>
  </si>
  <si>
    <t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</si>
  <si>
    <t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t>
  </si>
  <si>
    <t>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t>
  </si>
  <si>
    <t>Silva, Duarte, Jorge Enrique. Emprendedor: hacia un emprendimiento sostenible. Segunda edición. Alfaomega. 2013 Kliksberg, Bernardo, ¡Cómo enfrentar la pobreza y la desigualdad? Una perspectiva internacional. Ediciones Ética y economía. 2013 Kliksberg, Bernardo, Ética para empresarios. Ediciones Ética y economía. 2013 Sen, Amartya y Kliksberg Bernardo. Primero la gente. Editorial Deusto. 2007 Sen, Amartya, La idea de la justicia, Taurus editores, 2009 Gunter, Pauly, La economía azul, TUSQUETS editores, 2012 Algatti and Krishna (2007). Business Ethics (concepts and practices). (4th ed.) Mumbai: Niraly Prakashan. Alexander Marinio. (2009). Planeación estratégica. Disponible en http://www.youtube.com/watch?v=ti1hSr2XGFs Bartle, Phil. (2011) ¿Qué es comunidad? Una descripción sociológica. Recuperado el 29 de Marzo de 2012, de http://cec.vcn.bc.ca/mpfc/whats.htm Camacho, I., Fernández, J., y Miralles, J. (2009). Ética de la empresa. (6ª.ed.). España: Editorial Desclee de Brouwer.</t>
  </si>
  <si>
    <t>Book, International Logistics, authors, Pierre David and Richard Steward, Cengage press, 2010. Book, Greening Supply chain Management , autor,Joseph Sarkis, Springer press, 2010 Book: Management of Industrial Cleaning Technology and Processes, authors John Durkee II, elsevier press, 2006</t>
  </si>
  <si>
    <t>aavedra Rodríguez, A., &amp; Mercado Agudelo, A. (2018). Introducción a la ingeniería. Ediciones UIS.
Muñoz Guzmán, F. A., &amp; Ramírez López, J. E. (2014). Fundamentos de ingeniería. Alfaomega Colombiana.
Weste, L. H., &amp; Beedle, K. D. (2016). Introducción a la ingeniería: Una perspectiva global (4ª ed.). Pearson Educación.
O'Connor, V. C., &amp; Stark, S. (2017). Ingeniería: Una introducción a la profesión (4ª ed.). Cengage Learning.</t>
  </si>
  <si>
    <t>???</t>
  </si>
  <si>
    <t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t>
  </si>
  <si>
    <t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t>
  </si>
  <si>
    <t>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</si>
  <si>
    <t>??</t>
  </si>
  <si>
    <t>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t>
  </si>
  <si>
    <t>Canalvideosformacion (2009). Responsabilidad social, también en la PYME. Disponible en http://www.youtube.com/watch?v=72r95qEmWLs&amp;feature=related Codina, Alexis. (2004). Los valores como herramientas gerenciales. Recuperado el 29 de Marzo de 2012, de http://www.degerencia.com/articulos.php?artid=644 Correa-Ruiz, C., &amp; Moneva-Abadía, J. M. (2011). Special issue on "social responsibility accounting and reporting in times of 'sustainability downturn/crisis.'. Revista De Contabilidad - Spanish Accounting Review, 14187-211. Disponible en: EBSCO host. Cortes, F. (2008). RSC. Hacia una nueva cultura empresarial. Recuperado el 15 de julio de 2011, de: http://novapolis.es/index.php/opinion-novaciencia-168/1057-rsc-hacia-una-nueva-cultura-empresarial DardenMBA. (2009) Stakeholder Responsibility. Disponible en http://www.youtube.com/watch?v=CyJd5nygYvk&amp;feature=relmfu DardenMBA. (2009) Stakeholder Theory. Disponible en http://www.youtube.com/watch?v=Ih5IBe1cnQw David, F. (2008). Conceptos de administración estratégica. (11° ed.). México: Pearson Prentice Hall. De la Torre, C., Portales, L., Ruelas, G., &amp; Pérez, O. (2010). Instrumento de evaluación de Sustentabilidad y Responsabilidad social en Pymes. (Spanish). Administración Y Organizaciones, 12(24), 91-103. Perea, Joaquín. (2006). El conflicto entre los valores morales y los objetivos empresariales y nacionales. Recuperado el 29 de Marzo de 2012, de http://www.gestiopolis.com/canales7/ger/conflicto-entre-los-valores-morales-y-los-objetivos-empresariales.htm Diéguez, Alberto; Guardiola, María. (S.f). Reflexiones sobre el concepto de comunidad, de lo comunitario a lo local, de lo local a la mancomunidad. Recuperado el 29 de Marzo de 2012, de http://www.robertexto.com/archivo7/comunidad.htm Diegojqn (2010). Responsabilidad Social Empresarial. Disponible en http://www.youtube.com/watch?v=BjjXZWJFYKI&amp;feature=relat DGPYME (2010) Responsabilidad social empresarial. Disponible en http://www.youtube.com/watch?v=_5uiH5fmYwo</t>
  </si>
  <si>
    <t>Número de versión</t>
  </si>
  <si>
    <t>Elaboró</t>
  </si>
  <si>
    <t>JOSE DIVITT VELOSA</t>
  </si>
  <si>
    <t>Natalia Zapata</t>
  </si>
  <si>
    <t>Adolfo Hernández</t>
  </si>
  <si>
    <t>Pablo Ocampo</t>
  </si>
  <si>
    <t>Jose Divitt Velosa</t>
  </si>
  <si>
    <t>JEFREY LEON</t>
  </si>
  <si>
    <t>Maribel Guevara</t>
  </si>
  <si>
    <t xml:space="preserve">Actualización de Bibliografía </t>
  </si>
  <si>
    <t>Actualización actividades</t>
  </si>
  <si>
    <t>Revisión links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</si>
  <si>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</si>
  <si>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</si>
  <si>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</si>
  <si>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</si>
  <si>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</si>
  <si>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</si>
  <si>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</si>
  <si>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</si>
  <si>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</si>
  <si>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Gestiona soluciones en los procesos de planeación, aprovisionamiento, producción, distribución y logistica sostenible mediante el uso de modelos, metodologías y herramientas de tendencia organizacional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</si>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</sst>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FF0000"/>
      <name val="Calibri"/>
      <family val="2"/>
      <scheme val="minor"/>
    </font>
    <font>
      <sz val="8"/>
      <name val="Calibri"/>
      <family val="2"/>
      <scheme val="minor"/>
    </font>
    <font>
      <sz val="10"/>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8" fillId="4" borderId="0" xfId="0" applyFont="1" applyFill="1" applyAlignment="1">
      <alignment vertical="center"/>
    </xf>
    <xf numFmtId="0" fontId="9" fillId="0" borderId="60" xfId="0" applyFont="1" applyBorder="1" applyAlignment="1">
      <alignment vertical="center" wrapText="1"/>
    </xf>
    <xf numFmtId="0" fontId="9" fillId="0" borderId="62" xfId="0" applyFont="1" applyBorder="1" applyAlignment="1">
      <alignment vertical="center"/>
    </xf>
    <xf numFmtId="0" fontId="1" fillId="6" borderId="61" xfId="0" applyFont="1" applyFill="1" applyBorder="1"/>
    <xf numFmtId="0" fontId="9" fillId="7" borderId="62" xfId="0" applyFont="1" applyFill="1" applyBorder="1" applyAlignment="1">
      <alignment vertical="center"/>
    </xf>
    <xf numFmtId="0" fontId="9" fillId="2" borderId="62" xfId="0" applyFont="1" applyFill="1" applyBorder="1" applyAlignment="1">
      <alignment vertical="center"/>
    </xf>
    <xf numFmtId="0" fontId="14" fillId="0" borderId="60" xfId="0" applyFont="1" applyBorder="1" applyAlignment="1">
      <alignment horizontal="right" wrapText="1"/>
    </xf>
    <xf numFmtId="0" fontId="14" fillId="0" borderId="60" xfId="0" applyFont="1" applyBorder="1" applyAlignment="1">
      <alignment wrapText="1"/>
    </xf>
    <xf numFmtId="0" fontId="11" fillId="6" borderId="61" xfId="0" applyFont="1" applyFill="1" applyBorder="1" applyAlignment="1">
      <alignment horizontal="center" vertical="center" wrapText="1"/>
    </xf>
    <xf numFmtId="0" fontId="0" fillId="0" borderId="0" xfId="0" applyAlignment="1">
      <alignment vertical="top"/>
    </xf>
    <xf numFmtId="0" fontId="12" fillId="0" borderId="0" xfId="0" applyFont="1"/>
    <xf numFmtId="0" fontId="15" fillId="6" borderId="61" xfId="0" applyFont="1" applyFill="1" applyBorder="1" applyAlignment="1">
      <alignment horizontal="center" vertical="center" wrapText="1"/>
    </xf>
    <xf numFmtId="0" fontId="14" fillId="0" borderId="60" xfId="0" applyFont="1" applyBorder="1" applyAlignment="1">
      <alignment vertical="center"/>
    </xf>
    <xf numFmtId="0" fontId="9" fillId="7" borderId="62" xfId="0" applyFont="1" applyFill="1" applyBorder="1" applyAlignment="1">
      <alignment horizontal="center" vertical="top"/>
    </xf>
    <xf numFmtId="0" fontId="9" fillId="0" borderId="60" xfId="0" applyFont="1" applyBorder="1" applyAlignment="1">
      <alignment horizontal="center" vertical="top"/>
    </xf>
    <xf numFmtId="0" fontId="9" fillId="0" borderId="60" xfId="0" applyFont="1" applyBorder="1" applyAlignment="1">
      <alignment horizontal="center" vertical="top" wrapText="1"/>
    </xf>
    <xf numFmtId="0" fontId="9" fillId="8" borderId="60" xfId="0" applyFont="1" applyFill="1" applyBorder="1" applyAlignment="1">
      <alignment horizontal="center" vertical="top" wrapText="1"/>
    </xf>
    <xf numFmtId="0" fontId="9" fillId="8" borderId="60" xfId="0" applyFont="1" applyFill="1" applyBorder="1" applyAlignment="1">
      <alignment wrapText="1"/>
    </xf>
    <xf numFmtId="0" fontId="14" fillId="8" borderId="60" xfId="0" applyFont="1" applyFill="1" applyBorder="1" applyAlignment="1">
      <alignment horizontal="center" vertical="top" wrapText="1"/>
    </xf>
    <xf numFmtId="0" fontId="9" fillId="4" borderId="60" xfId="0" applyFont="1" applyFill="1" applyBorder="1" applyAlignment="1">
      <alignment wrapText="1"/>
    </xf>
    <xf numFmtId="0" fontId="14" fillId="4" borderId="60" xfId="0" applyFont="1" applyFill="1" applyBorder="1" applyAlignment="1">
      <alignment wrapText="1"/>
    </xf>
    <xf numFmtId="0" fontId="9" fillId="4" borderId="60" xfId="0" applyFont="1" applyFill="1" applyBorder="1"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1</v>
      </c>
    </row>
    <row r="3" spans="2:9" ht="20.25" customHeight="1">
      <c r="B3" s="87"/>
      <c r="C3" s="89"/>
      <c r="D3" s="89"/>
      <c r="E3" s="89"/>
      <c r="F3" s="89"/>
      <c r="G3" s="89"/>
      <c r="H3" s="89"/>
      <c r="I3" s="7" t="s">
        <v>2</v>
      </c>
    </row>
    <row r="4" spans="2:9" ht="21" customHeight="1" thickBot="1">
      <c r="B4" s="90" t="s">
        <v>3</v>
      </c>
      <c r="C4" s="91"/>
      <c r="D4" s="91"/>
      <c r="E4" s="91"/>
      <c r="F4" s="91"/>
      <c r="G4" s="91"/>
      <c r="H4" s="91"/>
      <c r="I4" s="8" t="s">
        <v>4</v>
      </c>
    </row>
    <row r="5" spans="2:9" ht="15.75" thickTop="1">
      <c r="B5" s="76"/>
      <c r="C5" s="76"/>
      <c r="D5" s="76"/>
      <c r="E5" s="76"/>
      <c r="F5" s="76"/>
      <c r="G5" s="76"/>
      <c r="H5" s="76"/>
      <c r="I5" s="76"/>
    </row>
    <row r="6" spans="2:9">
      <c r="B6" s="76" t="s">
        <v>5</v>
      </c>
      <c r="C6" s="76"/>
      <c r="D6" s="76"/>
      <c r="E6" s="76"/>
      <c r="F6" s="76"/>
      <c r="G6" s="76"/>
      <c r="H6" s="76"/>
      <c r="I6" s="76"/>
    </row>
    <row r="7" spans="2:9" ht="60">
      <c r="B7" s="3" t="s">
        <v>6</v>
      </c>
      <c r="C7" s="1"/>
      <c r="D7" s="2" t="s">
        <v>7</v>
      </c>
      <c r="E7" s="1"/>
      <c r="F7" s="2" t="s">
        <v>8</v>
      </c>
      <c r="G7" s="1"/>
      <c r="H7" s="2" t="s">
        <v>9</v>
      </c>
      <c r="I7" s="1"/>
    </row>
    <row r="8" spans="2:9" ht="45">
      <c r="B8" s="2" t="s">
        <v>10</v>
      </c>
      <c r="C8" s="1"/>
      <c r="D8" s="3" t="s">
        <v>11</v>
      </c>
      <c r="E8" s="78"/>
      <c r="F8" s="78"/>
      <c r="G8" s="2" t="s">
        <v>12</v>
      </c>
      <c r="H8" s="78"/>
      <c r="I8" s="78"/>
    </row>
    <row r="9" spans="2:9" ht="30">
      <c r="B9" s="2" t="s">
        <v>13</v>
      </c>
      <c r="C9" s="5"/>
      <c r="D9" s="2" t="s">
        <v>14</v>
      </c>
      <c r="E9" s="5"/>
      <c r="F9" s="2" t="s">
        <v>15</v>
      </c>
      <c r="G9" s="5"/>
      <c r="H9" s="2" t="s">
        <v>16</v>
      </c>
      <c r="I9" s="5">
        <f>E9+G9</f>
        <v>0</v>
      </c>
    </row>
    <row r="10" spans="2:9">
      <c r="B10" s="75" t="s">
        <v>17</v>
      </c>
      <c r="C10" s="79"/>
      <c r="D10" s="79"/>
      <c r="E10" s="79"/>
      <c r="F10" s="79"/>
      <c r="G10" s="79"/>
      <c r="H10" s="79"/>
      <c r="I10" s="79"/>
    </row>
    <row r="11" spans="2:9">
      <c r="B11" s="75" t="s">
        <v>18</v>
      </c>
      <c r="C11" s="75"/>
      <c r="D11" s="76" t="s">
        <v>19</v>
      </c>
      <c r="E11" s="77"/>
      <c r="F11" s="77"/>
      <c r="G11" s="76" t="s">
        <v>20</v>
      </c>
      <c r="H11" s="77"/>
      <c r="I11" s="77"/>
    </row>
    <row r="12" spans="2:9">
      <c r="B12" s="75"/>
      <c r="C12" s="75"/>
      <c r="D12" s="76"/>
      <c r="E12" s="77"/>
      <c r="F12" s="77"/>
      <c r="G12" s="76"/>
      <c r="H12" s="77"/>
      <c r="I12" s="77"/>
    </row>
    <row r="13" spans="2:9">
      <c r="B13" s="79" t="s">
        <v>21</v>
      </c>
      <c r="C13" s="79"/>
      <c r="D13" s="79"/>
      <c r="E13" s="79"/>
      <c r="F13" s="79"/>
      <c r="G13" s="79"/>
      <c r="H13" s="79"/>
      <c r="I13" s="79"/>
    </row>
    <row r="14" spans="2:9">
      <c r="B14" s="3" t="s">
        <v>22</v>
      </c>
      <c r="C14" s="78"/>
      <c r="D14" s="78"/>
      <c r="E14" s="3" t="s">
        <v>23</v>
      </c>
      <c r="F14" s="1"/>
      <c r="G14" s="3" t="s">
        <v>24</v>
      </c>
      <c r="H14" s="78"/>
      <c r="I14" s="78"/>
    </row>
    <row r="15" spans="2:9">
      <c r="B15" s="79" t="s">
        <v>25</v>
      </c>
      <c r="C15" s="79"/>
      <c r="D15" s="79"/>
      <c r="E15" s="79"/>
      <c r="F15" s="79"/>
      <c r="G15" s="79"/>
      <c r="H15" s="79"/>
      <c r="I15" s="79"/>
    </row>
    <row r="16" spans="2:9">
      <c r="B16" s="75" t="s">
        <v>26</v>
      </c>
      <c r="C16" s="75"/>
      <c r="D16" s="77"/>
      <c r="E16" s="77"/>
      <c r="F16" s="77"/>
      <c r="G16" s="77"/>
      <c r="H16" s="77"/>
      <c r="I16" s="77"/>
    </row>
    <row r="17" spans="2:9">
      <c r="B17" s="75"/>
      <c r="C17" s="75"/>
      <c r="D17" s="77"/>
      <c r="E17" s="77"/>
      <c r="F17" s="77"/>
      <c r="G17" s="77"/>
      <c r="H17" s="77"/>
      <c r="I17" s="77"/>
    </row>
    <row r="18" spans="2:9">
      <c r="B18" s="80" t="s">
        <v>27</v>
      </c>
      <c r="C18" s="81"/>
      <c r="D18" s="77"/>
      <c r="E18" s="77"/>
      <c r="F18" s="77"/>
      <c r="G18" s="77"/>
      <c r="H18" s="77"/>
      <c r="I18" s="77"/>
    </row>
    <row r="19" spans="2:9">
      <c r="B19" s="75" t="s">
        <v>28</v>
      </c>
      <c r="C19" s="75"/>
      <c r="D19" s="77"/>
      <c r="E19" s="77"/>
      <c r="F19" s="77"/>
      <c r="G19" s="77"/>
      <c r="H19" s="77"/>
      <c r="I19" s="77"/>
    </row>
    <row r="20" spans="2:9">
      <c r="B20" s="75"/>
      <c r="C20" s="75"/>
      <c r="D20" s="77"/>
      <c r="E20" s="77"/>
      <c r="F20" s="77"/>
      <c r="G20" s="77"/>
      <c r="H20" s="77"/>
      <c r="I20" s="77"/>
    </row>
    <row r="21" spans="2:9">
      <c r="B21" s="75" t="s">
        <v>29</v>
      </c>
      <c r="C21" s="75"/>
      <c r="D21" s="77"/>
      <c r="E21" s="77"/>
      <c r="F21" s="77"/>
      <c r="G21" s="77"/>
      <c r="H21" s="77"/>
      <c r="I21" s="77"/>
    </row>
    <row r="22" spans="2:9">
      <c r="B22" s="75"/>
      <c r="C22" s="75"/>
      <c r="D22" s="77"/>
      <c r="E22" s="77"/>
      <c r="F22" s="77"/>
      <c r="G22" s="77"/>
      <c r="H22" s="77"/>
      <c r="I22" s="77"/>
    </row>
    <row r="23" spans="2:9">
      <c r="B23" s="76" t="s">
        <v>30</v>
      </c>
      <c r="C23" s="76"/>
      <c r="D23" s="77" t="s">
        <v>31</v>
      </c>
      <c r="E23" s="77"/>
      <c r="F23" s="77"/>
      <c r="G23" s="77"/>
      <c r="H23" s="77"/>
      <c r="I23" s="77"/>
    </row>
    <row r="24" spans="2:9">
      <c r="B24" s="76"/>
      <c r="C24" s="76"/>
      <c r="D24" s="77" t="s">
        <v>32</v>
      </c>
      <c r="E24" s="77"/>
      <c r="F24" s="77"/>
      <c r="G24" s="77"/>
      <c r="H24" s="77"/>
      <c r="I24" s="77"/>
    </row>
    <row r="25" spans="2:9">
      <c r="B25" s="76"/>
      <c r="C25" s="76"/>
      <c r="D25" s="77" t="s">
        <v>33</v>
      </c>
      <c r="E25" s="77"/>
      <c r="F25" s="77"/>
      <c r="G25" s="77"/>
      <c r="H25" s="77"/>
      <c r="I25" s="77"/>
    </row>
    <row r="26" spans="2:9">
      <c r="B26" s="76"/>
      <c r="C26" s="76"/>
      <c r="D26" s="77" t="s">
        <v>34</v>
      </c>
      <c r="E26" s="77"/>
      <c r="F26" s="77"/>
      <c r="G26" s="77"/>
      <c r="H26" s="77"/>
      <c r="I26" s="77"/>
    </row>
    <row r="27" spans="2:9">
      <c r="B27" s="82" t="s">
        <v>35</v>
      </c>
      <c r="C27" s="82"/>
      <c r="D27" s="3" t="s">
        <v>36</v>
      </c>
      <c r="E27" s="1"/>
      <c r="F27" s="3" t="s">
        <v>37</v>
      </c>
      <c r="G27" s="1"/>
      <c r="H27" s="3" t="s">
        <v>38</v>
      </c>
      <c r="I27" s="1"/>
    </row>
    <row r="28" spans="2:9">
      <c r="B28" s="82"/>
      <c r="C28" s="82"/>
      <c r="D28" s="4" t="s">
        <v>39</v>
      </c>
      <c r="E28" s="1"/>
      <c r="F28" s="3" t="s">
        <v>40</v>
      </c>
      <c r="G28" s="1"/>
      <c r="H28" s="3" t="s">
        <v>41</v>
      </c>
      <c r="I28" s="1"/>
    </row>
    <row r="29" spans="2:9">
      <c r="B29" s="82"/>
      <c r="C29" s="82"/>
      <c r="D29" s="3" t="s">
        <v>42</v>
      </c>
      <c r="E29" s="1"/>
      <c r="F29" s="3" t="s">
        <v>43</v>
      </c>
      <c r="G29" s="1"/>
      <c r="H29" s="3" t="s">
        <v>44</v>
      </c>
      <c r="I29" s="1"/>
    </row>
    <row r="30" spans="2:9">
      <c r="B30" s="83" t="s">
        <v>45</v>
      </c>
      <c r="C30" s="83"/>
      <c r="D30" s="83"/>
      <c r="E30" s="83"/>
      <c r="F30" s="83"/>
      <c r="G30" s="83"/>
      <c r="H30" s="83"/>
      <c r="I30" s="83"/>
    </row>
    <row r="31" spans="2:9">
      <c r="B31" s="83"/>
      <c r="C31" s="83"/>
      <c r="D31" s="83"/>
      <c r="E31" s="83"/>
      <c r="F31" s="83"/>
      <c r="G31" s="83"/>
      <c r="H31" s="83"/>
      <c r="I31" s="83"/>
    </row>
    <row r="32" spans="2:9">
      <c r="B32" s="83"/>
      <c r="C32" s="83"/>
      <c r="D32" s="83"/>
      <c r="E32" s="83"/>
      <c r="F32" s="83"/>
      <c r="G32" s="83"/>
      <c r="H32" s="83"/>
      <c r="I32" s="83"/>
    </row>
    <row r="33" spans="2:9">
      <c r="B33" s="83"/>
      <c r="C33" s="83"/>
      <c r="D33" s="83"/>
      <c r="E33" s="83"/>
      <c r="F33" s="83"/>
      <c r="G33" s="83"/>
      <c r="H33" s="83"/>
      <c r="I33" s="83"/>
    </row>
    <row r="34" spans="2:9">
      <c r="B34" s="83"/>
      <c r="C34" s="83"/>
      <c r="D34" s="83"/>
      <c r="E34" s="83"/>
      <c r="F34" s="83"/>
      <c r="G34" s="83"/>
      <c r="H34" s="83"/>
      <c r="I34" s="83"/>
    </row>
    <row r="35" spans="2:9">
      <c r="B35" s="79" t="s">
        <v>46</v>
      </c>
      <c r="C35" s="79"/>
      <c r="D35" s="79"/>
      <c r="E35" s="79"/>
      <c r="F35" s="79"/>
      <c r="G35" s="79"/>
      <c r="H35" s="79"/>
      <c r="I35" s="79"/>
    </row>
    <row r="36" spans="2:9">
      <c r="B36" s="84" t="s">
        <v>47</v>
      </c>
      <c r="C36" s="84"/>
      <c r="D36" s="84"/>
      <c r="E36" s="84"/>
      <c r="F36" s="84"/>
      <c r="G36" s="84"/>
      <c r="H36" s="84"/>
      <c r="I36" s="84"/>
    </row>
    <row r="37" spans="2:9">
      <c r="B37" s="84"/>
      <c r="C37" s="84"/>
      <c r="D37" s="84"/>
      <c r="E37" s="84"/>
      <c r="F37" s="84"/>
      <c r="G37" s="84"/>
      <c r="H37" s="84"/>
      <c r="I37" s="84"/>
    </row>
    <row r="38" spans="2:9">
      <c r="B38" s="84"/>
      <c r="C38" s="84"/>
      <c r="D38" s="84"/>
      <c r="E38" s="84"/>
      <c r="F38" s="84"/>
      <c r="G38" s="84"/>
      <c r="H38" s="84"/>
      <c r="I38" s="84"/>
    </row>
    <row r="39" spans="2:9">
      <c r="B39" s="85" t="s">
        <v>48</v>
      </c>
      <c r="C39" s="85"/>
      <c r="D39" s="85"/>
      <c r="E39" s="85"/>
      <c r="F39" s="85" t="s">
        <v>49</v>
      </c>
      <c r="G39" s="85"/>
      <c r="H39" s="85"/>
      <c r="I39" s="85"/>
    </row>
    <row r="40" spans="2:9">
      <c r="B40" s="85"/>
      <c r="C40" s="85"/>
      <c r="D40" s="85"/>
      <c r="E40" s="85"/>
      <c r="F40" s="85"/>
      <c r="G40" s="85"/>
      <c r="H40" s="85"/>
      <c r="I40" s="85"/>
    </row>
    <row r="41" spans="2:9">
      <c r="B41" s="85"/>
      <c r="C41" s="85"/>
      <c r="D41" s="85"/>
      <c r="E41" s="85"/>
      <c r="F41" s="85"/>
      <c r="G41" s="85"/>
      <c r="H41" s="85"/>
      <c r="I41" s="85"/>
    </row>
    <row r="42" spans="2:9">
      <c r="B42" s="85"/>
      <c r="C42" s="85"/>
      <c r="D42" s="85"/>
      <c r="E42" s="85"/>
      <c r="F42" s="85"/>
      <c r="G42" s="85"/>
      <c r="H42" s="85"/>
      <c r="I42" s="85"/>
    </row>
    <row r="43" spans="2:9">
      <c r="B43" s="85"/>
      <c r="C43" s="85"/>
      <c r="D43" s="85"/>
      <c r="E43" s="85"/>
      <c r="F43" s="85"/>
      <c r="G43" s="85"/>
      <c r="H43" s="85"/>
      <c r="I43" s="85"/>
    </row>
    <row r="44" spans="2:9">
      <c r="B44" s="85"/>
      <c r="C44" s="85"/>
      <c r="D44" s="85"/>
      <c r="E44" s="85"/>
      <c r="F44" s="85"/>
      <c r="G44" s="85"/>
      <c r="H44" s="85"/>
      <c r="I44" s="85"/>
    </row>
    <row r="45" spans="2:9">
      <c r="B45" s="85"/>
      <c r="C45" s="85"/>
      <c r="D45" s="85"/>
      <c r="E45" s="85"/>
      <c r="F45" s="85"/>
      <c r="G45" s="85"/>
      <c r="H45" s="85"/>
      <c r="I45" s="85"/>
    </row>
    <row r="46" spans="2:9">
      <c r="B46" s="85"/>
      <c r="C46" s="85"/>
      <c r="D46" s="85"/>
      <c r="E46" s="85"/>
      <c r="F46" s="85"/>
      <c r="G46" s="85"/>
      <c r="H46" s="85"/>
      <c r="I46" s="85"/>
    </row>
    <row r="47" spans="2:9">
      <c r="B47" s="85"/>
      <c r="C47" s="85"/>
      <c r="D47" s="85"/>
      <c r="E47" s="85"/>
      <c r="F47" s="85"/>
      <c r="G47" s="85"/>
      <c r="H47" s="85"/>
      <c r="I47" s="85"/>
    </row>
    <row r="48" spans="2:9">
      <c r="B48" s="79" t="s">
        <v>50</v>
      </c>
      <c r="C48" s="79"/>
      <c r="D48" s="79"/>
      <c r="E48" s="79"/>
      <c r="F48" s="79"/>
      <c r="G48" s="79"/>
      <c r="H48" s="79"/>
      <c r="I48" s="79"/>
    </row>
    <row r="49" spans="2:9">
      <c r="B49" s="93" t="s">
        <v>51</v>
      </c>
      <c r="C49" s="93"/>
      <c r="D49" s="93"/>
      <c r="E49" s="93"/>
      <c r="F49" s="85" t="s">
        <v>52</v>
      </c>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93"/>
      <c r="C55" s="93"/>
      <c r="D55" s="93"/>
      <c r="E55" s="93"/>
      <c r="F55" s="85"/>
      <c r="G55" s="85"/>
      <c r="H55" s="85"/>
      <c r="I55" s="85"/>
    </row>
    <row r="56" spans="2:9">
      <c r="B56" s="93"/>
      <c r="C56" s="93"/>
      <c r="D56" s="93"/>
      <c r="E56" s="93"/>
      <c r="F56" s="85"/>
      <c r="G56" s="85"/>
      <c r="H56" s="85"/>
      <c r="I56" s="85"/>
    </row>
    <row r="57" spans="2:9">
      <c r="B57" s="93"/>
      <c r="C57" s="93"/>
      <c r="D57" s="93"/>
      <c r="E57" s="93"/>
      <c r="F57" s="85"/>
      <c r="G57" s="85"/>
      <c r="H57" s="85"/>
      <c r="I57" s="85"/>
    </row>
    <row r="58" spans="2:9">
      <c r="B58" s="93"/>
      <c r="C58" s="93"/>
      <c r="D58" s="93"/>
      <c r="E58" s="93"/>
      <c r="F58" s="85"/>
      <c r="G58" s="85"/>
      <c r="H58" s="85"/>
      <c r="I58" s="85"/>
    </row>
    <row r="59" spans="2:9">
      <c r="B59" s="93"/>
      <c r="C59" s="93"/>
      <c r="D59" s="93"/>
      <c r="E59" s="93"/>
      <c r="F59" s="85"/>
      <c r="G59" s="85"/>
      <c r="H59" s="85"/>
      <c r="I59" s="85"/>
    </row>
    <row r="60" spans="2:9">
      <c r="B60" s="76" t="s">
        <v>53</v>
      </c>
      <c r="C60" s="76"/>
      <c r="D60" s="76"/>
      <c r="E60" s="76"/>
      <c r="F60" s="77"/>
      <c r="G60" s="77"/>
      <c r="H60" s="76" t="s">
        <v>54</v>
      </c>
      <c r="I60" s="5"/>
    </row>
    <row r="61" spans="2:9">
      <c r="B61" s="76"/>
      <c r="C61" s="76"/>
      <c r="D61" s="76"/>
      <c r="E61" s="76"/>
      <c r="F61" s="77"/>
      <c r="G61" s="77"/>
      <c r="H61" s="76"/>
      <c r="I61" s="5"/>
    </row>
    <row r="62" spans="2:9">
      <c r="B62" s="76"/>
      <c r="C62" s="76"/>
      <c r="D62" s="76"/>
      <c r="E62" s="76"/>
      <c r="F62" s="77"/>
      <c r="G62" s="77"/>
      <c r="H62" s="76"/>
      <c r="I62" s="5"/>
    </row>
    <row r="63" spans="2:9">
      <c r="B63" s="76"/>
      <c r="C63" s="76"/>
      <c r="D63" s="76"/>
      <c r="E63" s="76"/>
      <c r="F63" s="77"/>
      <c r="G63" s="77"/>
      <c r="H63" s="76"/>
      <c r="I63" s="5"/>
    </row>
    <row r="64" spans="2:9">
      <c r="B64" s="76"/>
      <c r="C64" s="76"/>
      <c r="D64" s="76"/>
      <c r="E64" s="76"/>
      <c r="F64" s="77"/>
      <c r="G64" s="77"/>
      <c r="H64" s="76"/>
      <c r="I64" s="5"/>
    </row>
    <row r="65" spans="2:9">
      <c r="B65" s="79" t="s">
        <v>55</v>
      </c>
      <c r="C65" s="79"/>
      <c r="D65" s="79"/>
      <c r="E65" s="79"/>
      <c r="F65" s="79"/>
      <c r="G65" s="79"/>
      <c r="H65" s="79"/>
      <c r="I65" s="79"/>
    </row>
    <row r="66" spans="2:9">
      <c r="B66" s="85" t="s">
        <v>56</v>
      </c>
      <c r="C66" s="85"/>
      <c r="D66" s="85"/>
      <c r="E66" s="85"/>
      <c r="F66" s="85" t="s">
        <v>57</v>
      </c>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85"/>
      <c r="C75" s="85"/>
      <c r="D75" s="85"/>
      <c r="E75" s="85"/>
      <c r="F75" s="85"/>
      <c r="G75" s="85"/>
      <c r="H75" s="85"/>
      <c r="I75" s="85"/>
    </row>
    <row r="76" spans="2:9">
      <c r="B76" s="85"/>
      <c r="C76" s="85"/>
      <c r="D76" s="85"/>
      <c r="E76" s="85"/>
      <c r="F76" s="85"/>
      <c r="G76" s="85"/>
      <c r="H76" s="85"/>
      <c r="I76" s="85"/>
    </row>
    <row r="77" spans="2:9">
      <c r="B77" s="85"/>
      <c r="C77" s="85"/>
      <c r="D77" s="85"/>
      <c r="E77" s="85"/>
      <c r="F77" s="85"/>
      <c r="G77" s="85"/>
      <c r="H77" s="85"/>
      <c r="I77" s="85"/>
    </row>
    <row r="78" spans="2:9">
      <c r="B78" s="85"/>
      <c r="C78" s="85"/>
      <c r="D78" s="85"/>
      <c r="E78" s="85"/>
      <c r="F78" s="85"/>
      <c r="G78" s="85"/>
      <c r="H78" s="85"/>
      <c r="I78" s="85"/>
    </row>
    <row r="79" spans="2:9">
      <c r="B79" s="85"/>
      <c r="C79" s="85"/>
      <c r="D79" s="85"/>
      <c r="E79" s="85"/>
      <c r="F79" s="85"/>
      <c r="G79" s="85"/>
      <c r="H79" s="85"/>
      <c r="I79" s="85"/>
    </row>
    <row r="80" spans="2:9">
      <c r="B80" s="92"/>
      <c r="C80" s="92"/>
      <c r="D80" s="92"/>
      <c r="E80" s="92"/>
      <c r="F80" s="92"/>
      <c r="G80" s="92"/>
      <c r="H80" s="92"/>
      <c r="I80" s="92"/>
    </row>
    <row r="81" spans="2:9">
      <c r="B81" s="79" t="s">
        <v>58</v>
      </c>
      <c r="C81" s="79"/>
      <c r="D81" s="79"/>
      <c r="E81" s="79"/>
      <c r="F81" s="79"/>
      <c r="G81" s="79"/>
      <c r="H81" s="79"/>
      <c r="I81" s="79"/>
    </row>
    <row r="82" spans="2:9">
      <c r="B82" s="9" t="s">
        <v>59</v>
      </c>
      <c r="C82" s="9" t="s">
        <v>60</v>
      </c>
      <c r="D82" s="9" t="s">
        <v>61</v>
      </c>
      <c r="E82" s="9" t="s">
        <v>62</v>
      </c>
      <c r="F82" s="9" t="s">
        <v>63</v>
      </c>
      <c r="G82" s="79" t="s">
        <v>64</v>
      </c>
      <c r="H82" s="79"/>
      <c r="I82" s="79"/>
    </row>
    <row r="83" spans="2:9">
      <c r="B83" s="10"/>
      <c r="C83" s="10"/>
      <c r="D83" s="10"/>
      <c r="E83" s="10"/>
      <c r="F83" s="10"/>
      <c r="G83" s="84"/>
      <c r="H83" s="84"/>
      <c r="I83" s="84"/>
    </row>
    <row r="84" spans="2:9">
      <c r="B84" s="10"/>
      <c r="C84" s="10"/>
      <c r="D84" s="10"/>
      <c r="E84" s="10"/>
      <c r="F84" s="10"/>
      <c r="G84" s="84"/>
      <c r="H84" s="84"/>
      <c r="I84" s="84"/>
    </row>
    <row r="85" spans="2:9">
      <c r="B85" s="10"/>
      <c r="C85" s="10"/>
      <c r="D85" s="10"/>
      <c r="E85" s="10"/>
      <c r="F85" s="10"/>
      <c r="G85" s="84"/>
      <c r="H85" s="84"/>
      <c r="I85" s="84"/>
    </row>
    <row r="86" spans="2:9">
      <c r="B86" s="10"/>
      <c r="C86" s="10"/>
      <c r="D86" s="10"/>
      <c r="E86" s="10"/>
      <c r="F86" s="10"/>
      <c r="G86" s="84"/>
      <c r="H86" s="84"/>
      <c r="I86" s="84"/>
    </row>
    <row r="87" spans="2:9">
      <c r="B87" s="10"/>
      <c r="C87" s="10"/>
      <c r="D87" s="10"/>
      <c r="E87" s="10"/>
      <c r="F87" s="10"/>
      <c r="G87" s="84"/>
      <c r="H87" s="84"/>
      <c r="I87" s="84"/>
    </row>
    <row r="88" spans="2:9">
      <c r="B88" s="10"/>
      <c r="C88" s="10"/>
      <c r="D88" s="10"/>
      <c r="E88" s="10"/>
      <c r="F88" s="10"/>
      <c r="G88" s="84"/>
      <c r="H88" s="84"/>
      <c r="I88" s="8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86"/>
      <c r="C2" s="88" t="s">
        <v>0</v>
      </c>
      <c r="D2" s="88"/>
      <c r="E2" s="88"/>
      <c r="F2" s="88"/>
      <c r="G2" s="88"/>
      <c r="H2" s="88"/>
      <c r="I2" s="6" t="s">
        <v>1</v>
      </c>
    </row>
    <row r="3" spans="2:11" ht="20.25" customHeight="1">
      <c r="B3" s="87"/>
      <c r="C3" s="89"/>
      <c r="D3" s="89"/>
      <c r="E3" s="89"/>
      <c r="F3" s="89"/>
      <c r="G3" s="89"/>
      <c r="H3" s="89"/>
      <c r="I3" s="7" t="s">
        <v>2</v>
      </c>
    </row>
    <row r="4" spans="2:11" ht="21" customHeight="1" thickBot="1">
      <c r="B4" s="90" t="s">
        <v>3</v>
      </c>
      <c r="C4" s="91"/>
      <c r="D4" s="91"/>
      <c r="E4" s="91"/>
      <c r="F4" s="91"/>
      <c r="G4" s="91"/>
      <c r="H4" s="91"/>
      <c r="I4" s="8" t="s">
        <v>4</v>
      </c>
    </row>
    <row r="5" spans="2:11" ht="15.75" thickTop="1">
      <c r="B5" s="76"/>
      <c r="C5" s="76"/>
      <c r="D5" s="76"/>
      <c r="E5" s="76"/>
      <c r="F5" s="76"/>
      <c r="G5" s="76"/>
      <c r="H5" s="76"/>
      <c r="I5" s="76"/>
    </row>
    <row r="6" spans="2:11">
      <c r="B6" s="76" t="s">
        <v>5</v>
      </c>
      <c r="C6" s="76"/>
      <c r="D6" s="76"/>
      <c r="E6" s="76"/>
      <c r="F6" s="76"/>
      <c r="G6" s="76"/>
      <c r="H6" s="76"/>
      <c r="I6" s="76"/>
    </row>
    <row r="7" spans="2:11" ht="60">
      <c r="B7" s="3" t="s">
        <v>6</v>
      </c>
      <c r="C7" s="1"/>
      <c r="D7" s="2" t="s">
        <v>7</v>
      </c>
      <c r="E7" s="1"/>
      <c r="F7" s="2" t="s">
        <v>8</v>
      </c>
      <c r="G7" s="1"/>
      <c r="H7" s="2" t="s">
        <v>9</v>
      </c>
      <c r="I7" s="1"/>
    </row>
    <row r="8" spans="2:11" ht="45">
      <c r="B8" s="15" t="s">
        <v>10</v>
      </c>
      <c r="C8" s="16"/>
      <c r="D8" s="3" t="s">
        <v>65</v>
      </c>
      <c r="E8" s="78"/>
      <c r="F8" s="78"/>
      <c r="G8" s="2" t="s">
        <v>12</v>
      </c>
      <c r="H8" s="78"/>
      <c r="I8" s="78"/>
      <c r="K8" s="11" t="s">
        <v>66</v>
      </c>
    </row>
    <row r="9" spans="2:11" ht="30">
      <c r="B9" s="2" t="s">
        <v>13</v>
      </c>
      <c r="C9" s="5">
        <v>3</v>
      </c>
      <c r="D9" s="2" t="s">
        <v>14</v>
      </c>
      <c r="E9" s="5">
        <v>54</v>
      </c>
      <c r="F9" s="2" t="s">
        <v>15</v>
      </c>
      <c r="G9" s="5">
        <v>90</v>
      </c>
      <c r="H9" s="2" t="s">
        <v>16</v>
      </c>
      <c r="I9" s="5">
        <f>E9+G9</f>
        <v>144</v>
      </c>
      <c r="K9" s="11" t="s">
        <v>67</v>
      </c>
    </row>
    <row r="10" spans="2:11">
      <c r="B10" s="75" t="s">
        <v>17</v>
      </c>
      <c r="C10" s="79"/>
      <c r="D10" s="79"/>
      <c r="E10" s="79"/>
      <c r="F10" s="79"/>
      <c r="G10" s="79"/>
      <c r="H10" s="79"/>
      <c r="I10" s="79"/>
    </row>
    <row r="11" spans="2:11">
      <c r="B11" s="75" t="s">
        <v>18</v>
      </c>
      <c r="C11" s="75"/>
      <c r="D11" s="76" t="s">
        <v>19</v>
      </c>
      <c r="E11" s="77"/>
      <c r="F11" s="77"/>
      <c r="G11" s="76" t="s">
        <v>20</v>
      </c>
      <c r="H11" s="77"/>
      <c r="I11" s="77"/>
    </row>
    <row r="12" spans="2:11">
      <c r="B12" s="75"/>
      <c r="C12" s="75"/>
      <c r="D12" s="76"/>
      <c r="E12" s="77"/>
      <c r="F12" s="77"/>
      <c r="G12" s="76"/>
      <c r="H12" s="77"/>
      <c r="I12" s="77"/>
    </row>
    <row r="13" spans="2:11">
      <c r="B13" s="79" t="s">
        <v>21</v>
      </c>
      <c r="C13" s="79"/>
      <c r="D13" s="79"/>
      <c r="E13" s="79"/>
      <c r="F13" s="79"/>
      <c r="G13" s="79"/>
      <c r="H13" s="79"/>
      <c r="I13" s="79"/>
    </row>
    <row r="14" spans="2:11">
      <c r="B14" s="3" t="s">
        <v>22</v>
      </c>
      <c r="C14" s="78"/>
      <c r="D14" s="78"/>
      <c r="E14" s="3" t="s">
        <v>23</v>
      </c>
      <c r="F14" s="1"/>
      <c r="G14" s="3" t="s">
        <v>24</v>
      </c>
      <c r="H14" s="78"/>
      <c r="I14" s="78"/>
    </row>
    <row r="15" spans="2:11">
      <c r="B15" s="79" t="s">
        <v>25</v>
      </c>
      <c r="C15" s="79"/>
      <c r="D15" s="79"/>
      <c r="E15" s="79"/>
      <c r="F15" s="79"/>
      <c r="G15" s="79"/>
      <c r="H15" s="79"/>
      <c r="I15" s="79"/>
    </row>
    <row r="16" spans="2:11">
      <c r="B16" s="75" t="s">
        <v>26</v>
      </c>
      <c r="C16" s="75"/>
      <c r="D16" s="77" t="s">
        <v>68</v>
      </c>
      <c r="E16" s="77"/>
      <c r="F16" s="77"/>
      <c r="G16" s="77"/>
      <c r="H16" s="77"/>
      <c r="I16" s="77"/>
    </row>
    <row r="17" spans="2:12">
      <c r="B17" s="75"/>
      <c r="C17" s="75"/>
      <c r="D17" s="77"/>
      <c r="E17" s="77"/>
      <c r="F17" s="77"/>
      <c r="G17" s="77"/>
      <c r="H17" s="77"/>
      <c r="I17" s="77"/>
    </row>
    <row r="18" spans="2:12">
      <c r="B18" s="103" t="s">
        <v>27</v>
      </c>
      <c r="C18" s="104"/>
      <c r="D18" s="105"/>
      <c r="E18" s="105"/>
      <c r="F18" s="105"/>
      <c r="G18" s="105"/>
      <c r="H18" s="105"/>
      <c r="I18" s="105"/>
    </row>
    <row r="19" spans="2:12">
      <c r="B19" s="106" t="s">
        <v>28</v>
      </c>
      <c r="C19" s="106"/>
      <c r="D19" s="105"/>
      <c r="E19" s="105"/>
      <c r="F19" s="105"/>
      <c r="G19" s="105"/>
      <c r="H19" s="105"/>
      <c r="I19" s="105"/>
    </row>
    <row r="20" spans="2:12">
      <c r="B20" s="106"/>
      <c r="C20" s="106"/>
      <c r="D20" s="105"/>
      <c r="E20" s="105"/>
      <c r="F20" s="105"/>
      <c r="G20" s="105"/>
      <c r="H20" s="105"/>
      <c r="I20" s="105"/>
    </row>
    <row r="21" spans="2:12">
      <c r="B21" s="106" t="s">
        <v>29</v>
      </c>
      <c r="C21" s="106"/>
      <c r="D21" s="105" t="s">
        <v>69</v>
      </c>
      <c r="E21" s="105"/>
      <c r="F21" s="105"/>
      <c r="G21" s="105"/>
      <c r="H21" s="105"/>
      <c r="I21" s="105"/>
    </row>
    <row r="22" spans="2:12">
      <c r="B22" s="106"/>
      <c r="C22" s="106"/>
      <c r="D22" s="105"/>
      <c r="E22" s="105"/>
      <c r="F22" s="105"/>
      <c r="G22" s="105"/>
      <c r="H22" s="105"/>
      <c r="I22" s="105"/>
    </row>
    <row r="23" spans="2:12">
      <c r="B23" s="107" t="s">
        <v>30</v>
      </c>
      <c r="C23" s="107"/>
      <c r="D23" s="105" t="s">
        <v>31</v>
      </c>
      <c r="E23" s="105"/>
      <c r="F23" s="105"/>
      <c r="G23" s="105"/>
      <c r="H23" s="105"/>
      <c r="I23" s="105"/>
    </row>
    <row r="24" spans="2:12">
      <c r="B24" s="107"/>
      <c r="C24" s="107"/>
      <c r="D24" s="105" t="s">
        <v>32</v>
      </c>
      <c r="E24" s="105"/>
      <c r="F24" s="105"/>
      <c r="G24" s="105"/>
      <c r="H24" s="105"/>
      <c r="I24" s="105"/>
    </row>
    <row r="25" spans="2:12">
      <c r="B25" s="107"/>
      <c r="C25" s="107"/>
      <c r="D25" s="105" t="s">
        <v>33</v>
      </c>
      <c r="E25" s="105"/>
      <c r="F25" s="105"/>
      <c r="G25" s="105"/>
      <c r="H25" s="105"/>
      <c r="I25" s="105"/>
    </row>
    <row r="26" spans="2:12">
      <c r="B26" s="107"/>
      <c r="C26" s="107"/>
      <c r="D26" s="105" t="s">
        <v>34</v>
      </c>
      <c r="E26" s="105"/>
      <c r="F26" s="105"/>
      <c r="G26" s="105"/>
      <c r="H26" s="105"/>
      <c r="I26" s="105"/>
    </row>
    <row r="27" spans="2:12" ht="99.6" customHeight="1">
      <c r="B27" s="82" t="s">
        <v>70</v>
      </c>
      <c r="C27" s="82"/>
      <c r="D27" s="97" t="s">
        <v>71</v>
      </c>
      <c r="E27" s="98"/>
      <c r="F27" s="99"/>
      <c r="G27" s="94" t="s">
        <v>72</v>
      </c>
      <c r="H27" s="98"/>
      <c r="I27" s="99"/>
      <c r="L27" s="11" t="s">
        <v>73</v>
      </c>
    </row>
    <row r="28" spans="2:12" ht="90.6" customHeight="1">
      <c r="B28" s="82"/>
      <c r="C28" s="82"/>
      <c r="D28" s="108" t="s">
        <v>74</v>
      </c>
      <c r="E28" s="109"/>
      <c r="F28" s="110"/>
      <c r="G28" s="94" t="s">
        <v>75</v>
      </c>
      <c r="H28" s="95"/>
      <c r="I28" s="96"/>
      <c r="L28" s="11" t="s">
        <v>76</v>
      </c>
    </row>
    <row r="29" spans="2:12" ht="75.599999999999994" customHeight="1">
      <c r="B29" s="82"/>
      <c r="C29" s="82"/>
      <c r="D29" s="97" t="s">
        <v>77</v>
      </c>
      <c r="E29" s="98"/>
      <c r="F29" s="99"/>
      <c r="G29" s="94" t="s">
        <v>78</v>
      </c>
      <c r="H29" s="101"/>
      <c r="I29" s="102"/>
      <c r="L29" s="11" t="s">
        <v>79</v>
      </c>
    </row>
    <row r="30" spans="2:12">
      <c r="B30" s="79" t="s">
        <v>46</v>
      </c>
      <c r="C30" s="79"/>
      <c r="D30" s="79"/>
      <c r="E30" s="79"/>
      <c r="F30" s="79"/>
      <c r="G30" s="79"/>
      <c r="H30" s="79"/>
      <c r="I30" s="79"/>
    </row>
    <row r="31" spans="2:12">
      <c r="B31" s="84" t="s">
        <v>47</v>
      </c>
      <c r="C31" s="84"/>
      <c r="D31" s="84"/>
      <c r="E31" s="84"/>
      <c r="F31" s="84"/>
      <c r="G31" s="84"/>
      <c r="H31" s="84"/>
      <c r="I31" s="84"/>
    </row>
    <row r="32" spans="2:12">
      <c r="B32" s="84"/>
      <c r="C32" s="84"/>
      <c r="D32" s="84"/>
      <c r="E32" s="84"/>
      <c r="F32" s="84"/>
      <c r="G32" s="84"/>
      <c r="H32" s="84"/>
      <c r="I32" s="84"/>
    </row>
    <row r="33" spans="2:9">
      <c r="B33" s="84"/>
      <c r="C33" s="84"/>
      <c r="D33" s="84"/>
      <c r="E33" s="84"/>
      <c r="F33" s="84"/>
      <c r="G33" s="84"/>
      <c r="H33" s="84"/>
      <c r="I33" s="84"/>
    </row>
    <row r="34" spans="2:9">
      <c r="B34" s="85" t="s">
        <v>80</v>
      </c>
      <c r="C34" s="85"/>
      <c r="D34" s="85"/>
      <c r="E34" s="85"/>
      <c r="F34" s="100" t="s">
        <v>49</v>
      </c>
      <c r="G34" s="100"/>
      <c r="H34" s="100"/>
      <c r="I34" s="100"/>
    </row>
    <row r="35" spans="2:9">
      <c r="B35" s="85"/>
      <c r="C35" s="85"/>
      <c r="D35" s="85"/>
      <c r="E35" s="85"/>
      <c r="F35" s="100"/>
      <c r="G35" s="100"/>
      <c r="H35" s="100"/>
      <c r="I35" s="100"/>
    </row>
    <row r="36" spans="2:9">
      <c r="B36" s="85"/>
      <c r="C36" s="85"/>
      <c r="D36" s="85"/>
      <c r="E36" s="85"/>
      <c r="F36" s="100"/>
      <c r="G36" s="100"/>
      <c r="H36" s="100"/>
      <c r="I36" s="100"/>
    </row>
    <row r="37" spans="2:9">
      <c r="B37" s="85"/>
      <c r="C37" s="85"/>
      <c r="D37" s="85"/>
      <c r="E37" s="85"/>
      <c r="F37" s="100"/>
      <c r="G37" s="100"/>
      <c r="H37" s="100"/>
      <c r="I37" s="100"/>
    </row>
    <row r="38" spans="2:9">
      <c r="B38" s="85"/>
      <c r="C38" s="85"/>
      <c r="D38" s="85"/>
      <c r="E38" s="85"/>
      <c r="F38" s="100"/>
      <c r="G38" s="100"/>
      <c r="H38" s="100"/>
      <c r="I38" s="100"/>
    </row>
    <row r="39" spans="2:9">
      <c r="B39" s="85"/>
      <c r="C39" s="85"/>
      <c r="D39" s="85"/>
      <c r="E39" s="85"/>
      <c r="F39" s="100"/>
      <c r="G39" s="100"/>
      <c r="H39" s="100"/>
      <c r="I39" s="100"/>
    </row>
    <row r="40" spans="2:9">
      <c r="B40" s="85"/>
      <c r="C40" s="85"/>
      <c r="D40" s="85"/>
      <c r="E40" s="85"/>
      <c r="F40" s="100"/>
      <c r="G40" s="100"/>
      <c r="H40" s="100"/>
      <c r="I40" s="100"/>
    </row>
    <row r="41" spans="2:9">
      <c r="B41" s="85"/>
      <c r="C41" s="85"/>
      <c r="D41" s="85"/>
      <c r="E41" s="85"/>
      <c r="F41" s="100"/>
      <c r="G41" s="100"/>
      <c r="H41" s="100"/>
      <c r="I41" s="100"/>
    </row>
    <row r="42" spans="2:9">
      <c r="B42" s="85"/>
      <c r="C42" s="85"/>
      <c r="D42" s="85"/>
      <c r="E42" s="85"/>
      <c r="F42" s="100"/>
      <c r="G42" s="100"/>
      <c r="H42" s="100"/>
      <c r="I42" s="100"/>
    </row>
    <row r="43" spans="2:9">
      <c r="B43" s="79" t="s">
        <v>50</v>
      </c>
      <c r="C43" s="79"/>
      <c r="D43" s="79"/>
      <c r="E43" s="79"/>
      <c r="F43" s="79"/>
      <c r="G43" s="79"/>
      <c r="H43" s="79"/>
      <c r="I43" s="79"/>
    </row>
    <row r="44" spans="2:9">
      <c r="B44" s="93" t="s">
        <v>81</v>
      </c>
      <c r="C44" s="93"/>
      <c r="D44" s="93"/>
      <c r="E44" s="93"/>
      <c r="F44" s="85" t="s">
        <v>82</v>
      </c>
      <c r="G44" s="85"/>
      <c r="H44" s="85"/>
      <c r="I44" s="85"/>
    </row>
    <row r="45" spans="2:9">
      <c r="B45" s="93"/>
      <c r="C45" s="93"/>
      <c r="D45" s="93"/>
      <c r="E45" s="93"/>
      <c r="F45" s="85"/>
      <c r="G45" s="85"/>
      <c r="H45" s="85"/>
      <c r="I45" s="85"/>
    </row>
    <row r="46" spans="2:9">
      <c r="B46" s="93"/>
      <c r="C46" s="93"/>
      <c r="D46" s="93"/>
      <c r="E46" s="93"/>
      <c r="F46" s="85"/>
      <c r="G46" s="85"/>
      <c r="H46" s="85"/>
      <c r="I46" s="85"/>
    </row>
    <row r="47" spans="2:9">
      <c r="B47" s="93"/>
      <c r="C47" s="93"/>
      <c r="D47" s="93"/>
      <c r="E47" s="93"/>
      <c r="F47" s="85"/>
      <c r="G47" s="85"/>
      <c r="H47" s="85"/>
      <c r="I47" s="85"/>
    </row>
    <row r="48" spans="2:9">
      <c r="B48" s="93"/>
      <c r="C48" s="93"/>
      <c r="D48" s="93"/>
      <c r="E48" s="93"/>
      <c r="F48" s="85"/>
      <c r="G48" s="85"/>
      <c r="H48" s="85"/>
      <c r="I48" s="85"/>
    </row>
    <row r="49" spans="2:9">
      <c r="B49" s="93"/>
      <c r="C49" s="93"/>
      <c r="D49" s="93"/>
      <c r="E49" s="93"/>
      <c r="F49" s="85"/>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76" t="s">
        <v>83</v>
      </c>
      <c r="C55" s="76"/>
      <c r="D55" s="76"/>
      <c r="E55" s="76"/>
      <c r="F55" s="77" t="s">
        <v>84</v>
      </c>
      <c r="G55" s="77"/>
      <c r="H55" s="76" t="s">
        <v>54</v>
      </c>
      <c r="I55" s="5"/>
    </row>
    <row r="56" spans="2:9">
      <c r="B56" s="76"/>
      <c r="C56" s="76"/>
      <c r="D56" s="76"/>
      <c r="E56" s="76"/>
      <c r="F56" s="77"/>
      <c r="G56" s="77"/>
      <c r="H56" s="76"/>
      <c r="I56" s="5"/>
    </row>
    <row r="57" spans="2:9">
      <c r="B57" s="76"/>
      <c r="C57" s="76"/>
      <c r="D57" s="76"/>
      <c r="E57" s="76"/>
      <c r="F57" s="77"/>
      <c r="G57" s="77"/>
      <c r="H57" s="76"/>
      <c r="I57" s="5"/>
    </row>
    <row r="58" spans="2:9">
      <c r="B58" s="76"/>
      <c r="C58" s="76"/>
      <c r="D58" s="76"/>
      <c r="E58" s="76"/>
      <c r="F58" s="77"/>
      <c r="G58" s="77"/>
      <c r="H58" s="76"/>
      <c r="I58" s="5"/>
    </row>
    <row r="59" spans="2:9">
      <c r="B59" s="76"/>
      <c r="C59" s="76"/>
      <c r="D59" s="76"/>
      <c r="E59" s="76"/>
      <c r="F59" s="77"/>
      <c r="G59" s="77"/>
      <c r="H59" s="76"/>
      <c r="I59" s="5"/>
    </row>
    <row r="60" spans="2:9">
      <c r="B60" s="79" t="s">
        <v>55</v>
      </c>
      <c r="C60" s="79"/>
      <c r="D60" s="79"/>
      <c r="E60" s="79"/>
      <c r="F60" s="79"/>
      <c r="G60" s="79"/>
      <c r="H60" s="79"/>
      <c r="I60" s="79"/>
    </row>
    <row r="61" spans="2:9">
      <c r="B61" s="85" t="s">
        <v>56</v>
      </c>
      <c r="C61" s="85"/>
      <c r="D61" s="85"/>
      <c r="E61" s="85"/>
      <c r="F61" s="85" t="s">
        <v>57</v>
      </c>
      <c r="G61" s="85"/>
      <c r="H61" s="85"/>
      <c r="I61" s="85"/>
    </row>
    <row r="62" spans="2:9">
      <c r="B62" s="85"/>
      <c r="C62" s="85"/>
      <c r="D62" s="85"/>
      <c r="E62" s="85"/>
      <c r="F62" s="85"/>
      <c r="G62" s="85"/>
      <c r="H62" s="85"/>
      <c r="I62" s="85"/>
    </row>
    <row r="63" spans="2:9">
      <c r="B63" s="85"/>
      <c r="C63" s="85"/>
      <c r="D63" s="85"/>
      <c r="E63" s="85"/>
      <c r="F63" s="85"/>
      <c r="G63" s="85"/>
      <c r="H63" s="85"/>
      <c r="I63" s="85"/>
    </row>
    <row r="64" spans="2:9">
      <c r="B64" s="85"/>
      <c r="C64" s="85"/>
      <c r="D64" s="85"/>
      <c r="E64" s="85"/>
      <c r="F64" s="85"/>
      <c r="G64" s="85"/>
      <c r="H64" s="85"/>
      <c r="I64" s="85"/>
    </row>
    <row r="65" spans="2:9">
      <c r="B65" s="85"/>
      <c r="C65" s="85"/>
      <c r="D65" s="85"/>
      <c r="E65" s="85"/>
      <c r="F65" s="85"/>
      <c r="G65" s="85"/>
      <c r="H65" s="85"/>
      <c r="I65" s="85"/>
    </row>
    <row r="66" spans="2:9">
      <c r="B66" s="85"/>
      <c r="C66" s="85"/>
      <c r="D66" s="85"/>
      <c r="E66" s="85"/>
      <c r="F66" s="85"/>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92"/>
      <c r="C75" s="92"/>
      <c r="D75" s="92"/>
      <c r="E75" s="92"/>
      <c r="F75" s="92"/>
      <c r="G75" s="92"/>
      <c r="H75" s="92"/>
      <c r="I75" s="92"/>
    </row>
    <row r="76" spans="2:9">
      <c r="B76" s="79" t="s">
        <v>58</v>
      </c>
      <c r="C76" s="79"/>
      <c r="D76" s="79"/>
      <c r="E76" s="79"/>
      <c r="F76" s="79"/>
      <c r="G76" s="79"/>
      <c r="H76" s="79"/>
      <c r="I76" s="79"/>
    </row>
    <row r="77" spans="2:9">
      <c r="B77" s="9" t="s">
        <v>59</v>
      </c>
      <c r="C77" s="9" t="s">
        <v>60</v>
      </c>
      <c r="D77" s="9" t="s">
        <v>61</v>
      </c>
      <c r="E77" s="9" t="s">
        <v>62</v>
      </c>
      <c r="F77" s="9" t="s">
        <v>63</v>
      </c>
      <c r="G77" s="79" t="s">
        <v>64</v>
      </c>
      <c r="H77" s="79"/>
      <c r="I77" s="79"/>
    </row>
    <row r="78" spans="2:9">
      <c r="B78" s="10"/>
      <c r="C78" s="10"/>
      <c r="D78" s="10"/>
      <c r="E78" s="10"/>
      <c r="F78" s="10"/>
      <c r="G78" s="84"/>
      <c r="H78" s="84"/>
      <c r="I78" s="84"/>
    </row>
    <row r="79" spans="2:9">
      <c r="B79" s="10"/>
      <c r="C79" s="10"/>
      <c r="D79" s="10"/>
      <c r="E79" s="10"/>
      <c r="F79" s="10"/>
      <c r="G79" s="84"/>
      <c r="H79" s="84"/>
      <c r="I79" s="84"/>
    </row>
    <row r="80" spans="2:9">
      <c r="B80" s="10"/>
      <c r="C80" s="10"/>
      <c r="D80" s="10"/>
      <c r="E80" s="10"/>
      <c r="F80" s="10"/>
      <c r="G80" s="84"/>
      <c r="H80" s="84"/>
      <c r="I80" s="84"/>
    </row>
    <row r="81" spans="2:9">
      <c r="B81" s="10"/>
      <c r="C81" s="10"/>
      <c r="D81" s="10"/>
      <c r="E81" s="10"/>
      <c r="F81" s="10"/>
      <c r="G81" s="84"/>
      <c r="H81" s="84"/>
      <c r="I81" s="84"/>
    </row>
    <row r="82" spans="2:9">
      <c r="B82" s="10"/>
      <c r="C82" s="10"/>
      <c r="D82" s="10"/>
      <c r="E82" s="10"/>
      <c r="F82" s="10"/>
      <c r="G82" s="84"/>
      <c r="H82" s="84"/>
      <c r="I82" s="84"/>
    </row>
    <row r="83" spans="2:9">
      <c r="B83" s="10"/>
      <c r="C83" s="10"/>
      <c r="D83" s="10"/>
      <c r="E83" s="10"/>
      <c r="F83" s="10"/>
      <c r="G83" s="84"/>
      <c r="H83" s="84"/>
      <c r="I83" s="8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A1:R36"/>
  <sheetViews>
    <sheetView topLeftCell="B1" zoomScale="85" zoomScaleNormal="85" workbookViewId="0">
      <pane xSplit="2" ySplit="2" topLeftCell="E21" activePane="bottomRight" state="frozen"/>
      <selection pane="bottomRight" activeCell="H2" sqref="H2"/>
      <selection pane="bottomLeft" activeCell="B3" sqref="B3"/>
      <selection pane="topRight" activeCell="D1" sqref="D1"/>
    </sheetView>
  </sheetViews>
  <sheetFormatPr defaultColWidth="11.42578125" defaultRowHeight="15"/>
  <cols>
    <col min="3" max="3" width="74" bestFit="1" customWidth="1"/>
    <col min="4" max="4" width="32.85546875" customWidth="1"/>
    <col min="5" max="7" width="16.28515625" customWidth="1"/>
    <col min="8" max="8" width="44.140625" customWidth="1"/>
    <col min="9" max="9" width="14.7109375" customWidth="1"/>
    <col min="10" max="16" width="13.140625" customWidth="1"/>
    <col min="17" max="17" width="13.140625" style="63" customWidth="1"/>
    <col min="18" max="18" width="13.140625" customWidth="1"/>
  </cols>
  <sheetData>
    <row r="1" spans="1:18" ht="15.75" thickBot="1"/>
    <row r="2" spans="1:18" ht="68.25" thickBot="1">
      <c r="H2" s="56" t="s">
        <v>85</v>
      </c>
      <c r="I2" s="56" t="str">
        <f>+I10</f>
        <v>Ingenium for a Better World</v>
      </c>
      <c r="J2" s="61" t="str">
        <f t="shared" ref="J2:R2" si="0">+J10</f>
        <v>Gestión de Compras, Negociación y Estrategias de Aprovisionamiento</v>
      </c>
      <c r="K2" s="61" t="str">
        <f t="shared" si="0"/>
        <v>Gestión de Inventarios</v>
      </c>
      <c r="L2" s="61" t="str">
        <f t="shared" si="0"/>
        <v>Gestión de la Entrega y Logística Inversa</v>
      </c>
      <c r="M2" s="61" t="str">
        <f t="shared" si="0"/>
        <v>Gestión de Operaciones y Alineación Estratégica</v>
      </c>
      <c r="N2" s="61" t="str">
        <f t="shared" si="0"/>
        <v>Simulación de Modelos de Operaciones y Logística</v>
      </c>
      <c r="O2" s="61" t="str">
        <f t="shared" si="0"/>
        <v>Ventas y Planeación de la Demanda</v>
      </c>
      <c r="P2" s="61" t="str">
        <f t="shared" si="0"/>
        <v>Gerencia de la Cadena de Abastecimiento</v>
      </c>
      <c r="Q2" s="64" t="str">
        <f t="shared" si="0"/>
        <v>Ética Empresarial y Sostenibilidad</v>
      </c>
      <c r="R2" s="61" t="str">
        <f t="shared" si="0"/>
        <v>Logística Integral y Comercio Internacional</v>
      </c>
    </row>
    <row r="3" spans="1:18" ht="27" thickBot="1">
      <c r="H3" s="58" t="str">
        <f>+I3</f>
        <v>Información Extraída</v>
      </c>
      <c r="I3" s="55" t="s">
        <v>86</v>
      </c>
      <c r="J3" s="37" t="s">
        <v>87</v>
      </c>
      <c r="K3" s="37" t="s">
        <v>85</v>
      </c>
      <c r="L3" s="37" t="s">
        <v>88</v>
      </c>
      <c r="M3" s="37" t="s">
        <v>89</v>
      </c>
      <c r="N3" s="37" t="s">
        <v>90</v>
      </c>
      <c r="O3" s="37" t="s">
        <v>91</v>
      </c>
      <c r="P3" s="37" t="s">
        <v>92</v>
      </c>
      <c r="Q3" s="60" t="s">
        <v>93</v>
      </c>
      <c r="R3" s="54" t="s">
        <v>94</v>
      </c>
    </row>
    <row r="4" spans="1:18" ht="17.25" thickBot="1">
      <c r="A4">
        <v>3</v>
      </c>
      <c r="B4">
        <v>1</v>
      </c>
      <c r="C4" s="33" t="s">
        <v>6</v>
      </c>
      <c r="D4" s="40">
        <v>2026</v>
      </c>
      <c r="H4" s="57">
        <f>HLOOKUP(H$2,$I$2:$R$36,A4,0)</f>
        <v>2024</v>
      </c>
      <c r="I4" s="36">
        <v>2024</v>
      </c>
      <c r="J4" s="36">
        <v>2024</v>
      </c>
      <c r="K4" s="36">
        <v>2024</v>
      </c>
      <c r="L4" s="36">
        <v>2023</v>
      </c>
      <c r="M4" s="36">
        <v>2024</v>
      </c>
      <c r="N4" s="36">
        <v>2024</v>
      </c>
      <c r="O4" s="36">
        <v>2024</v>
      </c>
      <c r="P4" s="36">
        <v>2013</v>
      </c>
      <c r="Q4" s="59">
        <v>2015</v>
      </c>
      <c r="R4" s="36">
        <v>2016</v>
      </c>
    </row>
    <row r="5" spans="1:18" ht="27" thickBot="1">
      <c r="A5">
        <v>4</v>
      </c>
      <c r="B5">
        <v>2</v>
      </c>
      <c r="C5" s="33" t="s">
        <v>7</v>
      </c>
      <c r="D5" s="40" t="str">
        <f>+H5</f>
        <v>MAVGCABOG001</v>
      </c>
      <c r="H5" s="57" t="str">
        <f t="shared" ref="H5:H36" si="1">HLOOKUP(H$2,$I$2:$R$36,A5,0)</f>
        <v>MAVGCABOG001</v>
      </c>
      <c r="I5" s="35" t="s">
        <v>95</v>
      </c>
      <c r="J5" s="60" t="s">
        <v>96</v>
      </c>
      <c r="K5" s="60" t="s">
        <v>96</v>
      </c>
      <c r="L5" s="60" t="s">
        <v>96</v>
      </c>
      <c r="M5" s="60" t="s">
        <v>96</v>
      </c>
      <c r="N5" s="60" t="s">
        <v>96</v>
      </c>
      <c r="O5" s="60" t="s">
        <v>96</v>
      </c>
      <c r="P5" s="60" t="s">
        <v>96</v>
      </c>
      <c r="Q5" s="60" t="s">
        <v>96</v>
      </c>
      <c r="R5" s="60" t="s">
        <v>96</v>
      </c>
    </row>
    <row r="6" spans="1:18" ht="27" thickBot="1">
      <c r="A6">
        <v>5</v>
      </c>
      <c r="B6">
        <v>3</v>
      </c>
      <c r="C6" s="33" t="s">
        <v>8</v>
      </c>
      <c r="D6" s="40" t="s">
        <v>97</v>
      </c>
      <c r="H6" s="57" t="str">
        <f t="shared" si="1"/>
        <v>VMV01893</v>
      </c>
      <c r="I6" s="36">
        <v>0</v>
      </c>
      <c r="J6" s="62" t="s">
        <v>98</v>
      </c>
      <c r="K6" s="62" t="s">
        <v>99</v>
      </c>
      <c r="L6" s="62" t="s">
        <v>100</v>
      </c>
      <c r="M6" s="62" t="s">
        <v>101</v>
      </c>
      <c r="N6" s="62" t="s">
        <v>102</v>
      </c>
      <c r="O6" s="62" t="s">
        <v>103</v>
      </c>
      <c r="P6" s="62" t="s">
        <v>104</v>
      </c>
      <c r="Q6" s="60" t="s">
        <v>105</v>
      </c>
      <c r="R6" s="62" t="s">
        <v>106</v>
      </c>
    </row>
    <row r="7" spans="1:18" ht="17.25" thickBot="1">
      <c r="A7">
        <v>6</v>
      </c>
      <c r="B7">
        <v>4</v>
      </c>
      <c r="C7" s="33" t="s">
        <v>9</v>
      </c>
      <c r="D7" s="5" t="str">
        <f>+H7</f>
        <v>Nuclear</v>
      </c>
      <c r="H7" s="57" t="str">
        <f t="shared" si="1"/>
        <v>Nuclear</v>
      </c>
      <c r="I7" s="37" t="s">
        <v>107</v>
      </c>
      <c r="J7" s="37" t="s">
        <v>107</v>
      </c>
      <c r="K7" s="37" t="s">
        <v>107</v>
      </c>
      <c r="L7" s="37" t="s">
        <v>107</v>
      </c>
      <c r="M7" s="37" t="s">
        <v>107</v>
      </c>
      <c r="N7" s="37" t="s">
        <v>107</v>
      </c>
      <c r="O7" s="37" t="s">
        <v>107</v>
      </c>
      <c r="P7" s="37" t="s">
        <v>107</v>
      </c>
      <c r="Q7" s="60" t="s">
        <v>108</v>
      </c>
      <c r="R7" s="37" t="s">
        <v>107</v>
      </c>
    </row>
    <row r="8" spans="1:18" ht="17.25" thickBot="1">
      <c r="A8">
        <v>7</v>
      </c>
      <c r="B8">
        <v>5</v>
      </c>
      <c r="C8" s="33" t="s">
        <v>10</v>
      </c>
      <c r="D8" s="5" t="str">
        <f>+H8</f>
        <v>Facultad de Ingeniería</v>
      </c>
      <c r="H8" s="57" t="str">
        <f t="shared" si="1"/>
        <v>Facultad de Ingeniería</v>
      </c>
      <c r="I8" s="65" t="s">
        <v>109</v>
      </c>
      <c r="J8" s="65" t="s">
        <v>109</v>
      </c>
      <c r="K8" s="65" t="s">
        <v>109</v>
      </c>
      <c r="L8" s="65" t="s">
        <v>109</v>
      </c>
      <c r="M8" s="65" t="s">
        <v>109</v>
      </c>
      <c r="N8" s="65" t="s">
        <v>109</v>
      </c>
      <c r="O8" s="65" t="s">
        <v>109</v>
      </c>
      <c r="P8" s="65" t="s">
        <v>109</v>
      </c>
      <c r="Q8" s="65" t="s">
        <v>109</v>
      </c>
      <c r="R8" s="65" t="s">
        <v>109</v>
      </c>
    </row>
    <row r="9" spans="1:18" ht="52.5" thickBot="1">
      <c r="A9">
        <v>8</v>
      </c>
      <c r="B9">
        <v>6</v>
      </c>
      <c r="C9" s="33" t="s">
        <v>11</v>
      </c>
      <c r="D9" s="5" t="str">
        <f>+H9</f>
        <v>Mtr. Gerencia Cadena Abastecimiento</v>
      </c>
      <c r="H9" s="57" t="str">
        <f t="shared" si="1"/>
        <v>Mtr. Gerencia Cadena Abastecimiento</v>
      </c>
      <c r="I9" s="35" t="s">
        <v>110</v>
      </c>
      <c r="J9" s="37" t="s">
        <v>111</v>
      </c>
      <c r="K9" s="37" t="s">
        <v>111</v>
      </c>
      <c r="L9" s="37" t="s">
        <v>111</v>
      </c>
      <c r="M9" s="37" t="s">
        <v>111</v>
      </c>
      <c r="N9" s="37" t="s">
        <v>111</v>
      </c>
      <c r="O9" s="37" t="s">
        <v>111</v>
      </c>
      <c r="P9" s="37" t="s">
        <v>111</v>
      </c>
      <c r="Q9" s="37" t="s">
        <v>111</v>
      </c>
      <c r="R9" s="37" t="s">
        <v>111</v>
      </c>
    </row>
    <row r="10" spans="1:18" ht="14.25" customHeight="1" thickBot="1">
      <c r="A10">
        <v>9</v>
      </c>
      <c r="B10">
        <v>7</v>
      </c>
      <c r="C10" s="33" t="s">
        <v>112</v>
      </c>
      <c r="D10" s="49" t="str">
        <f>+H10</f>
        <v>Gestión de Inventarios</v>
      </c>
      <c r="H10" s="57" t="str">
        <f t="shared" si="1"/>
        <v>Gestión de Inventarios</v>
      </c>
      <c r="I10" s="35" t="s">
        <v>113</v>
      </c>
      <c r="J10" s="37" t="s">
        <v>114</v>
      </c>
      <c r="K10" s="37" t="s">
        <v>85</v>
      </c>
      <c r="L10" s="37" t="s">
        <v>115</v>
      </c>
      <c r="M10" s="37" t="s">
        <v>116</v>
      </c>
      <c r="N10" s="37" t="s">
        <v>117</v>
      </c>
      <c r="O10" s="37" t="s">
        <v>118</v>
      </c>
      <c r="P10" s="37" t="s">
        <v>119</v>
      </c>
      <c r="Q10" s="60" t="s">
        <v>120</v>
      </c>
      <c r="R10" s="54" t="s">
        <v>121</v>
      </c>
    </row>
    <row r="11" spans="1:18" ht="17.25" thickBot="1">
      <c r="A11">
        <v>10</v>
      </c>
      <c r="B11">
        <v>8</v>
      </c>
      <c r="C11" s="33" t="s">
        <v>13</v>
      </c>
      <c r="D11" s="5">
        <v>3</v>
      </c>
      <c r="H11" s="57">
        <f t="shared" si="1"/>
        <v>3</v>
      </c>
      <c r="I11" s="36">
        <v>3</v>
      </c>
      <c r="J11" s="36">
        <v>3</v>
      </c>
      <c r="K11" s="36">
        <v>3</v>
      </c>
      <c r="L11" s="36">
        <v>3</v>
      </c>
      <c r="M11" s="36">
        <v>3</v>
      </c>
      <c r="N11" s="36">
        <v>3</v>
      </c>
      <c r="O11" s="36">
        <v>3</v>
      </c>
      <c r="P11" s="59">
        <v>3</v>
      </c>
      <c r="Q11" s="59">
        <v>3</v>
      </c>
      <c r="R11" s="36">
        <v>3</v>
      </c>
    </row>
    <row r="12" spans="1:18" ht="17.25" thickBot="1">
      <c r="A12">
        <v>11</v>
      </c>
      <c r="B12">
        <v>9</v>
      </c>
      <c r="C12" s="33" t="s">
        <v>14</v>
      </c>
      <c r="D12" s="5">
        <f t="shared" ref="D12:D19" si="2">+H12</f>
        <v>36</v>
      </c>
      <c r="H12" s="57">
        <f t="shared" si="1"/>
        <v>36</v>
      </c>
      <c r="I12" s="36">
        <v>54</v>
      </c>
      <c r="J12" s="36">
        <v>36</v>
      </c>
      <c r="K12" s="36">
        <v>36</v>
      </c>
      <c r="L12" s="36">
        <v>36</v>
      </c>
      <c r="M12" s="36">
        <v>36</v>
      </c>
      <c r="N12" s="36">
        <v>36</v>
      </c>
      <c r="O12" s="36">
        <v>36</v>
      </c>
      <c r="P12" s="59">
        <v>36</v>
      </c>
      <c r="Q12" s="59">
        <v>36</v>
      </c>
      <c r="R12" s="36">
        <v>36</v>
      </c>
    </row>
    <row r="13" spans="1:18" ht="17.25" thickBot="1">
      <c r="A13">
        <v>12</v>
      </c>
      <c r="B13">
        <v>10</v>
      </c>
      <c r="C13" s="33" t="s">
        <v>15</v>
      </c>
      <c r="D13" s="5">
        <f t="shared" si="2"/>
        <v>108</v>
      </c>
      <c r="H13" s="57">
        <f t="shared" si="1"/>
        <v>108</v>
      </c>
      <c r="I13" s="36">
        <v>90</v>
      </c>
      <c r="J13" s="36">
        <v>108</v>
      </c>
      <c r="K13" s="36">
        <v>108</v>
      </c>
      <c r="L13" s="36">
        <v>108</v>
      </c>
      <c r="M13" s="36">
        <v>108</v>
      </c>
      <c r="N13" s="36">
        <v>108</v>
      </c>
      <c r="O13" s="36">
        <v>108</v>
      </c>
      <c r="P13" s="59">
        <v>108</v>
      </c>
      <c r="Q13" s="59">
        <v>108</v>
      </c>
      <c r="R13" s="36">
        <v>108</v>
      </c>
    </row>
    <row r="14" spans="1:18" ht="17.25" thickBot="1">
      <c r="A14">
        <v>13</v>
      </c>
      <c r="B14">
        <v>11</v>
      </c>
      <c r="C14" s="33" t="s">
        <v>16</v>
      </c>
      <c r="D14" s="5">
        <f t="shared" si="2"/>
        <v>144</v>
      </c>
      <c r="H14" s="57">
        <f t="shared" si="1"/>
        <v>144</v>
      </c>
      <c r="I14" s="36">
        <v>144</v>
      </c>
      <c r="J14" s="36">
        <v>144</v>
      </c>
      <c r="K14" s="36">
        <v>144</v>
      </c>
      <c r="L14" s="36">
        <v>144</v>
      </c>
      <c r="M14" s="36">
        <v>144</v>
      </c>
      <c r="N14" s="36">
        <v>144</v>
      </c>
      <c r="O14" s="36">
        <v>144</v>
      </c>
      <c r="P14" s="59">
        <v>144</v>
      </c>
      <c r="Q14" s="59">
        <v>144</v>
      </c>
      <c r="R14" s="36">
        <v>144</v>
      </c>
    </row>
    <row r="15" spans="1:18" ht="17.25" thickBot="1">
      <c r="A15">
        <v>14</v>
      </c>
      <c r="B15">
        <v>12</v>
      </c>
      <c r="C15" s="33" t="s">
        <v>122</v>
      </c>
      <c r="D15" s="5" t="str">
        <f t="shared" si="2"/>
        <v>Virtual</v>
      </c>
      <c r="E15" s="45" t="str">
        <f>IF(D15="Presencial","SI","")</f>
        <v/>
      </c>
      <c r="F15" s="45" t="str">
        <f>IF(D15="Virtual","SI","")</f>
        <v>SI</v>
      </c>
      <c r="H15" s="57" t="str">
        <f t="shared" si="1"/>
        <v>Virtual</v>
      </c>
      <c r="I15" s="37" t="s">
        <v>123</v>
      </c>
      <c r="J15" s="37" t="s">
        <v>20</v>
      </c>
      <c r="K15" s="37" t="s">
        <v>20</v>
      </c>
      <c r="L15" s="37" t="s">
        <v>20</v>
      </c>
      <c r="M15" s="37" t="s">
        <v>20</v>
      </c>
      <c r="N15" s="37" t="s">
        <v>20</v>
      </c>
      <c r="O15" s="37" t="s">
        <v>20</v>
      </c>
      <c r="P15" s="37" t="s">
        <v>20</v>
      </c>
      <c r="Q15" s="60" t="s">
        <v>20</v>
      </c>
      <c r="R15" s="37" t="s">
        <v>20</v>
      </c>
    </row>
    <row r="16" spans="1:18" ht="27" thickBot="1">
      <c r="A16">
        <v>15</v>
      </c>
      <c r="B16">
        <v>13</v>
      </c>
      <c r="C16" s="33" t="s">
        <v>124</v>
      </c>
      <c r="D16" s="5" t="str">
        <f t="shared" si="2"/>
        <v>No especificado</v>
      </c>
      <c r="H16" s="57" t="str">
        <f t="shared" si="1"/>
        <v>No especificado</v>
      </c>
      <c r="I16" s="35" t="s">
        <v>125</v>
      </c>
      <c r="J16" s="37" t="s">
        <v>105</v>
      </c>
      <c r="K16" s="37" t="s">
        <v>105</v>
      </c>
      <c r="L16" s="37" t="s">
        <v>105</v>
      </c>
      <c r="M16" s="37" t="s">
        <v>105</v>
      </c>
      <c r="N16" s="37" t="s">
        <v>105</v>
      </c>
      <c r="O16" s="37" t="s">
        <v>105</v>
      </c>
      <c r="P16" s="37" t="s">
        <v>105</v>
      </c>
      <c r="Q16" s="60" t="s">
        <v>105</v>
      </c>
      <c r="R16" s="37" t="s">
        <v>105</v>
      </c>
    </row>
    <row r="17" spans="1:18" ht="110.25" customHeight="1" thickBot="1">
      <c r="A17">
        <v>16</v>
      </c>
      <c r="B17">
        <v>14</v>
      </c>
      <c r="C17" s="33" t="s">
        <v>26</v>
      </c>
      <c r="D17" s="5" t="str">
        <f t="shared" si="2"/>
        <v>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v>
      </c>
      <c r="H17" s="66" t="str">
        <f t="shared" si="1"/>
        <v>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v>
      </c>
      <c r="I17" s="67" t="s">
        <v>126</v>
      </c>
      <c r="J17" s="69" t="s">
        <v>127</v>
      </c>
      <c r="K17" s="69" t="s">
        <v>128</v>
      </c>
      <c r="L17" s="69" t="s">
        <v>129</v>
      </c>
      <c r="M17" s="69" t="s">
        <v>130</v>
      </c>
      <c r="N17" s="69" t="s">
        <v>131</v>
      </c>
      <c r="O17" s="69" t="s">
        <v>132</v>
      </c>
      <c r="P17" s="69" t="s">
        <v>133</v>
      </c>
      <c r="Q17" s="71" t="s">
        <v>134</v>
      </c>
      <c r="R17" s="68" t="s">
        <v>135</v>
      </c>
    </row>
    <row r="18" spans="1:18" ht="78" thickBot="1">
      <c r="A18">
        <v>17</v>
      </c>
      <c r="B18">
        <v>15</v>
      </c>
      <c r="C18" s="33" t="s">
        <v>27</v>
      </c>
      <c r="D18" s="5" t="str">
        <f t="shared" si="2"/>
        <v>No especificado</v>
      </c>
      <c r="H18" s="57" t="str">
        <f t="shared" si="1"/>
        <v>No especificado</v>
      </c>
      <c r="I18" s="35" t="s">
        <v>136</v>
      </c>
      <c r="J18" s="37" t="s">
        <v>105</v>
      </c>
      <c r="K18" s="37" t="s">
        <v>105</v>
      </c>
      <c r="L18" s="37" t="s">
        <v>105</v>
      </c>
      <c r="M18" s="37" t="s">
        <v>105</v>
      </c>
      <c r="N18" s="37" t="s">
        <v>105</v>
      </c>
      <c r="O18" s="37" t="s">
        <v>105</v>
      </c>
      <c r="P18" s="37" t="s">
        <v>105</v>
      </c>
      <c r="Q18" s="60" t="s">
        <v>137</v>
      </c>
      <c r="R18" s="37" t="s">
        <v>105</v>
      </c>
    </row>
    <row r="19" spans="1:18" ht="65.25" thickBot="1">
      <c r="A19">
        <v>18</v>
      </c>
      <c r="B19">
        <v>16</v>
      </c>
      <c r="C19" s="33" t="s">
        <v>138</v>
      </c>
      <c r="D19" s="5" t="str">
        <f t="shared" si="2"/>
        <v>No especificado</v>
      </c>
      <c r="H19" s="57" t="str">
        <f t="shared" si="1"/>
        <v>No especificado</v>
      </c>
      <c r="I19" s="35" t="s">
        <v>139</v>
      </c>
      <c r="J19" s="37" t="s">
        <v>105</v>
      </c>
      <c r="K19" s="37" t="s">
        <v>105</v>
      </c>
      <c r="L19" s="37" t="s">
        <v>105</v>
      </c>
      <c r="M19" s="37" t="s">
        <v>105</v>
      </c>
      <c r="N19" s="37" t="s">
        <v>105</v>
      </c>
      <c r="O19" s="37" t="s">
        <v>105</v>
      </c>
      <c r="P19" s="37" t="s">
        <v>105</v>
      </c>
      <c r="Q19" s="60" t="s">
        <v>140</v>
      </c>
      <c r="R19" s="37" t="s">
        <v>105</v>
      </c>
    </row>
    <row r="20" spans="1:18" ht="90.75" thickBot="1">
      <c r="A20">
        <v>19</v>
      </c>
      <c r="B20">
        <v>17</v>
      </c>
      <c r="C20" s="33" t="s">
        <v>141</v>
      </c>
      <c r="D20" s="5"/>
      <c r="H20" s="57" t="str">
        <f t="shared" si="1"/>
        <v>No especificado</v>
      </c>
      <c r="I20" s="35" t="s">
        <v>142</v>
      </c>
      <c r="J20" s="37" t="s">
        <v>105</v>
      </c>
      <c r="K20" s="37" t="s">
        <v>105</v>
      </c>
      <c r="L20" s="37" t="s">
        <v>105</v>
      </c>
      <c r="M20" s="37" t="s">
        <v>105</v>
      </c>
      <c r="N20" s="37" t="s">
        <v>105</v>
      </c>
      <c r="O20" s="37" t="s">
        <v>105</v>
      </c>
      <c r="P20" s="37" t="s">
        <v>105</v>
      </c>
      <c r="Q20" s="60" t="s">
        <v>143</v>
      </c>
      <c r="R20" s="37" t="s">
        <v>105</v>
      </c>
    </row>
    <row r="21" spans="1:18" ht="52.5" thickBot="1">
      <c r="A21">
        <v>20</v>
      </c>
      <c r="B21">
        <v>18</v>
      </c>
      <c r="C21" s="33" t="s">
        <v>144</v>
      </c>
      <c r="D21" s="5"/>
      <c r="H21" s="57" t="str">
        <f t="shared" si="1"/>
        <v>Guía 1, 2, 3, Foro, Encuentro Final</v>
      </c>
      <c r="I21" s="35" t="s">
        <v>145</v>
      </c>
      <c r="J21" s="37" t="s">
        <v>146</v>
      </c>
      <c r="K21" s="37" t="s">
        <v>146</v>
      </c>
      <c r="L21" s="37" t="s">
        <v>146</v>
      </c>
      <c r="M21" s="37" t="s">
        <v>146</v>
      </c>
      <c r="N21" s="37" t="s">
        <v>146</v>
      </c>
      <c r="O21" s="37" t="s">
        <v>146</v>
      </c>
      <c r="P21" s="37" t="s">
        <v>146</v>
      </c>
      <c r="Q21" s="37" t="s">
        <v>146</v>
      </c>
      <c r="R21" s="37" t="s">
        <v>146</v>
      </c>
    </row>
    <row r="22" spans="1:18" ht="39.75" thickBot="1">
      <c r="A22">
        <v>21</v>
      </c>
      <c r="B22">
        <v>19</v>
      </c>
      <c r="C22" s="33" t="s">
        <v>147</v>
      </c>
      <c r="D22" s="5"/>
      <c r="H22" s="57" t="str">
        <f t="shared" si="1"/>
        <v>No especificado</v>
      </c>
      <c r="I22" s="35" t="s">
        <v>148</v>
      </c>
      <c r="J22" s="37" t="s">
        <v>105</v>
      </c>
      <c r="K22" s="37" t="s">
        <v>105</v>
      </c>
      <c r="L22" s="37" t="s">
        <v>149</v>
      </c>
      <c r="M22" s="37" t="s">
        <v>150</v>
      </c>
      <c r="N22" s="37" t="s">
        <v>105</v>
      </c>
      <c r="O22" s="37" t="s">
        <v>105</v>
      </c>
      <c r="P22" s="37" t="s">
        <v>105</v>
      </c>
      <c r="Q22" s="60" t="s">
        <v>151</v>
      </c>
      <c r="R22" s="37" t="s">
        <v>105</v>
      </c>
    </row>
    <row r="23" spans="1:18" ht="112.5" customHeight="1" thickBot="1">
      <c r="A23">
        <v>22</v>
      </c>
      <c r="B23">
        <v>20</v>
      </c>
      <c r="C23" s="53" t="s">
        <v>152</v>
      </c>
      <c r="D23" s="5" t="s">
        <v>153</v>
      </c>
      <c r="E23" s="34" t="str">
        <f>IF(D23="4.5 Semanas",H23,"")</f>
        <v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v>
      </c>
      <c r="F23" s="34" t="str">
        <f>IF(D23="9 Semanas",H23,"")</f>
        <v/>
      </c>
      <c r="G23" s="34" t="str">
        <f>IF(D23="18 Semanas",H23,"")</f>
        <v/>
      </c>
      <c r="H23" s="57" t="str">
        <f t="shared" si="1"/>
        <v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v>
      </c>
      <c r="I23" s="54" t="s">
        <v>154</v>
      </c>
      <c r="J23" s="72" t="s">
        <v>155</v>
      </c>
      <c r="K23" s="72" t="s">
        <v>156</v>
      </c>
      <c r="L23" s="72" t="s">
        <v>157</v>
      </c>
      <c r="M23" s="72" t="s">
        <v>158</v>
      </c>
      <c r="N23" s="72" t="s">
        <v>159</v>
      </c>
      <c r="O23" s="72" t="s">
        <v>160</v>
      </c>
      <c r="P23" s="72" t="s">
        <v>161</v>
      </c>
      <c r="Q23" s="73" t="s">
        <v>162</v>
      </c>
      <c r="R23" s="74" t="s">
        <v>163</v>
      </c>
    </row>
    <row r="24" spans="1:18" ht="27" thickBot="1">
      <c r="A24">
        <v>23</v>
      </c>
      <c r="B24">
        <v>21</v>
      </c>
      <c r="C24" s="33" t="s">
        <v>164</v>
      </c>
      <c r="D24" s="5"/>
      <c r="H24" s="57" t="str">
        <f t="shared" si="1"/>
        <v>Virtual</v>
      </c>
      <c r="I24" s="35" t="s">
        <v>165</v>
      </c>
      <c r="J24" s="37" t="s">
        <v>20</v>
      </c>
      <c r="K24" s="37" t="s">
        <v>20</v>
      </c>
      <c r="L24" s="37" t="s">
        <v>20</v>
      </c>
      <c r="M24" s="37" t="s">
        <v>166</v>
      </c>
      <c r="N24" s="37" t="s">
        <v>167</v>
      </c>
      <c r="O24" s="37" t="s">
        <v>20</v>
      </c>
      <c r="P24" s="37" t="s">
        <v>105</v>
      </c>
      <c r="Q24" s="60" t="s">
        <v>168</v>
      </c>
      <c r="R24" s="37" t="s">
        <v>105</v>
      </c>
    </row>
    <row r="25" spans="1:18" ht="179.25" thickBot="1">
      <c r="A25">
        <v>24</v>
      </c>
      <c r="B25">
        <v>22</v>
      </c>
      <c r="C25" s="33" t="s">
        <v>169</v>
      </c>
      <c r="D25" s="5" t="str">
        <f t="shared" ref="D25:D34" si="3">+H25</f>
        <v>Guía 1(20%), 2(20%), 3(30%), Foro(10%), Final(20%)</v>
      </c>
      <c r="H25" s="57" t="str">
        <f t="shared" si="1"/>
        <v>Guía 1(20%), 2(20%), 3(30%), Foro(10%), Final(20%)</v>
      </c>
      <c r="I25" s="54" t="s">
        <v>170</v>
      </c>
      <c r="J25" s="37" t="s">
        <v>171</v>
      </c>
      <c r="K25" s="37" t="s">
        <v>172</v>
      </c>
      <c r="L25" s="37" t="s">
        <v>171</v>
      </c>
      <c r="M25" s="37" t="s">
        <v>171</v>
      </c>
      <c r="N25" s="37" t="s">
        <v>171</v>
      </c>
      <c r="O25" s="37" t="s">
        <v>173</v>
      </c>
      <c r="P25" s="37" t="s">
        <v>105</v>
      </c>
      <c r="Q25" s="60" t="s">
        <v>105</v>
      </c>
      <c r="R25" s="37" t="s">
        <v>105</v>
      </c>
    </row>
    <row r="26" spans="1:18" ht="52.5" thickBot="1">
      <c r="A26">
        <v>25</v>
      </c>
      <c r="B26">
        <v>23</v>
      </c>
      <c r="C26" s="33" t="s">
        <v>52</v>
      </c>
      <c r="D26" s="5" t="str">
        <f t="shared" si="3"/>
        <v>Plataforma LMS, Excel</v>
      </c>
      <c r="H26" s="57" t="str">
        <f t="shared" si="1"/>
        <v>Plataforma LMS, Excel</v>
      </c>
      <c r="I26" s="35" t="s">
        <v>174</v>
      </c>
      <c r="J26" s="37" t="s">
        <v>175</v>
      </c>
      <c r="K26" s="37" t="s">
        <v>175</v>
      </c>
      <c r="L26" s="37" t="s">
        <v>175</v>
      </c>
      <c r="M26" s="37" t="s">
        <v>175</v>
      </c>
      <c r="N26" s="37" t="s">
        <v>176</v>
      </c>
      <c r="O26" s="37" t="s">
        <v>175</v>
      </c>
      <c r="P26" s="37" t="s">
        <v>175</v>
      </c>
      <c r="Q26" s="60" t="s">
        <v>177</v>
      </c>
      <c r="R26" s="37" t="s">
        <v>175</v>
      </c>
    </row>
    <row r="27" spans="1:18" ht="17.25" thickBot="1">
      <c r="A27">
        <v>26</v>
      </c>
      <c r="B27">
        <v>24</v>
      </c>
      <c r="C27" s="33" t="s">
        <v>178</v>
      </c>
      <c r="D27" s="5" t="str">
        <f t="shared" si="3"/>
        <v>Inglés</v>
      </c>
      <c r="H27" s="57" t="str">
        <f t="shared" si="1"/>
        <v>Inglés</v>
      </c>
      <c r="I27" s="37" t="s">
        <v>84</v>
      </c>
      <c r="J27" s="37" t="s">
        <v>84</v>
      </c>
      <c r="K27" s="37" t="s">
        <v>84</v>
      </c>
      <c r="L27" s="37" t="s">
        <v>84</v>
      </c>
      <c r="M27" s="37" t="s">
        <v>84</v>
      </c>
      <c r="N27" s="37" t="s">
        <v>84</v>
      </c>
      <c r="O27" s="37" t="s">
        <v>84</v>
      </c>
      <c r="P27" s="37" t="s">
        <v>84</v>
      </c>
      <c r="Q27" s="37" t="s">
        <v>84</v>
      </c>
      <c r="R27" s="37" t="s">
        <v>84</v>
      </c>
    </row>
    <row r="28" spans="1:18" ht="27" thickBot="1">
      <c r="A28">
        <v>27</v>
      </c>
      <c r="B28">
        <v>25</v>
      </c>
      <c r="C28" s="33" t="s">
        <v>54</v>
      </c>
      <c r="D28" s="42">
        <f t="shared" si="3"/>
        <v>0.2</v>
      </c>
      <c r="H28" s="57">
        <f t="shared" si="1"/>
        <v>0.2</v>
      </c>
      <c r="I28" s="38">
        <v>0.2</v>
      </c>
      <c r="J28" s="38">
        <v>0.2</v>
      </c>
      <c r="K28" s="38">
        <v>0.2</v>
      </c>
      <c r="L28" s="38">
        <v>0.2</v>
      </c>
      <c r="M28" s="38">
        <v>0.4</v>
      </c>
      <c r="N28" s="38">
        <v>0.3</v>
      </c>
      <c r="O28" s="38">
        <v>0.2</v>
      </c>
      <c r="P28" s="38">
        <v>0.2</v>
      </c>
      <c r="Q28" s="60" t="s">
        <v>105</v>
      </c>
      <c r="R28" s="38">
        <v>0.2</v>
      </c>
    </row>
    <row r="29" spans="1:18" ht="57" customHeight="1" thickBot="1">
      <c r="A29">
        <v>28</v>
      </c>
      <c r="B29">
        <v>26</v>
      </c>
      <c r="C29" s="33" t="s">
        <v>56</v>
      </c>
      <c r="D29" s="46" t="str">
        <f t="shared" si="3"/>
        <v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v>
      </c>
      <c r="E29" s="47" t="str">
        <f>CONCATENATE("Bibliografía Obligatoria",": ",D29)</f>
        <v xml:space="preserve">Bibliografía Obligatoria: 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v>
      </c>
      <c r="H29" s="57" t="str">
        <f t="shared" si="1"/>
        <v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v>
      </c>
      <c r="I29" s="54" t="s">
        <v>179</v>
      </c>
      <c r="J29" s="70" t="s">
        <v>180</v>
      </c>
      <c r="K29" s="70" t="s">
        <v>181</v>
      </c>
      <c r="L29" s="70" t="s">
        <v>182</v>
      </c>
      <c r="M29" s="70" t="s">
        <v>183</v>
      </c>
      <c r="N29" s="70" t="s">
        <v>184</v>
      </c>
      <c r="O29" s="70" t="s">
        <v>185</v>
      </c>
      <c r="P29" s="70" t="s">
        <v>186</v>
      </c>
      <c r="Q29" s="60" t="s">
        <v>187</v>
      </c>
      <c r="R29" s="54" t="s">
        <v>188</v>
      </c>
    </row>
    <row r="30" spans="1:18" ht="56.25" customHeight="1" thickBot="1">
      <c r="A30">
        <v>29</v>
      </c>
      <c r="B30">
        <v>27</v>
      </c>
      <c r="C30" s="33" t="s">
        <v>57</v>
      </c>
      <c r="D30" s="46" t="str">
        <f t="shared" si="3"/>
        <v>???</v>
      </c>
      <c r="E30" s="47" t="str">
        <f>CONCATENATE("Bibliografía Complementaria",": ",D30)</f>
        <v>Bibliografía Complementaria: ???</v>
      </c>
      <c r="H30" s="57" t="str">
        <f t="shared" si="1"/>
        <v>???</v>
      </c>
      <c r="I30" s="54" t="s">
        <v>189</v>
      </c>
      <c r="J30" s="70" t="s">
        <v>190</v>
      </c>
      <c r="K30" s="70" t="s">
        <v>190</v>
      </c>
      <c r="L30" s="70" t="s">
        <v>191</v>
      </c>
      <c r="M30" s="70" t="s">
        <v>192</v>
      </c>
      <c r="N30" s="70" t="s">
        <v>193</v>
      </c>
      <c r="O30" s="70" t="s">
        <v>194</v>
      </c>
      <c r="P30" s="70" t="s">
        <v>195</v>
      </c>
      <c r="Q30" s="60" t="s">
        <v>196</v>
      </c>
      <c r="R30" s="54" t="s">
        <v>190</v>
      </c>
    </row>
    <row r="31" spans="1:18" ht="27" thickBot="1">
      <c r="A31">
        <v>30</v>
      </c>
      <c r="B31">
        <v>28</v>
      </c>
      <c r="C31" s="33" t="s">
        <v>197</v>
      </c>
      <c r="D31" s="5">
        <f>+H31</f>
        <v>4</v>
      </c>
      <c r="H31" s="57">
        <f t="shared" si="1"/>
        <v>4</v>
      </c>
      <c r="I31" s="35">
        <v>1</v>
      </c>
      <c r="J31" s="36">
        <v>5</v>
      </c>
      <c r="K31" s="36">
        <v>4</v>
      </c>
      <c r="L31" s="37">
        <v>4</v>
      </c>
      <c r="M31" s="37">
        <v>4</v>
      </c>
      <c r="N31" s="37">
        <v>4</v>
      </c>
      <c r="O31" s="36">
        <v>5</v>
      </c>
      <c r="P31" s="37">
        <v>4</v>
      </c>
      <c r="Q31" s="60" t="s">
        <v>105</v>
      </c>
      <c r="R31" s="37">
        <v>4</v>
      </c>
    </row>
    <row r="32" spans="1:18" ht="17.25" thickBot="1">
      <c r="A32">
        <v>31</v>
      </c>
      <c r="B32">
        <v>29</v>
      </c>
      <c r="C32" s="33" t="s">
        <v>60</v>
      </c>
      <c r="D32" s="44">
        <f t="shared" si="3"/>
        <v>44940</v>
      </c>
      <c r="H32" s="57">
        <f t="shared" si="1"/>
        <v>44940</v>
      </c>
      <c r="I32" s="39">
        <v>45886</v>
      </c>
      <c r="J32" s="39">
        <v>45292</v>
      </c>
      <c r="K32" s="39">
        <v>44940</v>
      </c>
      <c r="L32" s="39">
        <v>44940</v>
      </c>
      <c r="M32" s="39">
        <v>44940</v>
      </c>
      <c r="N32" s="39">
        <v>44940</v>
      </c>
      <c r="O32" s="39">
        <v>45292</v>
      </c>
      <c r="P32" s="39">
        <v>44940</v>
      </c>
      <c r="Q32" s="39">
        <v>44940</v>
      </c>
      <c r="R32" s="39">
        <v>44940</v>
      </c>
    </row>
    <row r="33" spans="1:18" ht="27" thickBot="1">
      <c r="A33">
        <v>32</v>
      </c>
      <c r="B33">
        <v>30</v>
      </c>
      <c r="C33" s="33" t="s">
        <v>198</v>
      </c>
      <c r="D33" s="5" t="str">
        <f t="shared" si="3"/>
        <v>Natalia Zapata</v>
      </c>
      <c r="H33" s="57" t="str">
        <f t="shared" si="1"/>
        <v>Natalia Zapata</v>
      </c>
      <c r="I33" s="35" t="s">
        <v>199</v>
      </c>
      <c r="J33" s="37" t="s">
        <v>200</v>
      </c>
      <c r="K33" s="37" t="s">
        <v>200</v>
      </c>
      <c r="L33" s="37" t="s">
        <v>200</v>
      </c>
      <c r="M33" s="37" t="s">
        <v>200</v>
      </c>
      <c r="N33" s="37" t="s">
        <v>200</v>
      </c>
      <c r="O33" s="37" t="s">
        <v>201</v>
      </c>
      <c r="P33" s="37" t="s">
        <v>200</v>
      </c>
      <c r="Q33" s="37"/>
      <c r="R33" s="37" t="s">
        <v>200</v>
      </c>
    </row>
    <row r="34" spans="1:18" ht="27" thickBot="1">
      <c r="A34">
        <v>33</v>
      </c>
      <c r="B34">
        <v>31</v>
      </c>
      <c r="C34" s="33" t="s">
        <v>62</v>
      </c>
      <c r="D34" s="5" t="str">
        <f t="shared" si="3"/>
        <v>Pablo Ocampo</v>
      </c>
      <c r="H34" s="57" t="str">
        <f t="shared" si="1"/>
        <v>Pablo Ocampo</v>
      </c>
      <c r="I34" s="35" t="s">
        <v>199</v>
      </c>
      <c r="J34" s="37" t="s">
        <v>202</v>
      </c>
      <c r="K34" s="37" t="s">
        <v>202</v>
      </c>
      <c r="L34" s="37" t="s">
        <v>202</v>
      </c>
      <c r="M34" s="37" t="s">
        <v>202</v>
      </c>
      <c r="N34" s="37" t="s">
        <v>202</v>
      </c>
      <c r="O34" s="37" t="s">
        <v>200</v>
      </c>
      <c r="P34" s="37" t="s">
        <v>202</v>
      </c>
      <c r="Q34" s="37"/>
      <c r="R34" s="37" t="s">
        <v>202</v>
      </c>
    </row>
    <row r="35" spans="1:18" ht="27" thickBot="1">
      <c r="A35">
        <v>34</v>
      </c>
      <c r="B35">
        <v>32</v>
      </c>
      <c r="C35" s="33" t="s">
        <v>63</v>
      </c>
      <c r="D35" s="34" t="s">
        <v>203</v>
      </c>
      <c r="H35" s="57" t="str">
        <f t="shared" si="1"/>
        <v>Maribel Guevara</v>
      </c>
      <c r="I35" s="35" t="s">
        <v>204</v>
      </c>
      <c r="J35" s="37" t="s">
        <v>205</v>
      </c>
      <c r="K35" s="37" t="s">
        <v>205</v>
      </c>
      <c r="L35" s="37" t="s">
        <v>205</v>
      </c>
      <c r="M35" s="37" t="s">
        <v>205</v>
      </c>
      <c r="N35" s="37" t="s">
        <v>205</v>
      </c>
      <c r="O35" s="37" t="s">
        <v>205</v>
      </c>
      <c r="P35" s="37" t="s">
        <v>205</v>
      </c>
      <c r="Q35" s="37"/>
      <c r="R35" s="37" t="s">
        <v>205</v>
      </c>
    </row>
    <row r="36" spans="1:18" ht="27" thickBot="1">
      <c r="A36">
        <v>35</v>
      </c>
      <c r="B36">
        <v>33</v>
      </c>
      <c r="C36" s="33" t="s">
        <v>64</v>
      </c>
      <c r="D36" s="5" t="str">
        <f>+H36</f>
        <v>Revisión links</v>
      </c>
      <c r="H36" s="57" t="str">
        <f t="shared" si="1"/>
        <v>Revisión links</v>
      </c>
      <c r="I36" s="35" t="s">
        <v>206</v>
      </c>
      <c r="J36" s="37" t="s">
        <v>207</v>
      </c>
      <c r="K36" s="37" t="s">
        <v>208</v>
      </c>
      <c r="L36" s="35" t="s">
        <v>206</v>
      </c>
      <c r="M36" s="35" t="s">
        <v>206</v>
      </c>
      <c r="N36" s="35" t="s">
        <v>206</v>
      </c>
      <c r="O36" s="37" t="s">
        <v>207</v>
      </c>
      <c r="P36" s="35" t="s">
        <v>206</v>
      </c>
      <c r="Q36" s="35" t="s">
        <v>206</v>
      </c>
      <c r="R36" s="35" t="s">
        <v>206</v>
      </c>
    </row>
  </sheetData>
  <phoneticPr fontId="13" type="noConversion"/>
  <dataValidations count="1">
    <dataValidation type="list" allowBlank="1" showInputMessage="1" showErrorMessage="1" sqref="H2" xr:uid="{6B51C7FD-8EC8-4D10-B20E-1260E0B663BC}">
      <formula1>$I$2:$R$2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0" zoomScaleNormal="100" workbookViewId="0">
      <selection activeCell="B15" sqref="B15:I17"/>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209</v>
      </c>
    </row>
    <row r="3" spans="2:9" ht="20.25" customHeight="1">
      <c r="B3" s="87"/>
      <c r="C3" s="89"/>
      <c r="D3" s="89"/>
      <c r="E3" s="89"/>
      <c r="F3" s="89"/>
      <c r="G3" s="89"/>
      <c r="H3" s="89"/>
      <c r="I3" s="7" t="s">
        <v>2</v>
      </c>
    </row>
    <row r="4" spans="2:9" ht="21" customHeight="1" thickBot="1">
      <c r="B4" s="90" t="s">
        <v>3</v>
      </c>
      <c r="C4" s="91"/>
      <c r="D4" s="91"/>
      <c r="E4" s="91"/>
      <c r="F4" s="91"/>
      <c r="G4" s="91"/>
      <c r="H4" s="91"/>
      <c r="I4" s="8" t="s">
        <v>210</v>
      </c>
    </row>
    <row r="5" spans="2:9" ht="16.5" thickTop="1" thickBot="1">
      <c r="B5" s="115"/>
      <c r="C5" s="115"/>
      <c r="D5" s="115"/>
      <c r="E5" s="115"/>
      <c r="F5" s="115"/>
      <c r="G5" s="115"/>
      <c r="H5" s="115"/>
      <c r="I5" s="115"/>
    </row>
    <row r="6" spans="2:9">
      <c r="B6" s="116" t="s">
        <v>5</v>
      </c>
      <c r="C6" s="117"/>
      <c r="D6" s="117"/>
      <c r="E6" s="117"/>
      <c r="F6" s="117"/>
      <c r="G6" s="117"/>
      <c r="H6" s="117"/>
      <c r="I6" s="118"/>
    </row>
    <row r="7" spans="2:9" ht="60">
      <c r="B7" s="26" t="s">
        <v>6</v>
      </c>
      <c r="C7" s="1">
        <f>+Hoja1!D4</f>
        <v>2026</v>
      </c>
      <c r="D7" s="2" t="s">
        <v>7</v>
      </c>
      <c r="E7" s="48" t="str">
        <f>+Hoja1!D5</f>
        <v>MAVGCABOG001</v>
      </c>
      <c r="F7" s="2" t="s">
        <v>8</v>
      </c>
      <c r="G7" s="41" t="str">
        <f>+Hoja1!D6</f>
        <v>IFVN0001+</v>
      </c>
      <c r="H7" s="2" t="s">
        <v>9</v>
      </c>
      <c r="I7" s="27" t="str">
        <f>+Hoja1!D7</f>
        <v>Nuclear</v>
      </c>
    </row>
    <row r="8" spans="2:9" ht="30">
      <c r="B8" s="26" t="s">
        <v>211</v>
      </c>
      <c r="C8" s="3" t="s">
        <v>19</v>
      </c>
      <c r="D8" s="2" t="str">
        <f>+Hoja1!E15</f>
        <v/>
      </c>
      <c r="E8" s="3" t="s">
        <v>20</v>
      </c>
      <c r="F8" s="2" t="str">
        <f>+Hoja1!F15</f>
        <v>SI</v>
      </c>
      <c r="G8" s="2" t="s">
        <v>212</v>
      </c>
      <c r="H8" s="113"/>
      <c r="I8" s="114"/>
    </row>
    <row r="9" spans="2:9" ht="45">
      <c r="B9" s="28" t="s">
        <v>213</v>
      </c>
      <c r="C9" s="25" t="s">
        <v>214</v>
      </c>
      <c r="D9" s="3" t="s">
        <v>65</v>
      </c>
      <c r="E9" s="111" t="str">
        <f>+Hoja1!D9</f>
        <v>Mtr. Gerencia Cadena Abastecimiento</v>
      </c>
      <c r="F9" s="111"/>
      <c r="G9" s="2" t="s">
        <v>12</v>
      </c>
      <c r="H9" s="111" t="str">
        <f>+Hoja1!D10</f>
        <v>Gestión de Inventarios</v>
      </c>
      <c r="I9" s="112"/>
    </row>
    <row r="10" spans="2:9" ht="30.75" thickBot="1">
      <c r="B10" s="29" t="s">
        <v>13</v>
      </c>
      <c r="C10" s="31">
        <f>+Hoja1!D11</f>
        <v>3</v>
      </c>
      <c r="D10" s="30" t="s">
        <v>14</v>
      </c>
      <c r="E10" s="31">
        <f>+Hoja1!D12</f>
        <v>36</v>
      </c>
      <c r="F10" s="30" t="s">
        <v>15</v>
      </c>
      <c r="G10" s="31">
        <f>+Hoja1!D13</f>
        <v>108</v>
      </c>
      <c r="H10" s="30" t="s">
        <v>16</v>
      </c>
      <c r="I10" s="32">
        <f>E10+G10</f>
        <v>144</v>
      </c>
    </row>
    <row r="11" spans="2:9">
      <c r="B11" s="119" t="s">
        <v>215</v>
      </c>
      <c r="C11" s="120"/>
      <c r="D11" s="120"/>
      <c r="E11" s="120"/>
      <c r="F11" s="120"/>
      <c r="G11" s="120"/>
      <c r="H11" s="120"/>
      <c r="I11" s="121"/>
    </row>
    <row r="12" spans="2:9" ht="37.5" customHeight="1">
      <c r="B12" s="160" t="s">
        <v>216</v>
      </c>
      <c r="C12" s="81"/>
      <c r="D12" s="161" t="str">
        <f>+Hoja1!D17</f>
        <v>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v>
      </c>
      <c r="E12" s="162"/>
      <c r="F12" s="162"/>
      <c r="G12" s="162"/>
      <c r="H12" s="162"/>
      <c r="I12" s="163"/>
    </row>
    <row r="13" spans="2:9" ht="39" customHeight="1">
      <c r="B13" s="158" t="s">
        <v>217</v>
      </c>
      <c r="C13" s="159"/>
      <c r="D13" s="161" t="s">
        <v>218</v>
      </c>
      <c r="E13" s="162"/>
      <c r="F13" s="162"/>
      <c r="G13" s="162"/>
      <c r="H13" s="162"/>
      <c r="I13" s="163"/>
    </row>
    <row r="14" spans="2:9">
      <c r="B14" s="119" t="s">
        <v>219</v>
      </c>
      <c r="C14" s="120"/>
      <c r="D14" s="120"/>
      <c r="E14" s="120"/>
      <c r="F14" s="120"/>
      <c r="G14" s="120"/>
      <c r="H14" s="120"/>
      <c r="I14" s="121"/>
    </row>
    <row r="15" spans="2:9">
      <c r="B15" s="122" t="s">
        <v>220</v>
      </c>
      <c r="C15" s="84"/>
      <c r="D15" s="84"/>
      <c r="E15" s="84"/>
      <c r="F15" s="84"/>
      <c r="G15" s="84"/>
      <c r="H15" s="84"/>
      <c r="I15" s="123"/>
    </row>
    <row r="16" spans="2:9">
      <c r="B16" s="122"/>
      <c r="C16" s="84"/>
      <c r="D16" s="84"/>
      <c r="E16" s="84"/>
      <c r="F16" s="84"/>
      <c r="G16" s="84"/>
      <c r="H16" s="84"/>
      <c r="I16" s="123"/>
    </row>
    <row r="17" spans="2:9" ht="15.75" thickBot="1">
      <c r="B17" s="124"/>
      <c r="C17" s="125"/>
      <c r="D17" s="125"/>
      <c r="E17" s="125"/>
      <c r="F17" s="125"/>
      <c r="G17" s="125"/>
      <c r="H17" s="125"/>
      <c r="I17" s="126"/>
    </row>
    <row r="18" spans="2:9" ht="15.75" thickBot="1">
      <c r="B18" s="142" t="s">
        <v>221</v>
      </c>
      <c r="C18" s="143"/>
      <c r="D18" s="143"/>
      <c r="E18" s="143"/>
      <c r="F18" s="143"/>
      <c r="G18" s="143"/>
      <c r="H18" s="143"/>
      <c r="I18" s="144"/>
    </row>
    <row r="19" spans="2:9">
      <c r="B19" s="17" t="s">
        <v>222</v>
      </c>
      <c r="C19" s="18" t="s">
        <v>153</v>
      </c>
      <c r="D19" s="17" t="s">
        <v>223</v>
      </c>
      <c r="E19" s="147" t="s">
        <v>224</v>
      </c>
      <c r="F19" s="148"/>
      <c r="G19" s="19" t="s">
        <v>225</v>
      </c>
      <c r="H19" s="145" t="s">
        <v>226</v>
      </c>
      <c r="I19" s="146"/>
    </row>
    <row r="20" spans="2:9">
      <c r="B20" s="136" t="str">
        <f>+Hoja1!E23</f>
        <v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v>
      </c>
      <c r="C20" s="137"/>
      <c r="D20" s="127" t="str">
        <f>+Hoja1!F23</f>
        <v/>
      </c>
      <c r="E20" s="128"/>
      <c r="F20" s="129"/>
      <c r="G20" s="149" t="str">
        <f>+Hoja1!G23</f>
        <v/>
      </c>
      <c r="H20" s="150"/>
      <c r="I20" s="151"/>
    </row>
    <row r="21" spans="2:9">
      <c r="B21" s="138"/>
      <c r="C21" s="139"/>
      <c r="D21" s="130"/>
      <c r="E21" s="131"/>
      <c r="F21" s="132"/>
      <c r="G21" s="152"/>
      <c r="H21" s="153"/>
      <c r="I21" s="154"/>
    </row>
    <row r="22" spans="2:9">
      <c r="B22" s="138"/>
      <c r="C22" s="139"/>
      <c r="D22" s="130"/>
      <c r="E22" s="131"/>
      <c r="F22" s="132"/>
      <c r="G22" s="152"/>
      <c r="H22" s="153"/>
      <c r="I22" s="154"/>
    </row>
    <row r="23" spans="2:9">
      <c r="B23" s="138"/>
      <c r="C23" s="139"/>
      <c r="D23" s="130"/>
      <c r="E23" s="131"/>
      <c r="F23" s="132"/>
      <c r="G23" s="152"/>
      <c r="H23" s="153"/>
      <c r="I23" s="154"/>
    </row>
    <row r="24" spans="2:9">
      <c r="B24" s="138"/>
      <c r="C24" s="139"/>
      <c r="D24" s="130"/>
      <c r="E24" s="131"/>
      <c r="F24" s="132"/>
      <c r="G24" s="152"/>
      <c r="H24" s="153"/>
      <c r="I24" s="154"/>
    </row>
    <row r="25" spans="2:9">
      <c r="B25" s="138"/>
      <c r="C25" s="139"/>
      <c r="D25" s="130"/>
      <c r="E25" s="131"/>
      <c r="F25" s="132"/>
      <c r="G25" s="152"/>
      <c r="H25" s="153"/>
      <c r="I25" s="154"/>
    </row>
    <row r="26" spans="2:9" ht="40.5" customHeight="1" thickBot="1">
      <c r="B26" s="140"/>
      <c r="C26" s="141"/>
      <c r="D26" s="133"/>
      <c r="E26" s="134"/>
      <c r="F26" s="135"/>
      <c r="G26" s="155"/>
      <c r="H26" s="156"/>
      <c r="I26" s="157"/>
    </row>
    <row r="27" spans="2:9" ht="15.75" thickBot="1">
      <c r="B27" s="167" t="s">
        <v>227</v>
      </c>
      <c r="C27" s="168"/>
      <c r="D27" s="168"/>
      <c r="E27" s="168"/>
      <c r="F27" s="168"/>
      <c r="G27" s="168"/>
      <c r="H27" s="168"/>
      <c r="I27" s="169"/>
    </row>
    <row r="28" spans="2:9" ht="14.45" customHeight="1">
      <c r="B28" s="179" t="str">
        <f>+Hoja1!D25</f>
        <v>Guía 1(20%), 2(20%), 3(30%), Foro(10%), Final(20%)</v>
      </c>
      <c r="C28" s="180"/>
      <c r="D28" s="180"/>
      <c r="E28" s="180"/>
      <c r="F28" s="180"/>
      <c r="G28" s="180"/>
      <c r="H28" s="180"/>
      <c r="I28" s="181"/>
    </row>
    <row r="29" spans="2:9">
      <c r="B29" s="182"/>
      <c r="C29" s="183"/>
      <c r="D29" s="183"/>
      <c r="E29" s="183"/>
      <c r="F29" s="183"/>
      <c r="G29" s="183"/>
      <c r="H29" s="183"/>
      <c r="I29" s="184"/>
    </row>
    <row r="30" spans="2:9">
      <c r="B30" s="182"/>
      <c r="C30" s="183"/>
      <c r="D30" s="183"/>
      <c r="E30" s="183"/>
      <c r="F30" s="183"/>
      <c r="G30" s="183"/>
      <c r="H30" s="183"/>
      <c r="I30" s="184"/>
    </row>
    <row r="31" spans="2:9">
      <c r="B31" s="182"/>
      <c r="C31" s="183"/>
      <c r="D31" s="183"/>
      <c r="E31" s="183"/>
      <c r="F31" s="183"/>
      <c r="G31" s="183"/>
      <c r="H31" s="183"/>
      <c r="I31" s="184"/>
    </row>
    <row r="32" spans="2:9" ht="15.75" thickBot="1">
      <c r="B32" s="185"/>
      <c r="C32" s="186"/>
      <c r="D32" s="186"/>
      <c r="E32" s="186"/>
      <c r="F32" s="186"/>
      <c r="G32" s="186"/>
      <c r="H32" s="186"/>
      <c r="I32" s="187"/>
    </row>
    <row r="33" spans="2:9" ht="34.5" customHeight="1" thickBot="1">
      <c r="B33" s="173" t="s">
        <v>228</v>
      </c>
      <c r="C33" s="174"/>
      <c r="D33" s="174"/>
      <c r="E33" s="175"/>
      <c r="F33" s="176" t="str">
        <f>+Hoja1!D26</f>
        <v>Plataforma LMS, Excel</v>
      </c>
      <c r="G33" s="177"/>
      <c r="H33" s="177"/>
      <c r="I33" s="178"/>
    </row>
    <row r="34" spans="2:9" ht="15.75" thickBot="1">
      <c r="B34" s="170" t="s">
        <v>229</v>
      </c>
      <c r="C34" s="171"/>
      <c r="D34" s="171"/>
      <c r="E34" s="171"/>
      <c r="F34" s="172" t="s">
        <v>84</v>
      </c>
      <c r="G34" s="172"/>
      <c r="H34" s="20" t="s">
        <v>54</v>
      </c>
      <c r="I34" s="43">
        <f>+Hoja1!D28</f>
        <v>0.2</v>
      </c>
    </row>
    <row r="35" spans="2:9">
      <c r="B35" s="119" t="s">
        <v>230</v>
      </c>
      <c r="C35" s="120"/>
      <c r="D35" s="120"/>
      <c r="E35" s="120"/>
      <c r="F35" s="120"/>
      <c r="G35" s="120"/>
      <c r="H35" s="120"/>
      <c r="I35" s="121"/>
    </row>
    <row r="36" spans="2:9" ht="14.45" customHeight="1">
      <c r="B36" s="188" t="str">
        <f>+Hoja1!E29</f>
        <v xml:space="preserve">Bibliografía Obligatoria: 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v>
      </c>
      <c r="C36" s="189"/>
      <c r="D36" s="189"/>
      <c r="E36" s="190"/>
      <c r="F36" s="197" t="str">
        <f>+Hoja1!E30</f>
        <v>Bibliografía Complementaria: ???</v>
      </c>
      <c r="G36" s="189"/>
      <c r="H36" s="189"/>
      <c r="I36" s="198"/>
    </row>
    <row r="37" spans="2:9">
      <c r="B37" s="191"/>
      <c r="C37" s="192"/>
      <c r="D37" s="192"/>
      <c r="E37" s="193"/>
      <c r="F37" s="199"/>
      <c r="G37" s="192"/>
      <c r="H37" s="192"/>
      <c r="I37" s="200"/>
    </row>
    <row r="38" spans="2:9">
      <c r="B38" s="191"/>
      <c r="C38" s="192"/>
      <c r="D38" s="192"/>
      <c r="E38" s="193"/>
      <c r="F38" s="199"/>
      <c r="G38" s="192"/>
      <c r="H38" s="192"/>
      <c r="I38" s="200"/>
    </row>
    <row r="39" spans="2:9">
      <c r="B39" s="191"/>
      <c r="C39" s="192"/>
      <c r="D39" s="192"/>
      <c r="E39" s="193"/>
      <c r="F39" s="199"/>
      <c r="G39" s="192"/>
      <c r="H39" s="192"/>
      <c r="I39" s="200"/>
    </row>
    <row r="40" spans="2:9">
      <c r="B40" s="191"/>
      <c r="C40" s="192"/>
      <c r="D40" s="192"/>
      <c r="E40" s="193"/>
      <c r="F40" s="199"/>
      <c r="G40" s="192"/>
      <c r="H40" s="192"/>
      <c r="I40" s="200"/>
    </row>
    <row r="41" spans="2:9">
      <c r="B41" s="191"/>
      <c r="C41" s="192"/>
      <c r="D41" s="192"/>
      <c r="E41" s="193"/>
      <c r="F41" s="199"/>
      <c r="G41" s="192"/>
      <c r="H41" s="192"/>
      <c r="I41" s="200"/>
    </row>
    <row r="42" spans="2:9" ht="15.75" thickBot="1">
      <c r="B42" s="194"/>
      <c r="C42" s="195"/>
      <c r="D42" s="195"/>
      <c r="E42" s="196"/>
      <c r="F42" s="201"/>
      <c r="G42" s="195"/>
      <c r="H42" s="195"/>
      <c r="I42" s="202"/>
    </row>
    <row r="43" spans="2:9">
      <c r="B43" s="119" t="s">
        <v>231</v>
      </c>
      <c r="C43" s="120"/>
      <c r="D43" s="120"/>
      <c r="E43" s="120"/>
      <c r="F43" s="120"/>
      <c r="G43" s="120"/>
      <c r="H43" s="120"/>
      <c r="I43" s="121"/>
    </row>
    <row r="44" spans="2:9">
      <c r="B44" s="21" t="s">
        <v>59</v>
      </c>
      <c r="C44" s="9" t="s">
        <v>60</v>
      </c>
      <c r="D44" s="9" t="s">
        <v>198</v>
      </c>
      <c r="E44" s="9" t="s">
        <v>62</v>
      </c>
      <c r="F44" s="9" t="s">
        <v>63</v>
      </c>
      <c r="G44" s="79" t="s">
        <v>64</v>
      </c>
      <c r="H44" s="79"/>
      <c r="I44" s="164"/>
    </row>
    <row r="45" spans="2:9" ht="24.75">
      <c r="B45" s="50">
        <f>+Hoja1!D31</f>
        <v>4</v>
      </c>
      <c r="C45" s="51">
        <f>+Hoja1!D32</f>
        <v>44940</v>
      </c>
      <c r="D45" s="52" t="str">
        <f>+Hoja1!D33</f>
        <v>Natalia Zapata</v>
      </c>
      <c r="E45" s="52" t="str">
        <f>+Hoja1!D34</f>
        <v>Pablo Ocampo</v>
      </c>
      <c r="F45" s="52" t="str">
        <f>+Hoja1!D35</f>
        <v>Jose Divitt Velosa</v>
      </c>
      <c r="G45" s="165" t="str">
        <f>+Hoja1!D36</f>
        <v>Revisión links</v>
      </c>
      <c r="H45" s="165"/>
      <c r="I45" s="166"/>
    </row>
    <row r="46" spans="2:9">
      <c r="B46" s="22"/>
      <c r="C46" s="10"/>
      <c r="D46" s="10"/>
      <c r="E46" s="10"/>
      <c r="F46" s="10"/>
      <c r="G46" s="84"/>
      <c r="H46" s="84"/>
      <c r="I46" s="123"/>
    </row>
    <row r="47" spans="2:9">
      <c r="B47" s="22"/>
      <c r="C47" s="10"/>
      <c r="D47" s="10"/>
      <c r="E47" s="10"/>
      <c r="F47" s="10"/>
      <c r="G47" s="84"/>
      <c r="H47" s="84"/>
      <c r="I47" s="123"/>
    </row>
    <row r="48" spans="2:9">
      <c r="B48" s="22"/>
      <c r="C48" s="10"/>
      <c r="D48" s="10"/>
      <c r="E48" s="10"/>
      <c r="F48" s="10"/>
      <c r="G48" s="84"/>
      <c r="H48" s="84"/>
      <c r="I48" s="123"/>
    </row>
    <row r="49" spans="2:9">
      <c r="B49" s="22"/>
      <c r="C49" s="10"/>
      <c r="D49" s="10"/>
      <c r="E49" s="10"/>
      <c r="F49" s="10"/>
      <c r="G49" s="84"/>
      <c r="H49" s="84"/>
      <c r="I49" s="123"/>
    </row>
    <row r="50" spans="2:9" ht="15.75" thickBot="1">
      <c r="B50" s="23"/>
      <c r="C50" s="24"/>
      <c r="D50" s="24"/>
      <c r="E50" s="24"/>
      <c r="F50" s="24"/>
      <c r="G50" s="203"/>
      <c r="H50" s="203"/>
      <c r="I50" s="20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107</v>
      </c>
      <c r="B1" s="11" t="s">
        <v>232</v>
      </c>
      <c r="C1" s="11">
        <v>2</v>
      </c>
      <c r="D1" s="11">
        <v>36</v>
      </c>
      <c r="E1" s="11">
        <v>60</v>
      </c>
      <c r="F1" s="11" t="s">
        <v>84</v>
      </c>
      <c r="G1" s="13">
        <v>0.1</v>
      </c>
      <c r="H1" s="11" t="s">
        <v>233</v>
      </c>
    </row>
    <row r="2" spans="1:8">
      <c r="A2" s="11" t="s">
        <v>234</v>
      </c>
      <c r="B2" s="11" t="s">
        <v>235</v>
      </c>
      <c r="C2" s="11">
        <v>3</v>
      </c>
      <c r="D2" s="11">
        <v>54</v>
      </c>
      <c r="E2" s="11">
        <v>90</v>
      </c>
      <c r="F2" s="11" t="s">
        <v>236</v>
      </c>
      <c r="G2" s="13">
        <v>0.2</v>
      </c>
      <c r="H2" s="11" t="s">
        <v>214</v>
      </c>
    </row>
    <row r="3" spans="1:8">
      <c r="A3" s="11" t="s">
        <v>108</v>
      </c>
      <c r="B3" s="11" t="s">
        <v>237</v>
      </c>
      <c r="C3" s="11">
        <v>4</v>
      </c>
      <c r="D3" s="11">
        <v>72</v>
      </c>
      <c r="E3" s="11">
        <v>120</v>
      </c>
      <c r="F3" s="11" t="s">
        <v>238</v>
      </c>
      <c r="G3" s="13">
        <v>0.3</v>
      </c>
    </row>
    <row r="4" spans="1:8">
      <c r="A4" s="11" t="s">
        <v>239</v>
      </c>
      <c r="B4" s="11" t="s">
        <v>240</v>
      </c>
      <c r="C4" s="11">
        <v>5</v>
      </c>
      <c r="D4" s="11">
        <v>90</v>
      </c>
      <c r="E4" s="11">
        <v>102</v>
      </c>
      <c r="F4" s="11" t="s">
        <v>241</v>
      </c>
      <c r="G4" s="13">
        <v>0.4</v>
      </c>
    </row>
    <row r="5" spans="1:8">
      <c r="A5" s="11" t="s">
        <v>242</v>
      </c>
      <c r="B5" s="11" t="s">
        <v>243</v>
      </c>
      <c r="C5" s="11">
        <v>6</v>
      </c>
      <c r="D5" s="11">
        <v>90</v>
      </c>
      <c r="E5" s="11">
        <v>150</v>
      </c>
      <c r="F5" s="11" t="s">
        <v>244</v>
      </c>
      <c r="G5" s="13">
        <v>0.5</v>
      </c>
    </row>
    <row r="6" spans="1:8">
      <c r="B6" s="11" t="s">
        <v>245</v>
      </c>
      <c r="C6" s="11">
        <v>8</v>
      </c>
      <c r="D6" s="11">
        <v>108</v>
      </c>
      <c r="E6" s="11">
        <v>180</v>
      </c>
      <c r="G6" s="13">
        <v>0.6</v>
      </c>
    </row>
    <row r="7" spans="1:8">
      <c r="B7" s="11" t="s">
        <v>246</v>
      </c>
      <c r="D7" s="11">
        <v>144</v>
      </c>
      <c r="E7" s="11">
        <v>240</v>
      </c>
      <c r="G7" s="13">
        <v>0.7</v>
      </c>
    </row>
    <row r="8" spans="1:8">
      <c r="B8" s="11" t="s">
        <v>247</v>
      </c>
      <c r="D8" s="11">
        <v>32</v>
      </c>
      <c r="E8" s="11">
        <v>64</v>
      </c>
      <c r="G8" s="13">
        <v>0.8</v>
      </c>
    </row>
    <row r="9" spans="1:8">
      <c r="B9" s="11" t="s">
        <v>248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2026-02-21T15:29:24Z</dcterms:modified>
  <cp:category/>
  <cp:contentStatus/>
</cp:coreProperties>
</file>