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https://universidadeaneduco-my.sharepoint.com/personal/dvargas_universidadean_edu_co/Documents/Documentos/"/>
    </mc:Choice>
  </mc:AlternateContent>
  <xr:revisionPtr revIDLastSave="44" documentId="14_{FEA9AAFA-D636-45F1-8A6D-7A77EA9AC914}" xr6:coauthVersionLast="47" xr6:coauthVersionMax="47" xr10:uidLastSave="{C516526E-82E9-4CFB-8DB4-9574DA1F53B6}"/>
  <bookViews>
    <workbookView xWindow="-110" yWindow="-110" windowWidth="19420" windowHeight="10300" firstSheet="3" activeTab="3" xr2:uid="{79C19C23-9E31-446A-A15A-4EB9549A8DE9}"/>
  </bookViews>
  <sheets>
    <sheet name="Formato Syllabus" sheetId="1" state="hidden" r:id="rId1"/>
    <sheet name="Formato Syllabus_NV" sheetId="3" state="hidden" r:id="rId2"/>
    <sheet name="Data" sheetId="5" r:id="rId3"/>
    <sheet name="Formato Syllabus_NV (2)" sheetId="4" r:id="rId4"/>
    <sheet name="Parámetros" sheetId="2" r:id="rId5"/>
  </sheets>
  <definedNames>
    <definedName name="_xlnm._FilterDatabase" localSheetId="2" hidden="1">Data!$A$1:$AP$30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5" l="1"/>
  <c r="A32" i="5"/>
  <c r="A33" i="5"/>
  <c r="A34" i="5"/>
  <c r="L33" i="5"/>
  <c r="J32" i="5"/>
  <c r="J31" i="5"/>
  <c r="J30" i="5"/>
  <c r="L18" i="5"/>
  <c r="L17" i="5"/>
  <c r="L13" i="5"/>
  <c r="J4" i="5"/>
  <c r="J3" i="5"/>
  <c r="J2" i="5"/>
  <c r="K2" i="4" l="1"/>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F37" i="4" l="1"/>
  <c r="B37" i="4"/>
  <c r="F33" i="4"/>
  <c r="B30" i="4"/>
  <c r="D20" i="4"/>
  <c r="D13" i="4"/>
  <c r="D12" i="4"/>
  <c r="G10" i="4"/>
  <c r="E10" i="4"/>
  <c r="C10" i="4"/>
  <c r="I7" i="4"/>
  <c r="G7" i="4"/>
  <c r="E7" i="4"/>
  <c r="C7" i="4"/>
  <c r="I34" i="4"/>
  <c r="F34" i="4"/>
  <c r="I10" i="4" l="1"/>
  <c r="I9" i="3" l="1"/>
  <c r="I9" i="1"/>
</calcChain>
</file>

<file path=xl/sharedStrings.xml><?xml version="1.0" encoding="utf-8"?>
<sst xmlns="http://schemas.openxmlformats.org/spreadsheetml/2006/main" count="1233" uniqueCount="587">
  <si>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</si>
  <si>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</si>
  <si>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</si>
  <si>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</si>
  <si>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</si>
  <si>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</si>
  <si>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</si>
  <si>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</si>
  <si>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</si>
  <si>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</si>
  <si>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</si>
  <si>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</si>
  <si>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</si>
  <si>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</si>
  <si>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</si>
  <si>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</si>
  <si>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</si>
  <si>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</si>
  <si>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</si>
  <si>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</si>
  <si>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</si>
  <si>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</si>
  <si>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</si>
  <si>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</si>
  <si>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</si>
  <si>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</si>
  <si>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</si>
  <si>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</si>
  <si>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</si>
  <si>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</si>
  <si>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</si>
  <si>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</si>
  <si>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</si>
  <si>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</si>
  <si>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</si>
  <si>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</si>
  <si>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</si>
  <si>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</si>
  <si>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</si>
  <si>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</si>
  <si>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</si>
  <si>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</si>
  <si>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</si>
  <si>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</si>
  <si>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</si>
  <si>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</si>
  <si>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</si>
  <si>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</si>
  <si>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</si>
  <si>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</si>
  <si>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</si>
  <si>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</si>
  <si>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</si>
  <si>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</si>
  <si>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</si>
  <si>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</si>
  <si>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</si>
  <si>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</si>
  <si>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</si>
  <si>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</si>
  <si>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</si>
  <si>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</si>
  <si>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</si>
  <si>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</si>
  <si>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</si>
  <si>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</si>
  <si>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</si>
  <si>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</si>
  <si>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</si>
  <si>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</si>
  <si>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</si>
  <si>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</si>
  <si>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</si>
  <si>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</si>
  <si>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</si>
  <si>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</si>
  <si>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</si>
  <si>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</si>
  <si>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</si>
  <si>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</si>
  <si>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</si>
  <si>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</si>
  <si>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</si>
  <si>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</si>
  <si>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</si>
  <si>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Llave</t>
  </si>
  <si>
    <t>AÑO</t>
  </si>
  <si>
    <t>CO</t>
  </si>
  <si>
    <t>AU</t>
  </si>
  <si>
    <t>Esquema de Calificación:</t>
  </si>
  <si>
    <t>Bibliografia Complementaria</t>
  </si>
  <si>
    <t>VFV00001</t>
  </si>
  <si>
    <t>TRANSVERSALES SERVICIO PREGRADO VIRTUAL</t>
  </si>
  <si>
    <t>FAFCE</t>
  </si>
  <si>
    <t>MERCADEO</t>
  </si>
  <si>
    <t>IDIOMA I</t>
  </si>
  <si>
    <t>VIRTUAL</t>
  </si>
  <si>
    <t xml:space="preserve">Interpretar datos de mercado y de los consumidores teniendo en cuenta  metodologías de análisis, eficacia y rentabilidad empresarial siendo coherentes con los objetivos de la organización. Desarrollar estrategias de mercadeo integrales  con base en  en el análisis de mercado, tendencias, y comportamiento del consumidor para una mayor visibilidad y posicionamiento de las marcas en entornos competitivos. Diseñar estrategias de branding y creación de marcas con propósito  a través   de la generación de contenido atractivo  que resuene con diversas audiencias y se alinee con los principios de mercadeo sostenible. Aplicar  el pensamiento creativo e innovador en el desarrollo de estrategias de mercadeo mediante campañas publicitarias originales, productos innovadores, y estrategias disruptivas,  con segmentación de audiencias y alianzas estratégicas para el éxito empresarial. </t>
  </si>
  <si>
    <t>Analiza datos de mercado y comportamiento de los consumidores  a partir  del uso de metodologías, lineamientos de eficacia y rentabilidad, enfocados en los objetivos organizacionales. Formula estrategias basadas en la comprensión del mercado  mediante el estudio del mercado para el posicionamiento y reconocimiento de las marcas. Diseña  marcas con propósito y planes de comunicación  con base en en las diferentes audiencias teniendo en cuenta los principios de sostenibilidad. Desarrolla campañas publicitarias, productos innovadores y estrategias disruptivas con base en el crecimiento organizacional del mercado  a partir  de la creación de alianzas estratégicas, la segmentación de audiencias y el pensamiento creativo e innovador. Integra principios éticos sostenibles y de responsabilidad social en las estrategias de mercadeo  teniendo en cuenta la proposición de acciones encaminadas a la creación de valor compartido y la integridad organizacional. Planifica  el desarrollo de sitios web y aplicaciones digitales  a través  del uso de herramientas y técnicas avanzadas de diseño y desarrollo web</t>
  </si>
  <si>
    <t>Oral production: Can give simple descriptions and presentations with
appropriate highlighting of significant points.</t>
  </si>
  <si>
    <t>Written production: Can write clear texts on subjects related to work,
study, nature, and food</t>
  </si>
  <si>
    <t>Oral interaction: Can interact with some confidence on familiar routines
provided time to prepare is given.</t>
  </si>
  <si>
    <t>Written interaction: Can post a comprehensible contribution in anonline 
discussion on a familiar topic of interest, if he/she can prepare the text 
beforehand and use online tools to fill gaps in language and check
accuracy.</t>
  </si>
  <si>
    <t>X</t>
  </si>
  <si>
    <t>Reasoning, analysis and summarizing • Self-planning, arranging and
evaluating • Grouping, associating and imagery • Guessing and switching
to L1 • Using music, laughter or meditation • Understanding other points
of view • Self-management, self-monitoring and self-evaluation •
Cooperation</t>
  </si>
  <si>
    <t>Cambridge Dictionary. (2023). Cambridge dictionary online . Cambridge Dictionary.</t>
  </si>
  <si>
    <t>VFV00002</t>
  </si>
  <si>
    <t>IDIOMA II</t>
  </si>
  <si>
    <t>IDIOMA II is a course that has been designed to provide students with the necessary tools to incorporate into their own knowledge the linguistic competence to appropriately communicate at an Intermediate level.  In this level, students will apply general previous knowledge in conversations and written texts in which they will provide and exchange information related to business topics.</t>
  </si>
  <si>
    <t>Proficiently demonstrates command of the English language under the CEFR standards with a B1 level in the skills of listening comprehension, oral production, reading comprehension and written production in sociocultural, organizational and technological contexts of a formal and informal nature within an ethical, humanistic, investigative and sustainable framework.</t>
  </si>
  <si>
    <t xml:space="preserve">Develop effective communicative strategies to communicate in a business context at an A2+/B1 level. </t>
  </si>
  <si>
    <t>Elaborate expository and argumentative written texts with a suitable structure according to the level.</t>
  </si>
  <si>
    <t>Integrate basic communicative functions in spoken oral interaction for an effective exchange of ideas.</t>
  </si>
  <si>
    <t>Plan on the use of communicative strategies as well as technological resources effectively.</t>
  </si>
  <si>
    <t>Personality types
Question formation
Describing the present
Narrating a biography
Linking past and present events
Describing one’s job
Writing a cover letter
Describing jobs and workplaces
Discussing education
Basic formal writing conventions
Describing an advertising campaign
Writing an opinion essay
Hypothetising on the promotion of a product</t>
  </si>
  <si>
    <t xml:space="preserve">Online activities for autonomous practice 
Online Learning Objects in the Learning Environment
Assignment of activities and tests in MyEnglishLab
Group interactions in tutoring sessions
Writing workshops in tutoring sessions
Written and oral comprehension challenges in tutoring sessions
Vocabulary and grammar tasks challenges in tutoring sessions
</t>
  </si>
  <si>
    <t>Learning Guideline 1 (15%)
Learning Guideline 2 (15%) 
Learning Guideline 3 (15%)
Discussion Forum: Education (5%)
MyEnglishLab Activities Units 1-6 (15%)
MyEnglishLab Tests – Units 1-6 (10%)
Final Meeting / Untimely Test (25%)</t>
  </si>
  <si>
    <t>Learning Environment - Virtual Room Idioma II 
MyEnglishLab – direct Access from Canvas
eText – New Language Leader Intermediate
Suggested resources online</t>
  </si>
  <si>
    <t xml:space="preserve">Online Textbook:   Cotton, D., Falvey, D., &amp; Kent, S. (2013). New Language Leader Intermediate. Essex: Pearson Education Limited.     Websites:  Online Dictionaries:    1. The Free dictionary https://www.thefreedictionary.com/    2. Cambridge dictionary https://dictionary.cambridge.org/es/   3. Merriam Webster https://www.merriam-webster.com/    4. Collins (diccionario español-inglés) https://diccionario.reverso.net/espanol-ingles/    5. BusinessDictionary http://www.businessdictionary.com/    6. allBusiness https://www.allbusiness.com/barrons_dictionary    </t>
  </si>
  <si>
    <t>Reference books:
Hancock, M. (2005). English Pronunciation in Use Intermediate. Cambridge: Cambridge University Press.
Mascull, B. (2010). Business Vocabulary in Use : Intermediate .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Intermediate (Vol. 2nd). Cambridge: Cambridge University Press.
Smalzer, W. R., &amp; Murphy, R. (2003). Grammar in Use: workbook. Cambridge: Cambridge University Press.
Free resources
British Council 
1. Intermediate grammar. Retrieved from
http://learnenglishteens.britishcouncil.org/grammar/intermediate-grammar
2. Reading. Intermediate B1 level. Retrieved from http://learnenglishteens.britishcouncil.org/skills/reading/intermediate-b1-reading  
3. Listening. Intermediate B1 level. Retrieved from 
http://learnenglishteens.britishcouncil.org/skills/listening/intermediate-b1-listening 
4. Writing Intermediate B1 level. Retrieved from 
http://learnenglishteens.britishcouncil.org/skills/writing/intermediate-B1-writing 
ESL video.com
Listening. Intermediate level
https://www.eslvideo.com/quizzes_intermediate
DATABASE RESOURCES (https://login.bdbiblioteca.universidadean.edu.co/)
Ragan, M. (2009). Mental Health. Mental Health (ELL), 1–2. Retrieved from https://search-ebscohost-com.bdbiblioteca.universidadean.edu.co/login.aspx?direct=true&amp;db=elr&amp;AN=33514475&amp;site=ell-live
Leeming, S. J. (2009). Jane Goodall, 1934-. Jane Goodall (ELL), 1–3. Retrieved from https://search-ebscohost-</t>
  </si>
  <si>
    <t>VFV00003</t>
  </si>
  <si>
    <t>IDIOMA III</t>
  </si>
  <si>
    <t>The course aims to help students understand and get familiar with the IELTS exam format, structure and the strategies,
so that, when taking the test, they can achieve the B1 level (or above) in the overall score, in accordance with the scale
of the Common European Framework of Reference for Languages (CEFR).</t>
  </si>
  <si>
    <t>Demonstrates proficient command of the
English language under the CEFR standards
with a scope of B1.1 in the skills of listening
comprehension, oral production, reading
comprehension and written production in
sociocultural, organizational and technological
contexts of a formal and informal nature within
a ethical-humanistic and investigative and
sustainable framework.</t>
  </si>
  <si>
    <t>Speaking: Students’ speaking performance matches the speaking
assessment criteria of a band-5 in the IELTS test.</t>
  </si>
  <si>
    <t>Writing: students’ writing production matches the writing assessment
criteria of a band-5 in the IELTS test.</t>
  </si>
  <si>
    <t>Reading: students’ reading comprehension skills matches the reading
assessment criteria of a band-5 in the IELTS test.</t>
  </si>
  <si>
    <t>Listening: students’ listening comprehension skills matches the
listening assessment criteria of a band-5 in the IELTS test</t>
  </si>
  <si>
    <t>Modules 1-10 of the textbook Expert IELTS 5</t>
  </si>
  <si>
    <t xml:space="preserve">Reasoning, analysis and summarizing
• Self-planning, arranging and evaluating
• Grouping, associating and imagery
• Guessing and switching to L1
• Using music, laughter or meditation
• Understanding other points of view
• Self-management, self-monitoring and selfevaluation
• Cooperation </t>
  </si>
  <si>
    <t>1. A mock speaking test of the IELTS.
2. A mock writing test of the IELTS.
3. A mock reading test of the IELTS.
4. A mock listening test of the IELTS.
5. Assignments modules 1-10
6. Grammar and vocabulary assignments
modules 1-10
7. Final IELTS test including the four papers.</t>
  </si>
  <si>
    <t>My English Lab – Expert IELTS 5 activities and
tests
- Free resources online</t>
  </si>
  <si>
    <t>Boyd, E. (2017). Expert IELTS 5 Coursebook with
Online Audio for MyEnglishLab Pin Code Pack.
Pearson Education.</t>
  </si>
  <si>
    <t>Other reference books: Hancock, M. (2005).
English Pronunciation in Use Intermediate.
Cambridge: Cambridge University Press. -
Mascull, B. (2010). Business Vocabulary in Use:
Intermediate.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
Raymond, M., &amp; Smalzer, W. R. (2000). Grammar
in Use Intermediate (Vol. 2nd). Cambridge:
Cambridge University Press. -Smalzer, W. R., &amp;
Murphy, R. (2003). Grammar in Use: workbook.
Cambridge: Cambridge University Press. -
Shakespeare, W. (2006). Hamlet Penguin
Readers. Essex: Pearson Education Limited.
EAN library suggested readers: -Alan Maley. He
Knows too Much. Level 6. Cambridge University
Press. -Penny Hancock. A Love for Life. Level 6.
Cambridge University Press. -Rod Neilson. The
Sugar Glider. Level 5. Cambridge University
Press. -Stephen Bryant. Business and the Speed
of Thought. Level 6. Penguin Readers. -Susan
Fearn. Benetton. Jonathan Mantle. Level 5.
Penguin Readers.</t>
  </si>
  <si>
    <t>VFV02067</t>
  </si>
  <si>
    <t>IDIOMA IV</t>
  </si>
  <si>
    <t>Idioma IV provides students of English with opportunities to practice their communication skills. Course work focus particularly on communication accuracy (vocabulary, grammar) with a strong emphasis on autonomous learning. Based on the CEFR (B1.2) a student who passes this course can: • Can understand the main points of clear standard input on familiar matters regularly encountered in work, school, leisure, etc. • Can deal with most situations likely to arise whilst travelling in an area where the language is spoken. • Can produce simple connected text on topics which are familiar or of personal interest. • Can describe experiences and events, dreams, hopes and ambitions and briefly give reasons and explanations for opinions and plans • take messages communicating enquiries, explaining problems; • provide concrete information required in an interview/consultation (e.g. describe symptoms to a doctor) but does so with limited precision; • explain why something is a problem; summarise and give his or her opinion about a short story, article, talk, discussion, interview, or documentary and answer further questions of detail; • carry out a prepared interview, checking and confirming information, though he/she may occasionally have to ask for repetition if the other person´s response is rapid or extended; • describe how to do something, giving detailed instructions; • exchange accumulated factual information on familiar routine and non-routine matters within his/her field with some confidence.</t>
  </si>
  <si>
    <t>Demuestra dominio de manera proficiente del idioma inglés bajo los estandáres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t>
  </si>
  <si>
    <t>Recognize the most commonly used words and expressions relating to design, trends, arts, media, shopping, museums and money when reading and/or listening.</t>
  </si>
  <si>
    <t>Exchange information by asking and answering questions about the suggested topics.</t>
  </si>
  <si>
    <t>Show understanding of the modal verbs, passive voice, gerunds, and infinitives, reported speech, third conditional, and past modals while using it in the affirmative, negative, and interrogative.</t>
  </si>
  <si>
    <t>Vocabulary about design, trends, arts, media, shopping, museums, money.
Grammar contents: modal verbs, passive voice, gerunds, and infinitives, reported speech, third conditional, past modals.
Reading and listening strategies and skills.
Speaking skills: taking part in meetings, revision of expressions to agree and disagree.</t>
  </si>
  <si>
    <t>Dialogues
Role plays
Reading and comprehension activities
Grammar exercises (textbook or other resources)
Group discussions
Writing of texts
LMS activities
Learning Objects
Immersion contexts
Field trips
Interactive videos
Gamification
Flipped learning</t>
  </si>
  <si>
    <t xml:space="preserve">Learning guidelines 2                        40 points (20each) 
MyEnglishLab Assignments          20 points
MyEnglishLab Tests                      15 points 
Final Face-to-Face Session or 
Untimely Test                                 25 points   
</t>
  </si>
  <si>
    <t xml:space="preserve">Cotton, D., Falvey, D. &amp; Kent, S. (2013). New 
Language Leader Intermediate. MyEnglishLab. 
Essex. English online software at 
https://www.pearsonelt.com/myenglishlab.html
</t>
  </si>
  <si>
    <t>INGLÉS</t>
  </si>
  <si>
    <t xml:space="preserve">Online Textbook:
Cotton, D., Falvey, D., &amp; Kent, S. (2013). New 
Language Leader Intermediate. Essex: Pearson 
Education Limited.
Websites: 
Online Dictionaries: 
1. The Free dictionary
https://www.thefreedictionary.com/ 
2. Cambridge dictionary
https://dictionary.cambridge.org/es/
3. Merriam Webster
https://www.merriam-webster.com/ 
4. Collins (diccionario español-inglés)
https://diccionario.reverso.net/espanol-ingles/ 
5. allBusiness
https://www.allbusiness.com/barrons_dictionary 
6. Financial Dictionary
http://financial-dictionary.thefreedictionary.com/
Database Resources for Extra Practice:
• Biscontini, T. V. (2010). Fertile Crescent. Fertile 
Crescent (ELL), 1. In database Read It!
• Ragan, M. (2009). Budgeting. Budgeting (ELL), 
1–2. In database Read It!
• Posner, T. (2009). Michael Faraday, 1781-
1867. Michael Faraday (ELL), 1–2. In database 
Read It!
• DeSalle, N. (2009). Issac Asimov, 1920-1992. 
Issac Asimov (ELL), 1–2. In database Read It!
• Harmon, A. (2017). Identity Theft. Identity 
Theft (ELL), 1. In database Read It!
</t>
  </si>
  <si>
    <t>Reference books:
Hancock, M. (2005). English Pronunciation in 
Use Intermediate. Cambridge: Cambridge 
University Press.
Mascull, B. (2010). Business Vocabulary in 
Use: Intermediate.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Intermediate (Vol. 2nd). 
Cambridge: Cambridge University Press.
Smalzer, W. R., &amp; Murphy, R. (2003). 
Grammar in Use: workbook. Cambridge: 
Cambridge University Press.
Free resources
British Council 
1. Intermediate grammar. Retrieved from
http://learnenglishteens.britishcouncil.org/gra
mmar/intermediate-grammar</t>
  </si>
  <si>
    <t>AFVN0019</t>
  </si>
  <si>
    <t>NUCLEAR</t>
  </si>
  <si>
    <t>MERCADEO Y ESTRATEGIA COMERCIAL</t>
  </si>
  <si>
    <t>MERCADEO Y GENERAC DE VALOR PARA NEG</t>
  </si>
  <si>
    <t xml:space="preserve">En un mundo en constante evolución, con la aparición de competidores innovadores, cambiantes tendencias de consumo, y la transformación de los canales de comunicación por las generaciones nativas digitales, las marcas se enfrentan al desafío de cómo dialogar con los consumidores y construir relaciones duraderas y beneficiosas. Este ambiente de aprendizaje llamado Mercadeo y Generación de Valor para los Negocios, busca equipar a los estudiantes de mercadeo, administración y negocios internacionales con una comprensión sólida de los principios fundamentales del marketing y las herramientas emergentes que permiten la creación de estrategias y planes centrados en el consumidor.
Este ambiente de aprendizaje contribuye significativamente al perfil del graduado, proporcionando habilidades esenciales </t>
  </si>
  <si>
    <t>Diseña y evalúa estrategias y planes de mercadeo abordando temas como segmentación de mercado, posicionamiento, desarrollo de productos, fijación de precios, distribución y promoción.</t>
  </si>
  <si>
    <t>Comprende los principios fundamentales del mercadeo y su relevancia en la creación, entrega y captura de valor en el contexto empresarial.</t>
  </si>
  <si>
    <t>Identifica y comprende las necesidades y comportamientos de los consumidores para crear estrategias de mercadeo efectivas.</t>
  </si>
  <si>
    <t>Aplica los conceptos de mercadeo en el diseño de estrategias que permitan el crecimiento y posicionamiento empresarial.</t>
  </si>
  <si>
    <t>Utiliza la tecnología y las métricas para asegurar el éxito de las estrategias de mercadeo.</t>
  </si>
  <si>
    <t>x</t>
  </si>
  <si>
    <t>1.	Fundamentos del Mercadeo 
o	Introducción al mercadeo y su rol en los negocios sostenibles. Las filosofías del mercadeo. El marketing Mix.
o	Tendencias de consumo. Los consumidores. Análisis del entorno.
2.	Desarrollo de Productos y Estrategias de Precio 
o	Estrategias de producto y desarrollo de productos
o	Estrategias de precios y valor percibido
3.	Comunicación y Logística de Marketing 
o	Promoción y comunicación de marketing
o	Canales de distribución y logística
4.	Gestión de Marca e Introducción al Marketing Digital 
o	Gestión de marca y construcción de relaciones con el cliente
o	Métricas de evaluación de las estrategias y planes de mercadeo</t>
  </si>
  <si>
    <t>•	Aprendizaje Autónomo
•	Tutorías
•	Evaluación</t>
  </si>
  <si>
    <t>Cuatro (4) cortes de evaluación
	Actividad Primer Hito 		20%
	Actividad Segundo Hito 	20%
	Actividad Tercer Hito		20%
	Actividad Cuarto Hito		20%
	Encuentro Final 		20%</t>
  </si>
  <si>
    <t xml:space="preserve">	Aula plataforma Canvas
	Uso de base de datos EMIS
	Plataforma Cisco Webex 
	Paquete office de Microsoft </t>
  </si>
  <si>
    <t xml:space="preserve">Inglés </t>
  </si>
  <si>
    <t>Barón López, E. (2017). Fundamentos de
Mercadeo. 
Benassini, M. (2014). Introducción a la
investigación de mercados: un enfoque para
América Latina. Pearson Educación. Tercera
Edición.
Briceño Ariza, L. (2016). Fundamentos de
mercadeo: tendencias del mercado y
comportamiento del consumidor
Chaffey, D. y Ellis-Chadwick, F. (2014).
Marketing Digital:: estrategia, implementación 
práctica. México: Pearson
Design Counsil (2007), Eleven Lessons:
Managing Design in Eleven Global Brands. A
Study of the Design Process
Kotler, P., Armstrong, G., Mues Zepeda, A.,
Costal Pérez, M. P., Cavazos Arroyo, J., &amp;
Aguirre Miling, H. (2013). Fundamentos de
marketing. México: Pearson.
Martin, D. M., &amp; Schouten, J. (2011)
Sustainable marketing (p. 264). Pearson
Prentice Hall.</t>
  </si>
  <si>
    <t xml:space="preserve">Arévalo Acosta, G. (2019-11.). Fundamentos de mercadeo. Cómo buscan el éxito las organizaciones. Bogotá: Fundación Universitaria del Área Andina, 2019.
Botero Cardona, L. (2015). Evolución histórica del marketing
Cateora, P. R., Gilly, M. C., &amp; Graham, J. L. (2013). Marketing internacional. México. AMGH.
Crane, F. G., Kerin, R. A., Hartley, S. W., Berkowitz, E. N., &amp; Rudelius, W. (2014). Marketing. México: McGraw-Hill Interamerican.
Kotler, P., Kartajaya, H., &amp; Setiawan, I. (2011). Marketing 3.0: Cómo atraer a los clientes con un marketing basado en valores. Bogotá: Ediciones de la U.
Lamb, C., Hair, J. and McDaniel, C. (2010). Marketing. México: Thomson.  
Loundon, D. &amp; Della Bitta, A., (2010). Comportamiento del Consumidor. México: Mc Graw Hill.
Stanton, W. (2007). Fundamentos de Marketing. México: Mc Graw Hill. 
</t>
  </si>
  <si>
    <t>AFVN0025</t>
  </si>
  <si>
    <t>DINERO Y FINANZAS</t>
  </si>
  <si>
    <t>Los profesionales eanistas se caracterizan por su capacidad para tomar decisiones informadas, utilizando criterios claros y objetivos. Para que esta toma de decisiones sea eficiente, se deben considerar todos los posibles efectos que pueden generar, incluyendo aquellos que se verán reflejados en la información financiera de las empresas. 
Es por ello, que nuestros estudiantes deben adquirir herramientas que les permitan comprender cómo se comportan los flujos de efectivo entrantes y salientes de una empresa, de qué manera los afecta el valor del dinero en el tiempo cuando se dan en diferentes períodos, qué impacto tienen las tasas de interés utilizadas para medir su variación, y de qué manera se deben aplicar los criterios que determinan si una alternativa o proyecto de inversión debe aceptarse o rechazarse. 
Esta unidad de estudio le permite a los profesionales eanistas desarrollar destrezas en el manejo del dinero a través del tiempo, el cálculo de tasas de interés y en el análisis de las implicaciones de los criterios de rentabilidad, los cuales son elementos fundamentales para la adecuada toma de decisiones financieras a través de su aplicación práctica en la solución de problemas.</t>
  </si>
  <si>
    <t>Resuelve problemas financieros mediante el uso de los conceptos relacionados con el valor del dinero en el tiempo.</t>
  </si>
  <si>
    <t>Visualiza y describe las transacciones financieras en términos de flujos de efectivo entrantes y salientes</t>
  </si>
  <si>
    <t>Aplica los conceptos y principios de valor de dinero en el tiempo a la realidad de la organización.</t>
  </si>
  <si>
    <t>Calcula la tasa de interés en una operación financiera y desarrolla procesos de equivalencia entre los diferentes tipos de tasas.</t>
  </si>
  <si>
    <t>Compara alternativas y toma decisiones a partir del análisis de flujos de efectivo.</t>
  </si>
  <si>
    <t>Valor del dinero en el tiempo
Tasas de interés
Diagramas de flujos de efectivo
Equivalencias de flujos de efectivo
Indicadores de bondad económica
Tablas de amortización</t>
  </si>
  <si>
    <t>LECTURA PREVIA:
Agudelo, D. y Fernández, A. (2019), p. 43-71.
Meza (2013), p 15-30.
Gutiérrez (2012), p. 1-40.
*Actividad de aprendizaje N. 1: Interés simple
*Situación problémica individual.</t>
  </si>
  <si>
    <t>La Unidad de estudio semestral posee cuatro cortes:
Primer corte 40%
Segundo corte 50%
Prueba objetiva: 10%
Cada corte estará distribuido así:
-	Talleres grupales
-	Controles de lectura
-	Investigación/Informe/Estudio de caso                         
-	Evaluación de Corte
-	Participación en eventos y salidas académicas
-	Prueba objetiva</t>
  </si>
  <si>
    <t>Excel</t>
  </si>
  <si>
    <t>Ingles</t>
  </si>
  <si>
    <t xml:space="preserve">Aguilera, V. y Díaz, G. (2020). Matemáticas financieras. McGraw-Hill Interamericana.
Agudelo, D. y Fernández, A. (2019) Matemáticas financieras: conceptos y aplicaciones.  Bogotá: Pearson. 
http://www.ebooks7-24.com.bdbiblioteca.universidadean.edu.co/?il=7897
Ángel, P. Santacruz, J (2010) Decisiones financieras bajo incertidumbre. Escuela Colombiana de Ingeniería. Pearson.
Broverman, S. (2015). Mathematics of investment and credit. 6th ed. ACTEX Publications.
Cano, A. (2017). Matemáticas financieras, aplicada a ciencias económicas, administrativas y contables. Segunda edición. Ediciones de la U.
García, J. (2008). Matemáticas financieras con ecuaciones de diferencia finita. Quinta edición. Editorial Pearson Prentice Hall. 
Gutiérrez, J. (2012). Matemáticas Financieras con fórmulas, calculadora financiera y Excel. Editorial ECOE. </t>
  </si>
  <si>
    <t>AFVN0028</t>
  </si>
  <si>
    <t>ECONOMÍA DE MERCADO</t>
  </si>
  <si>
    <t>La unidad de estudios de Economía de Mercado está orientada a vincular a los estudiantes con la ciencia económica que le permita analizar el contexto económico de las organizaciones a partir de la comprensión de las generalidades y principios del sistema económico mediante de la examinación y aplicación de los conceptos esenciales del análisis microeconómico y macroeconómico.
Para ello se introducen los principales temas tratados por esta ciencia, lo cual servirá como base para la profundización en áreas específicas en semestres siguientes. El punto de partida es la definición de economía, en la cual sobresale su carácter de ciencia social. 
Orientando el análisis económico desde un enfoque microeconómico que analiza cómo toman las decisiones los agentes económicos en mercados específicos. Y desde el enfoque macroeconómico estudiando los principales agregados macroeconómicos, las políticas macroeconómicas y el entorno internacional.</t>
  </si>
  <si>
    <t>Comprende los principios de la ciencia económica y los fundamentos del funcionamiento de las economías de mercado modernas mediante la examinación de los conceptos y resultados prácticos esenciales del análisis microeconómico y macroeconómico y su aplicación al contexto empresarial y la sostenibilidad.</t>
  </si>
  <si>
    <t>Reconoce el concepto de economía, los problemas económicos y las ramas de la teoría económica.</t>
  </si>
  <si>
    <t>Ejemplifica contextos locales en modelos de diagrama de flujo circular y frontera de posibilidades de producción.</t>
  </si>
  <si>
    <t>Analiza mercados usando modelo de oferta y demanda, y las elasticidades en el ámbito empresarial.</t>
  </si>
  <si>
    <t>Comprende el desempeño de la economía nacional y de otros países empleando los principales agregados macroeconómicos y estudiando los sectores de la economía como el financiero y el externo.</t>
  </si>
  <si>
    <t>1.	Introducción a la ciencia económica y los principios de la economía
2.	Modelos económicos básicos
2.1.	Diagrama de Flujo Circular
2.2.	Frontera de Posibilidades de Producción
3.	Fundamentacion microeconómica
3.1.	Tipos de mercado
3.2.	Análisis de mercado: equilibrio oferta-demanda
3.3.	Elasticidades de demanda y oferta
3.4.	Eficiencia: excedente del consumidor y productor
3.5.	Microeconomía y medio ambiente: principios básicos
4.	Fundamentos de macroeconomía
4.1.	Agregados macroeconómicos: medición e implicaciones
4.1.1.	PIB, crecimiento, productividad
4.1.2.	IPC e inflación
4.1.3.	Desempleo y Mercado Laboral
4.1.4.	Pobreza y desigualdad
4.2.	El banco central y el sistema financiero: dinero e interés
4.3.	Ventaja comparativa, tasas de cambio y el sector externo
4.4.	Introducción a la política económica</t>
  </si>
  <si>
    <t>Lecturas con preguntas de reflexión
Discusiones en grupo 
Ejercicios aplicados
Videos 
Ludificación</t>
  </si>
  <si>
    <t>La Unidad de estudio semestral posee cuatro cortes:
Primer corte 20%
Segundo corte 20%
Tercer corte 30%
Cuarto corte 30%
Cada corte estará distribuido así:
-	Talleres grupales
-	Controles de lectura
-	Investigación/Informe/Estudio de caso                         
-	Evaluación de Corte
-	Participación en eventos y salidas académicas</t>
  </si>
  <si>
    <t xml:space="preserve">Bases de datos 
•	Banco República: www.banrep.gov.co
•	DANE: www.dane.gov.co
•	Banco Mundial: https://datos.bancomundial.org/
Excel
</t>
  </si>
  <si>
    <t xml:space="preserve">
Mankiw, G.  (2020). Principios de Economía.  Cengage Learning. 330M278
Cárdenas, M.  (2020). Introducción a la Economía colombiana. Alpha Editorial. 330.9861C266
Banco de la República.  (1998). Introducción al Análisis Económico. Siglo del Hombre Editores. 330B213
Samuelson, P. y Nordhaus, W. (2010).  Economía con aplicación a Latinoamérica. McGGraw- Hill Education. 330S197ec
Sowell, Thomas. (2013). Economía Básica. Deusto.</t>
  </si>
  <si>
    <t>Nieto, Mauricio. (2023). Fundamentos de Economía: una aplicación de las teorías y su análisis crítico. ECOE Ediciones.
Krugman, P., Wells, R. y Olney, M. (2010) Fundamentos de Economía. Editorial Reverté. 330 K943
Parkin, M. (2018) Economía. McGraw Hill. 330P237
Samuelson, P. y Nordhaus, W. (2019).  Economía con Aplicaciones. McGGraw- Hill
Podcasts y RRSS:
Economía de a Pie (Bancolombia)
Investigaciones Económicas (Corficolombiana)
Economicast (El Tiempo)
Economía para la pipol
Tuttle Twins (caricatura)
Blogs y sitios web:
https://fee.org/articles/topics/Economics 
https://www.project-syndicate.org/section/economics 
https://www.imf.org/es/Blogs</t>
  </si>
  <si>
    <t>AFVN0082</t>
  </si>
  <si>
    <t>MIND GREEN CONS: EXPL LA TOMA DE DECI</t>
  </si>
  <si>
    <t>El propósito de este curso es explorar y comprender el comportamiento del consumidor verde, analizando los factores que influyen en la toma de decisiones de compra sostenibles. Los estudiantes aprenderán a identificar y aplicar estrategias que promuevan el consumo responsable, utilizando enfoques multidisciplinarios que abarcan la psicología del consumidor, la sostenibilidad y el marketing verde.
Esta unidad de estudio está diseñada para equipar a los estudiantes con las herramientas y conocimientos necesarios para influir positivamente en el mercado, promoviendo prácticas de consumo que favorezcan la conservación del medio ambiente y el bienestar social.</t>
  </si>
  <si>
    <t xml:space="preserve">Analiza las teorías del comportamiento del consumidor y los factores internos y externos que influyen en sus decisiones de compra, aplicando metodologías de investigación para la comprensión de su comportamiento.  </t>
  </si>
  <si>
    <t>Identifica y analiza los factores psicológicos, sociales, culturales y económicos que motivan a los consumidores por las opciones sostenibles en el mercado</t>
  </si>
  <si>
    <t>Aplica teorías y modelos de la psicología del consumidor para entender mejor cómo se forman las actitudes y preferencias hacia productos verdes.</t>
  </si>
  <si>
    <t>Implementa métodos de investigación para estudiar el comportamiento del consumidor verde, incluyendo encuestas, entrevistas y análisis de datos, con el fin de obtener Insights accionables.</t>
  </si>
  <si>
    <t>Desarrolla y evalúa estrategias de marketing verde que promuevan el consumo responsable, utilizando un enfoque multidisciplinario que abarque la sostenibilidad ambiental, las prácticas empresariales responsables y las técnicas avanzadas de marketing.</t>
  </si>
  <si>
    <t xml:space="preserve">1.	Introducción al consumo verde sostenible 
1.1.	Conceptos básicos del consumo verde
1.2.	Importancia del consumo verde
1.3.	Perfiles de consumidores verdes
2.	Factores psicológicos y sociales en la toma de decisiones del consumidor verde. 
2.1.	Factores Psicológicos
2.2.	Factores sociales y culturales
3.	Estrategias del marketing verde
3.1.	Fundamentos del marketing verde
3.2.	Desarrollo de estrategias de marketing verde
3.3.	Ejecución de campañas de marketing verde
4.	Análisis de datos y herramientas de investigación del Consumidor
4.1.	Métodos de investigación cuantitativa y cualitativa
4.2.	Herramientas de análisis de datos
4.3.	Evaluación y uso de Insigths de consumidores
5.	Implementación de prácticas sostenibles en las empresas
5.1.	Integración de la sostenibilidad en la estrategia empresarial
5.2.	Certificaciones y normas ambientales
5.3.	Responsabilidad social corporativa (RSC)
6.	Medición y evaluación del impacto del consumo verde
6.1.	Indicadores y métricas de sostenibilidad 
6.2.	Evaluación del retorno de la inversión (ROI) en iniciativas verdes
6.3.	Comunicación de resultados y mejores prácticas
</t>
  </si>
  <si>
    <t>Aprendizaje Colaborativo
Aprendizaje Autónomo
Aprendizaje basado en proyectos
Estudio de Casos
Aprendizaje basado en retos
Lecturas
Talleres</t>
  </si>
  <si>
    <t>Evaluación Primer Hito	15%
Trabajo segundo Hito	20%		
Trabajo Tercer Hito	20%
Trabajo Final Hito 4	20% 
Encuentro Final		25%</t>
  </si>
  <si>
    <t xml:space="preserve">Plataforma de Canvas 
Bases de Datos de la Universidad Ean
Sitios Web especializados
Microsoft Office
</t>
  </si>
  <si>
    <t xml:space="preserve">Griskevicius, V., Tybur, J. M., &amp; Van den Bergh, B. (2010). Going Green to Be Seen: Status, Reputation, and Conspicuous Conservation. Journal of Personality and Social Psychology.
Ottman, J. A. (2017). The New Rules of Green Marketing: Strategies, Tools, and Inspiration for Sustainable Branding. Routledge.
Peattie, K. (2010). Green Marketing. SAGE Publications.
Tanner, C., &amp; Kast, S. W. (2003). Promoting Sustainable Consumption: Determinants of Green Purchases by Swiss Consumers. Psychology &amp; Marketing.
Thøgersen, J. (2005). Psychological Determinants of Green Consumer Choice. Oxford University Press.
</t>
  </si>
  <si>
    <t>Gifford, R. (2011). The Dragons of Inaction: Psychological Barriers That Limit Climate Change Mitigation and Adaptation. American Psychologist.
White, K., Habib, R., &amp; Hardisty, D. J. (2019). How to SHIFT Consumer Behaviors to be More Sustainable: A Literature Review and Guiding Framework. Journal of Marketing.</t>
  </si>
  <si>
    <t>AFVN0083</t>
  </si>
  <si>
    <t>MÁS VALEN DATOS QUE PERCEPCIONES</t>
  </si>
  <si>
    <t>Este curso tiene como objetivo enseñar a los estudiantes la analítica de datos estratégicos, para entender el entorno y comportamiento de los consumidores de una organización. También busca proporcionar herramientas que faciliten la comprensión del mundo complejo de la información cuantitativa y cualitativa. Mediante un enfoque práctico, los estudiantes aprenderán a usar herramientas analíticas avanzadas para interpretar datos y tomar decisiones estratégicas basadas en evidencia objetiva. El curso establecerá una fuerte conexión con el sector empresarial, exponiendo a los estudiantes a desafíos reales de análisis de datos en marketing.</t>
  </si>
  <si>
    <t xml:space="preserve">Aplica técnicas de analítica de datos para entender el comportamiento de los consumidores y el entorno de una organización, identificar insights relevantes para la estructuración de estrategias de mercadeo, y comunicar los resultados de manera efectiva. </t>
  </si>
  <si>
    <t>Identifica los conceptos básicos de la analítica de datos y su importancia en el mercadeo.</t>
  </si>
  <si>
    <t xml:space="preserve">Organiza los datos cuantitativos y cualitativos relevantes para el marketing utilizando métodos éticos y eficientes de recolección de información. </t>
  </si>
  <si>
    <t>Aplica herramientas avanzadas de analítica de datos para procesar grandes volúmenes de datos. </t>
  </si>
  <si>
    <t xml:space="preserve">Analiza datos completos para identificar insights sobre el contexto empresarial, el comportamiento de los consumidores y los resultados de las estrategias. </t>
  </si>
  <si>
    <t>Fundamentos de la analítica de datos en marketing
Estadística y programación aplicada al marketing
Técnicas avanzadas de analítica de datos para marketing
Ética y comunicación en la analítica de datos</t>
  </si>
  <si>
    <t>Clase magistral
Desarrollo de talleres 
Debates
Estudio de Casos</t>
  </si>
  <si>
    <t>Talleres
Exposiciones
Estudio de Caso
Examenes</t>
  </si>
  <si>
    <t>Phyton 
Tableau
Computadores</t>
  </si>
  <si>
    <t>Provost, F., &amp; Fawcett, T. (2013). Data Science for Business: What You Need to Know about Data Mining and Data-Analytic Thinking. O'Reilly Media. 
Siegel, E. (2016). Predictive Analytics: The Power to Predict Who Will Click, Buy, Lie, or Die. Wiley. 
Knaflic, C. N. (2015). Storytelling with Data: A Data Visualization Guide for Business Professionals. Wiley. 
McKinney, W. (2017). Python for Data Analysis: Data Wrangling with Pandas, NumPy, and IPython (2nd ed.). O'Reilly Media. 
Few, S. (2009). Now You See It: Simple Visualization Techniques for Quantitative Analysis. Analytics Press</t>
  </si>
  <si>
    <t>Wedel, M., &amp; Kannan, P. K. (2016). Marketing Analytics for Data-Rich Environments. Journal of Marketing, 80(6), 97-121. https://doi.org/10.1509/jm.15.0413 Erevelles, S., Fukawa, N., &amp; Swayne, L. (2016). Big Data consumer analytics and the transformation of marketing. Journal of Business Research, 69(2), 897-904. https://doi.org/10.1016/j.jbusres.2015.07.001 Hofacker, C. F., Malthouse, E. C., &amp; Sultan, F. (2016). Big Data and consumer behavior: Imminent opportunities. Journal of Consumer Marketing, 33(2), 89-97. https://doi.org/10.1108/JCM-04-2015-1399 Bradlow, E. T., Gangwar, M., Kopalle, P., &amp; Voleti, S. (2017). The Role of Big Data and Predictive Analytics in Retailing. Journal of Retailing, 93(1), 79-95. https://doi.org/10.1016/j.jretai.2016.12.004 Balducci, B., &amp; Marinova, D. (2018). Unstructured data in marketing. Journal of the Academy of Marketing Science, 46(4), 557-590. https://doi.org/10.1007/s11747-018-0581-x
Marr, B. (2022, January 4). The 5 Biggest Data Science Trends In 2022. Forbes. https://www.forbes.com/sites/bernardmarr/2022/01/04/the-5-biggest-data-science-trends-in-2022/ Columbus, L. (2021, December 27). 10 Charts That Will Change Your Perspective On Artificial Intelligence's Growth. Forbes. https://www.forbes.com/sites/louiscolumbus/2021/12/27/10-charts-that-will-change-your-perspective-on-artificial-intelligences-growth/ Davenport, T., &amp; Mittal, N. (2020, March 9). How CEOs Can Lead a Data-Driven Culture. Harvard Business Review. https://hbr.org/2020/03/how-ceos-can-lead-a-data-driven-culture Salesforce. (2021). State of Marketing Report, 7th Edition. Salesforce Research. https://www.salesforce.com/resources/research-reports/state-of-marketing/McKinsey &amp; Company. (2021, April 30). The data-driven enterprise of 2025. McKinsey Digital. https://www.mckinsey.com/business-functions/mckinsey-digital/our-insights/the-data-driven-enterprise-of-2025</t>
  </si>
  <si>
    <t>AFVN0085</t>
  </si>
  <si>
    <t>CONS CEREB:  APLIC LAS NEUROC AL MARK</t>
  </si>
  <si>
    <t>El curso de Aplicación de Neurociencias al Marketing de Consumo Cerebral tiene como propósito proporcionar a los participantes una comprensión profunda de cómo los principios y descubrimientos de las neurociencias pueden ser utilizados para diseñar estrategias de marketing más efectivas y centradas en el consumidor. A lo largo del curso, se explorarán las bases científicas del comportamiento del consumidor, incluyendo cómo los procesos cognitivos, emocionales y neurológicos influyen en las decisiones de compra y la percepción de las marcas.
Los estudiantes aprenderán a aplicar técnicas de neurociencia, como el análisis de la actividad cerebral, la neuroimagen y las respuestas fisiológicas, para obtener insights precisos sobre las preferencias y motivaciones del consumidor. Además, se abordarán métodos para diseñar campañas publicitarias y experiencias de marca que maximicen la resonancia emocional y la eficacia, optimizando así el impacto en la mente del consumidor.
El curso está orientado a capacitar a los profesionales del marketing para que utilicen datos neurocientíficos de manera ética y efectiva, mejorando la toma de decisiones y la personalización en sus estrategias de mercadeo. Al finalizar, los participantes estarán equipados con herramientas avanzadas para influir positivamente en el comportamiento del consumidor y construir marcas que resuenen profundamente en el cerebro del target.</t>
  </si>
  <si>
    <t>Aplica conocimientos de neurociencias y psicología del consumidor en el desarrollo de estrategias efectivas que impacten en la toma de decisiones</t>
  </si>
  <si>
    <t>Demuestra un entendimiento profundo y claro de los principios neurocientíficos aplicados al marketing, integrando teorías y conceptos clave con ejemplos relevantes.</t>
  </si>
  <si>
    <t>Aplica de manera efectiva y precisa técnicas neurocientíficas en estudios de caso y proyectos, demostrando habilidades avanzadas en la interpretación y utilización de datos.</t>
  </si>
  <si>
    <t>Desarrolla estrategias de marketing innovadoras y bien fundamentadas basadas en neurociencia, con claras evidencias de cómo las técnicas aplicadas afectan el comportamiento del consumidor.</t>
  </si>
  <si>
    <t>Presenta los resultados y análisis de manera clara, coherente y profesional, utilizando una estructura lógica y apoyando los puntos con evidencias sólidas.</t>
  </si>
  <si>
    <t xml:space="preserve">Introducción a las Neurociencias y su Relación con el Marketing
•	Conceptos básicos de neurociencia.
•	¿Qué es el neuromarketing? Aplicaciones prácticas.
•	Procesos cerebrales implicados en la toma de decisiones de consumo.
El Cerebro del Consumidor
•	Anatomía del cerebro y funciones relevantes en el consumo.
•	Sistema límbico, corteza prefrontal y procesos emocionales.
•	Emociones, memoria y percepción: claves en el comportamiento de compra.
Decodificando la Toma de Decisiones
•	Modelos de toma de decisiones: sistema 1 (rápido) y sistema 2 (lento).
•	Sesgos cognitivos y su impacto en el consumo.
•	El papel de la atención, el deseo y la recompensa en la experiencia de marca.
Técnicas de Neuromarketing
•	Herramientas de medición: EEG, eye-tracking, fMRI, respuesta galvánica de la piel.
•	Experimentos emblemáticos de neuromarketing.
•	Limitaciones éticas y críticas al neuromarketing.
Aplicaciones Prácticas del Neuromarketing
•	Diseño de productos, empaques y puntos de venta basados en neuroinsights.
•	Publicidad efectiva: storytelling y activación emocional.
•	Customer Experience (CX) y estrategias </t>
  </si>
  <si>
    <t>Clase magistral
Desarrollo de talleres 
Estudio de Casos
Lecturas</t>
  </si>
  <si>
    <t>Talleres
Ejercicios en NeuroLab
Proyecto integrador</t>
  </si>
  <si>
    <t>IA
Softwares
NeuroLab</t>
  </si>
  <si>
    <t xml:space="preserve">	Bauer, R., &amp; Lindgreen, A. (2017). Customer centricity: The future of business. 
	Lemon, K. N., Verhoef, P. C., &amp; Bettina, R. (2016). Managing customer-centricity: A research agenda for the service marketing discipline. Journal of Service Research, 19(1), 1-6.
	Nørregaard, A., &amp; Hansen, K. T. (2020). Customer centricity: A framework for creating value in the digital age. 
	Peelen, E., &amp; Reynoso, C. (2019). Customer centricity: The ultimate guide to putting customers at the heart of your business. 
	Swigger, K. J., &amp; Mangold, G. L. (2016). Customer experience management: A framework for creating and delivering a superior customer experience. 
	
Online Resources:
•	Customer Centricity Hub: https://blog.hubspot.com/service
•	Forrester Research: https://www.forrester.com/
•	Gartner: https://www.gartner.com/en
•	McKinsey &amp; Company: https://www.mckinsey.com/
Software y Herramientas:
•	Herramientas de CRM: Salesforce, HubSpot, Microsoft Dynamics 365
•	Herramientas de análisis de datos: Tableau, Power BI, Qlik Sense
</t>
  </si>
  <si>
    <t>Journal Articles:
	Aldhous, B., &amp; Hogg, S. (2023). Customer centricity in the digital age: A case study of a UK retailer. Journal of Business Research, 144, 1073-1084.
	Barroso, C., &amp; Teixeira, T. (2020). Customer centricity and innovation: A study of the Portuguese banking sector. Journal of Business Research, 117, 315-324.
	Chakraborty, A., &amp; Sarkar, S. (2022). Customer centricity and firm performance: The mediating role of customer experience. Journal of Marketing, 86(1), 1-23
	Duan, Y., Wang, H., &amp; Hu, B. (2021). Customer centricity and customer loyalty in the digital age: An empirical study of Chinese online consumers. Journal of Retailing and Consumer Services, 63, 102545.
	Verhoef, P. C., Lemon, K. N., &amp; Verhoef, A. (2018). Customer centricity: Research agenda, future directions, and call to action. Journal of Service Research, 21(1), 3-22.</t>
  </si>
  <si>
    <t>AFVN0086</t>
  </si>
  <si>
    <t>COSTUMER CENTR: DISEÑO DE EXPER OMNIC</t>
  </si>
  <si>
    <t>Este curso tiene como propósito desarrollar en los estudiantes una visión estratégica y operativa sobre cómo colocar al cliente en el centro de todas las decisiones de negocio, mediante la comprensión profunda del Customer Centricity y su aplicación en contextos digitales.
A través de un enfoque práctico e interdisciplinar, el curso busca que los estudiantes adquieran competencias para:
- Identificar necesidades, expectativas y comportamientos del cliente.
- Diseñar experiencias omnicanales fluidas y personalizadas.
- Formular estrategias centradas en el cliente basadas en datos.
- Aplicar métricas como CLV, VoC y NPS para medir impacto.
- Liderar proyectos de transformación organizacional centrados en el cliente.</t>
  </si>
  <si>
    <t>integra los principios del Customer Centricity para analizar el comportamiento del cliente en entornos digitales, diseñar y evaluar experiencias omnicanales mediante métricas clave (CLV, VoC, dashboards) y liderar iniciativas colaborativas que generen propuestas centradas en el cliente.</t>
  </si>
  <si>
    <t>1. Comprende los principios del Customer Centricity.
✔ Evalúa conceptos clave y su aplicación.</t>
  </si>
  <si>
    <t>2. Analiza comportamiento del cliente en entornos digitales.
✔ Interpreta datos y propone mejoras.</t>
  </si>
  <si>
    <t>3. Diseña experiencias omnicanales.
✔ Desarrolla mapas coherentes y personalizados.</t>
  </si>
  <si>
    <t>4. Evalúa con métricas clave.
✔ Aplica CLV, VoC, dashboards, NPS.  Aplica habilidades colaborativas y liderazgo.
✔ Lidera propuestas centradas en el cliente.</t>
  </si>
  <si>
    <t>Lo conceptual: fundamentos del enfoque centrado en el cliente.
Lo estratégico y técnico: herramientas y metodologías para diseñar y medir experiencias.
Lo aplicado: ejercicios prácticos, análisis de casos, y diseño de soluciones reales.</t>
  </si>
  <si>
    <t>ideo introductorio y testimonios
Ruta interactiva
Lectura dirigida + foro con retroalimentación
Autoevaluación diagnóstica
Mini quiz
Caso empresarial</t>
  </si>
  <si>
    <t>Actividad / Recurso/
Ponderación
Evaluación Final Modulo 1
20%
Evaluación Final Modulo 2
25%
Evaluación Final Modulo 3
25%
Evaluación final de la unidad de estudios
30%
Total
100%</t>
  </si>
  <si>
    <t>Plataforma LMS
Excel, Power BI
Smaply, Custellence
Padlet, Jamboard
Typeform, Survio</t>
  </si>
  <si>
    <t xml:space="preserve">INGLES </t>
  </si>
  <si>
    <t xml:space="preserve">(2006). The path to customer centricity. Journal of Service Research, 9(2), 113–124. https://doi.org/10.1177/1094670506294666
Lemon, K. N., &amp; Verhoef, P. C. (2016). Understanding customer experience throughout the customer journey. Journal of Marketing, 80(6), 69–96.
Kumar, V., &amp; Reinartz, W. (2016). Creating Enduring Customer Value. Journal of Marketing, 80(6), 36–68.
Harvard Business Review. (2021). The Value of Customer Obsession. https://hbr.org/2021/11/the-value-of-customer-obsession
Hsieh, T. (2010). Delivering Happiness: A Path to Profits, Passion, and Purpose. Grand Central Publishing.
Peelen, E., &amp; Reynoso, C. (2019). Customer Centricity: The ultimate guide to putting the customer first. Pearson Educación.
Chakraborty, A., &amp; Sarkar, S. (2022). Customer Centricity and Firm Performance: The Role of Strategic Alignment. Springer.
Verhoef, P. C., Lemon, K. N., &amp; Verhoef, A. (2018). Customer Centricity: Research Agenda. Journal of Service Management, 29(1), 2–19.
</t>
  </si>
  <si>
    <t xml:space="preserve">Rust, R. T., Zeithaml, V. A., &amp; Lemon, K. N. (2004). Customer-centered brand management. Harvard Business Review.
Kumar, V. (2008). Managing Customers for Profit: Strategies to Increase Profits and Build Loyalty. Wharton School Publishing.
Zeithaml, V. A., Rust, R. T., &amp; Lemon, K. N. (2001). The Customer Pyramid: Creating a Tiered Service Strategy. Harvard Business Review.
Gupta, S., &amp; Lehmann, D. R. (2003). Customers as Assets. Journal of Interactive Marketing, 17(1), 9–24.
Pine, B. J., &amp; Gilmore, J. H. (1999). The Experience Economy: Work is Theatre &amp; Every Business a Stage. Harvard Business School Press.
Schmitt, B. (2003). Customer Experience Management: A Revolutionary Approach to Connecting with Your Customers. Wiley.
Rawson, A., Duncan, E., &amp; Jones, C. (2013). The Truth About Customer Experience. Harvard Business Review.
Harvard Business Review. (2019). Why Amazon Is the World’s Most Customer-Centric Company. https://hbr.org/2019/04/why-amazon-is-the-worlds-most-customer-centric-company
HubSpot Academy. Customer Journey Mapping, VoC Programs, Customer Feedback. https://academy.hubspot.com
Gartner Research. Customer Experience Benchmarks, VoC Trends. https://www.gartner.com
McKinsey &amp; Company. The State of Customer Care. https://www.mckinsey.com
Kotler, P., Kartajaya, H., &amp; Setiawan, I. (2021). Marketing 5.0: Technology for Humanity. Wiley.
</t>
  </si>
  <si>
    <t>AFVN0087</t>
  </si>
  <si>
    <t>ESTRATEGIA DIG Y CONT POTENC POR IA</t>
  </si>
  <si>
    <t xml:space="preserve">El curso "Estrategia Digital y Contenidos Potenciados por IA" tiene como objetivo proporcionar a los estudiantes una comprensión integral y aplicada del uso de la inteligencia artificial en la creación y ejecución de estrategias digitales innovadoras. marketing digital y las estrategias comerciales, desarrollando habilidades para diseñar y ejecutar campañas que maximicen el impacto competitivo en el mercado. Este curso requiere un alto nivel de compromiso y dedicación, demandando a los estudiantes que trabajen en proyectos reales con empresas colaboradoras, integrando teoría y práctica. </t>
  </si>
  <si>
    <t>Diseña estrategias digitales innovadoras que integren el uso efectivo de la inteligencia artificial. para la creación, distribución y análisis de contenidos en entornos digitales</t>
  </si>
  <si>
    <t>Identifica la diferencia entre estrategia y táctica de contenidos aplicados en proyectos de Mercadeo.</t>
  </si>
  <si>
    <t>Aplica herramientas de IA para escenarios gráficos, textuales, de audio y video en la realidad empresarial.</t>
  </si>
  <si>
    <t>Integra el conocimiento de las IA, las estrategias y las tácticas, en los canales de comunicación físicos y digitales.</t>
  </si>
  <si>
    <t xml:space="preserve">Diseña proyectos de creación de contenido basados en IA, como parte de los objetivos de Mercadeo empresariales. </t>
  </si>
  <si>
    <t>Introducción a la Inteligencia Artificial y su impacto en el marketing digital. 
Análisis de información para la toma de decisiones estratégicas. 
Generación de contenidos potenciados por IA (texto, imágenes, video). 
Personalización de contenidos y campañas de Mercadeo con IA. 
Canales de comunicación físicos y digitales para campañas con IA. 
Estrategias y tácticas de contenidos en la gestión digital con IA. 
Ética y privacidad en el uso de la IA en marketing digital. 
Tendencias y casos de éxito en el uso de IA en el marketing digital
Desarrollo de un proyecto final integrando IA en una estrategia de marketing digital.</t>
  </si>
  <si>
    <t>Clase magistral
Casos de éxito
Talleres prácticos</t>
  </si>
  <si>
    <t>Talleres
Avances parciales de proyecto
Presentación de proyecto final</t>
  </si>
  <si>
    <t>Herramientas de IA
Plataformas de contenido
Redes sociales</t>
  </si>
  <si>
    <t xml:space="preserve">40%	</t>
  </si>
  <si>
    <t>Artículos académicos:
1.	Huang, M.-H., &amp; Rust, R. T. (2021). Artificially intelligent marketing: The new frontier. California Management Review, 63(4), 5-23. https://doi.org/10.1177/0008125621992732
2.	Canhoto, A. I., &amp; Clear, F. (2020). Artificial intelligence and machine learning as value drivers in marketing. Psychology &amp; Marketing, 37(5), 623-630. https://doi.org/10.1002/mar.21334
3.	Davenport, T., Guha, A., Grewal, D., &amp; Bressgott, T. (2020). How artificial intelligence will change the future of marketing. Journal of the Academy of Marketing Science, 48(1), 24-42. https://doi.org/10.1007/s11747-019-00696-0
4.	Kozinets, R. V., Ferreira, D., &amp; Chimenti, P. (2021). How artificial intelligence is transforming consumer experience: Three paths to the future. Journal of Consumer Behaviour, 20(4), 817-831. https://doi.org/10.1002/cb.1915
5.	Wedel, M., &amp; Kannan, P. K. (2016). Marketing analytics for data-rich environments. Journal of Marketing, 80(6), 97-121. https://doi.org/10.1509/jm.15.0413
Libros:
1.	Kotler, P., Kartajaya, H., &amp; Setiawan, I. (2021). Marketing 5.0: Technology for Humanity. John Wiley &amp; Sons. https://www.wiley.com/en-us/Marketing+5+0%3A+Technology+for+Humanity-p-9781119668305
2.	Davenport, T. H. (2020). The AI Advantage: How to Put the Artificial Intelligence Revolution to Work. MIT Press. https://mitpress.mit.edu/books/ai-advantage
3.	Agrawal, A., Gans, J., &amp; Goldfarb, A. (2018). Prediction Machines: The Simple Economics of Artificial Intelligence. Harvard Business Review Press. https://hbr.org/product/prediction-machines-the-simple-economics-of-artificial-intelligence/18071E-KND-ENG
4.	Yeung, K. (2021). The Digital World: Artificial Intelligence, Data, and the Internet. Routledge. https://www.routledge.com/The-Digital-World-Artificial-Intelligence-Data-and-the-Internet/Yeung/p/book/9781032002835</t>
  </si>
  <si>
    <t>Artículos de discusión:
1.	Marr, B. (2023, March 9). The 7 biggest artificial intelligence (AI) trends in 2023. Forbes. https://www.forbes.com/sites/bernardmarr/2023/03/09/the-7-biggest-artificial-intelligence-ai-trends-in-2023/
2.	Ghose, A. (2022, December 16). How AI is transforming marketing in 2023. Harvard Business Review. https://hbr.org/2022/12/how-ai-is-transforming-marketing-in-2023
3.	Benioff, M. (2022, November 17). The future of marketing is AI. World Economic Forum. https://www.weforum.org/agenda/2022/11/the-future-of-marketing-is-ai/
4.	Schaefer, M. (2023, January 27). Artificial Intelligence in marketing: The revolution has begun. Marketing Insider Group. https://marketinginsidergroup.com/content-marketing/artificial-intelligence-in-marketing-the-revolution-has-begun/
5.	Marvin, R. (2023, April 5). 9 ways AI is revolutionizing digital marketing. PCMag. https://www.pcmag.
Libros:
1.	Ng, A. (2021). AI for Everyone: Master the Basics. Coursera. https://www.coursera.org/learn/ai-for-everyone
2.	Russell, S. J., &amp; Norvig, P. (2020). Artificial Intelligence: A Modern Approach (4th ed.). Pearson. https://www.pearson.com/store/p/artificial-intelligence-a-modern-approach/P100000194333
3.	Gilder, G. (2018). Life After Google: The Fall of Big Data and the Rise of the Blockchain Economy. Regnery Publishing. https://www.regnery.com/9781621577041/life-after-google/
4.	Chaffey, D., &amp; Ellis-Chadwick, F. (2019). Digital Marketing: Strategy, Implementation and Practice (7th ed.). Pearson. https://www.pearson.com/store/p/digital-marketing-strategy-implementation-and-practice/P100002545490</t>
  </si>
  <si>
    <t>AFVN0088</t>
  </si>
  <si>
    <t>DATA-DRIVEN DECISION MARKETING</t>
  </si>
  <si>
    <t>El curso "Data Driven Decision Marketing" enseñará a los alumnos a aplicar técnicas avanzadas de análisis de big data e inteligencia artificial (IA) para obtener insights valiosos que mejoren la toma de decisiones en marketing. Este curso combina teoría y práctica y está alineado con las demandas actuales del sector empresarial, que requiere habilidades para manejar grandes volúmenes de datos y usar herramientas de IA para optimizar la toma de decisiones estratégicas. Los estudiantes desarrollarán competencias en análisis de datos, toma de decisiones estratégicas y aplicación de conocimientos en contextos empresariales reales. Se espera que los estudiantes participen activamente en proyectos y ejercicios prácticos, demostrando dedicación y proactividad.</t>
  </si>
  <si>
    <t xml:space="preserve">Utiliza técnicas avanzadas de análisis de big data e inteligencia artificial para extraer Insigths valiosos que transformen la toma de decisiones de marketing. </t>
  </si>
  <si>
    <t>Entiende la integración del análisis de datos en la toma de decisiones de marketing en el entorno empresarial.</t>
  </si>
  <si>
    <t>Utiliza herramientas de big data y técnicas de IA para recolectar y analizar datos.</t>
  </si>
  <si>
    <t>Interpretar insights obtenidos del análisis de datos para la toma de decisiones estratégicas.</t>
  </si>
  <si>
    <t>Introducción a la toma de decisiones basada en datos
Análisis de datos para marketing
Implementación de decisiones basadas en datos en estrategias de marketing</t>
  </si>
  <si>
    <t>Clase magistral
Desarrollo de talleres 
Debates
Lecturas</t>
  </si>
  <si>
    <t>Computadores
Softwares de BI</t>
  </si>
  <si>
    <t xml:space="preserve">Sharda, R., Delen, D., Turban, E.(2021). Analytics, data science, artificial intelligence systems for decision support. Pearson Education. https://www-ebooks7-24-com.bdbiblioteca.universidadean.edu.co/?il=16338
Ortega Candel, J. M. (2023). Big Data, Machine Learning y Data Science en Python. Ediciones de la U. https://www-ebooks7-24-com.bdbiblioteca.universidadean.edu.co/?il=31985
Hair, J. (2022). Fundamentos de analítica de marketing. McGraw-Hill Interamericana. https://www-ebooks7-24-com.bdbiblioteca.universidadean.edu.co/?il=20750
</t>
  </si>
  <si>
    <t>Rodríguez Estrada, M., Márquez Alegría, M.(1988). Serie de capacitación integral 8: manejo de problemas y toma de decisiones. Manual Moderno. https://www-ebooks7-24-com.bdbiblioteca.universidadean.edu.co/?il=1558
Davenport, T. H., &amp; Patil, D. J. (2012). Data scientist: The sexiest job of the 21st century. Harvard Business Review, 90(10), 70-76.
https://hbr.org/2012/10/data-scientist-the-sexiest-job-of-the-21st-century
Riche, N. H., Hurter, C., Diakopoulos, N., &amp; Carpendale, S. (Eds.). (2018). Data-driven storytelling. CRC Press.
https://www.taylorfrancis.com/books/9781315281575</t>
  </si>
  <si>
    <t>AFVN0089</t>
  </si>
  <si>
    <t>COMUNICACIÓN DIGITAL 360 MARKETING</t>
  </si>
  <si>
    <t>El objetivo de estudio de este curso es proporcionar a los estudiantes una comprensión completa de la comunicación digital y cómo se puede utilizar de manera efectiva en una variedad de contextos. Se centrará en las mejores prácticas y estrategias para la utilización de diferentes canales digitales, incluyendo redes sociales, correo electrónico, publicidad en línea y más, para llegar a diferentes audiencias y lograr diferentes objetivos de comunicación dentro de las estrategias de mercadeo.</t>
  </si>
  <si>
    <t>Crea estrategias integradas de comunicación de marketing a través de múltiples canales online optimizando el uso de recursos y maximizando el impacto en las audiencias de interés.</t>
  </si>
  <si>
    <t>Identifica los conceptos básicos de la comunicación digital cómo parte de las estrategias de mercadeo.</t>
  </si>
  <si>
    <t>Aplica los conceptos de la comunicación para diseñar estrategias digitales efectivas.</t>
  </si>
  <si>
    <t>Analiza el comportamiento de los consumidores para medir el resultado de sus estrategias de comunicación.</t>
  </si>
  <si>
    <t>Integra las estrategias de comunicación digital en los planes de mercadeo.</t>
  </si>
  <si>
    <t>Introducción a la Comunicación Digital
Diseño de planes estratégicos de comunicación digital
Publicidad en línea
Comunicación integrada de marketing</t>
  </si>
  <si>
    <t>•	Clase magistral
•	Desarrollo de talleres 
•	Debates
•	Estudio de Casos</t>
  </si>
  <si>
    <t>Talleres
Exposiciones
Estudio de Caso</t>
  </si>
  <si>
    <t>HubSpot
Google</t>
  </si>
  <si>
    <t xml:space="preserve">Chaffey, D., Chadwick, F. E.(2022). Digital Marketing: Strategy, implementation and practice. Pearson Educación. https://www-ebooks7-24-com.bdbiblioteca.universidadean.edu.co/?il=19826
Estrade Nieto, J. M. Jordán Soro, D. &amp; Hernández Dauder, M. Á. (2015). Marketing digital: marketing móvil, SEO y analítica web: ( ed.). Difusora Larousse - Ediciones Pirámide. https://elibro-net.bdbiblioteca.universidadean.edu.co/es/lc/bibliotecaean/titulos/49491
Bateman, A. (2007). Comunicaciones digitales: ( ed.). Marcombo. https://elibro-net.bdbiblioteca.universidadean.edu.co/es/lc/bibliotecaean/titulos/45909
Hair, J. (2022). Fundamentos de analítica de marketing. McGraw-Hill Interamericana. https://www-ebooks7-24-com.bdbiblioteca.universidadean.edu.co/?il=20750
</t>
  </si>
  <si>
    <t xml:space="preserve"> Carrillo Durán, M. V., Castillo Diáz, A.(2014). Comunicación publicitaria y comunicación corporativa e interna. McGraw-Hill. https://www-ebooks7-24-com.bdbiblioteca.universidadean.edu.co/?il=7598
Vela Martínez, Santiago. (2021) Empatía Digital. Inteligencia artifical aplicada al marketing para crear estrategias centradas en el cliente. Editorial Nomos S.A., Editorial Planeta Colombiana S.A.</t>
  </si>
  <si>
    <t>AFVN0090</t>
  </si>
  <si>
    <t>BRANDING SOST: CREANDO MARC CON PROP</t>
  </si>
  <si>
    <t xml:space="preserve">El propósito de este curso es brindar una comprensión de la creación y el desarrollo de marcas que no solo sean económicamente exitosas, sino también social y ambientalmente responsables. Los estudiantes aprenderán a estructurar identidades y experiencias de marca, definir los elementos de la marca y comunicar de manera efectiva los valores a los consumidores, todo con el objetivo de posicionar los negocios en un mercado global competitivo. Además, se enfatizará la incorporación de principios de sostenibilidad en la estrategia y gestión de la marca.
Este curso explorará cómo la percepción de una marca puede afectar su éxito, ya sea una startup, una organización sin fines de lucro o un producto, y cómo en un mercado lleno de opciones, las empresas necesitan formas de conectarse emocionalmente con los clientes para crear lealtad.
</t>
  </si>
  <si>
    <t>Desarrolla estrategias de branding que integren principios de sostenibilidad y responsabilidad social corporativa para la creación de marcas auténticas y con propósito positivo para la percepción de la marca</t>
  </si>
  <si>
    <t>Identifica los conceptos fundamentales del proceso de branding como parte de la estrategia organizacional.</t>
  </si>
  <si>
    <t>Aplica los conceptos del branding para crear marcas exitosas que incorporen los principios de sostenibilidad.</t>
  </si>
  <si>
    <t>Diseña marcas y experiencia de marcas que conecten con los consumidores y apunten a su fidelización</t>
  </si>
  <si>
    <t>Analiza los resultados del proceso de diseño y gestión de marcas.</t>
  </si>
  <si>
    <t>Introducción al Branding
Brand Anatomy
Dinámicas de Marca
El Proceso de Diseño</t>
  </si>
  <si>
    <t>•	Clase magistral
•	Desarrollo de talleres 
•	Discusión en grupo</t>
  </si>
  <si>
    <t>Adobe Suite
Figma
Miro</t>
  </si>
  <si>
    <t>Slade-Brooking, Catharine. Creating a Brand Identity: A Guide for Designers: (graphic Design Books, LOGO Design, Marketing).
Wheeler, Alina; Meyerson, Rob. Designing Brand Identity: A Comprehensive Guide to the World of Brands and Branding. Wiley. 
Lane Keller, K. (2008). Administración estratégica de marca: Branding . Pearson Educación. https://www-ebooks7-24-com.bdbiblioteca.universidadean.edu.co/?il=3649
Hoyos Ballesteros, R. (2016). Branding: el arte de marcar corazones: ( ed.). Ecoe Ediciones. https://elibro-net.bdbiblioteca.universidadean.edu.co/es/lc/bibliotecaean/titulos/70461</t>
  </si>
  <si>
    <t>Miller, Donald. Building a StoryBrand: Clarify Your Message So Customers Will Listen. HarperCollins Leadership. 
Chouinard, Yvon. Let My People Go Surfing: The Education of a Reluctant Businessman--Including 10 More Years of Business Unusual. Penguin Publishing Group. 
Bungay Stanier, Michael. How to Begin: Start Doing Something That Matters.</t>
  </si>
  <si>
    <t>AFVN0091</t>
  </si>
  <si>
    <t>TALLER DE DISEÑO PUBLICI Y CREATIVO</t>
  </si>
  <si>
    <t>Este taller busca proporcionar una comprensión sólida de los conceptos y prácticas esenciales en publicidad y diseño creativo. La publicidad es vital en el ámbito empresarial actual, ya que facilita la comunicación eficaz de productos o servicios a los consumidores. El diseño creativo, un componente central de la publicidad efectiva, permite captar la atención del consumidor y transmitir el mensaje de la marca con éxito. Durante este taller, los estudiantes aprenderán a utilizar técnicas de publicidad y diseño creativo para desarrollar campañas publicitarias efectivas honestas y responsables.</t>
  </si>
  <si>
    <t xml:space="preserve">Elabora campañas publicitarias innovadoras y efectivas mediante el uso de técnicas y herramientas creativas de diseño gráfico transmitiendo mensajes persuasivos y atractivos de manera visual </t>
  </si>
  <si>
    <t>Entiende los fundamentos básicos de la publicidad y la creatividad y su relación con el marketing mix.</t>
  </si>
  <si>
    <t>Reconoce los elementos relevantes en la creación de campañas publicitarias creativas.</t>
  </si>
  <si>
    <t>Aplica los conceptos de la publicidad y el diseño para la creación de campañas publicitarias efectivas.</t>
  </si>
  <si>
    <t>Incorpora los fundamentos de la ética y la sostenibilidad para crear narrativas honestas y responsables para las marcas.</t>
  </si>
  <si>
    <t xml:space="preserve">1.	Introducción a la creatividad y la publicidad
2.	Creación de ideas para campañas
3.	Producción y gestión de campañas
4.	La ética en la creatividad publicitaria </t>
  </si>
  <si>
    <t>•	Tutorías
•	Desarrollo de talleres 
•	Estudio de Casos
•	Lecturas</t>
  </si>
  <si>
    <t>Trabajo Hito 1		15%
Trabajo Hito 2		15%
Trabajo Hito 3		20%
Trabajo Hito 4		20%
Quices			10%
Encuentro Final 	20%</t>
  </si>
  <si>
    <t>Adobe Suite
Figma</t>
  </si>
  <si>
    <t>O'Guinn, T. C., Semenik, R. J., Allen, C. T.(2013). Publicidad y promoción integral de marca. Cengage Learning. https://www-ebooks7-24-com.bdbiblioteca.universidadean.edu.co/?il=835
Díaz Meneses, G. (2023). Consumer Behaviour and Neuromarketing: (1 ed.). Universidad de Las Palmas de Gran Canaria. Servicio de Publicaciones y Difusión Científica. https://elibro-net.bdbiblioteca.universidadean.edu.co/es/lc/bibliotecaean/titulos/232164
Medina, A. (2020). Introducción a la publicidad: (2 ed.). Difusora Larousse - Ediciones Pirámide. https://elibro-net.bdbiblioteca.universidadean.edu.co/es/lc/bibliotecaean/titulos/216138</t>
  </si>
  <si>
    <t xml:space="preserve">Moth, The; Bowles, Meg; Burns, Catherine; Hixson, Jenifer; Jenness, Sarah Austin; Tellers, Kate. How to Tell a Story: The Essential Guide to Memorable Storytelling from The Moth. Octopus Publishing Group Ltd
Lamarre, Guillaume. Storytelling como estrategia de comunicación: Herramientas narrativas para comunicadores, creativos y emprendedores (Spanish Edition). Editorial GG. 
Kelley, Tom. &amp; Kelley, David. (2013). Creative Confidence: Unleashing the creative potential within us. William Collins Ed. </t>
  </si>
  <si>
    <t>AFVN0092</t>
  </si>
  <si>
    <t>TALLER DE DISEÑO WEB Y DIGITAL</t>
  </si>
  <si>
    <t>El diseño web y digital es de suma importancia en la era actual de la tecnología. En una era en la que la mayoría de las interacciones y transacciones se realizan en línea, un diseño web efectivo puede ser la diferencia entre el éxito y el fracaso de un negocio. Un buen diseño web aumenta la visibilidad de una empresa, mejora la experiencia del usuario y puede conducir a un mayor compromiso y conversiones. Es una herramienta esencial para cualquier empresa que quiera tener un impacto en el mercado digital actual.
Este curso tiene como objetivo estudiar el diseño web y digital, con un enfoque particular en la experiencia del usuario (UX). Se abordarán temas como la importancia del diseño web y digital en las estrategias de marketing, los fundamentos del diseño UX y las metodologías aplicables. Se realizarán actividades prácticas que incluyen investigación de usuarios, diseño de arquitectura de la información, creación de wireframes, diseño de interacciones y pruebas de usuario.</t>
  </si>
  <si>
    <t>Construye sitios web funcionales, intuitivos y atractivos utilizando herramientas y tecnologías modernas de diseño responsive y desarrollo web.</t>
  </si>
  <si>
    <t>Entiende los conceptos básicos del diseño web y digital y su importancia en las estrategias de mercadeo</t>
  </si>
  <si>
    <t xml:space="preserve">Entiende las necesidades de los usuarios y los objetivos organizacionales para la creación de páginas web y aplicaciones que cumplan con los fundamentos del diseño UX. </t>
  </si>
  <si>
    <t xml:space="preserve">Aplica los conceptos del Diseño UX y Diseño UI en la creación de prototipos digitales. </t>
  </si>
  <si>
    <t>•	Introducción al diseño web y digital
•	El diseño UX
•	Prototipado web y digital</t>
  </si>
  <si>
    <t xml:space="preserve">•	Tutorías
•	Desarrollo de talleres </t>
  </si>
  <si>
    <t>Allanwood, G. &amp; Beare, P. (2021). Diseño de experiencias de usuario: (2 ed.). Parramón Paidotribo S.L. https://elibro-net.bdbiblioteca.universidadean.edu.co/es/lc/bibliotecaean/titulos/226895
Eyal, Nir. &amp; Hoover, Ryan. (2014). Hooked: How to Build Habit-Forming Product. Penguin Publishing Group
Scolari, C. A. (2004). Hacer clic: hacia una sociosemiótica de las interacciones digitales: ( ed.). Editorial Gedisa. https://elibro-net.bdbiblioteca.universidadean.edu.co/es/lc/bibliotecaean/titulos/61087</t>
  </si>
  <si>
    <t>Brown, Tim (2019). Change by Design, Revised and Updated: How Design Thinking Transforms Organizations and Inspires Innovation . HarperCollins. 
Park Uijun, (2023). Introduction to Design Thinking for UX Beginners. 
Psychology to UX design en
https://medium.com/design-bootcamp/psychology-to-ux-design-part-1-2e52a4e081f3</t>
  </si>
  <si>
    <t>AFVN0093</t>
  </si>
  <si>
    <t>DISEÑO DE MÉTRICAS PARA EL MARKETING</t>
  </si>
  <si>
    <t>La unidad de estudio Diseño de Métricas para el Marketing tiene como propósito capacitar a los participantes en la creación y aplicación de métricas efectivas para evaluar y optimizar las estrategias de marketing. El objetivo es proporcionar una comprensión integral de cómo diseñar indicadores clave de rendimiento (KPIs) que reflejen de manera precisa el impacto y la efectividad de las campañas y actividades de marketing.
Durante esta unidad, los estudiantes aprenderán a identificar y definir métricas relevantes que alineen con los objetivos estratégicos del marketing, así como a utilizar herramientas analíticas para medir el rendimiento en tiempo real. Se abordarán aspectos fundamentales como la selección de métricas adecuadas para distintos tipos de campañas, la interpretación de datos, y la toma de decisiones basada en resultados cuantitativos.
Al finalizar la unidad, los participantes estarán equipados con las habilidades necesarias para desarrollar métricas personalizadas que faciliten una evaluación detallada de las iniciativas de marketing, permitiendo la optimización continua y la maximización del retorno sobre la inversión (ROI). Este conocimiento les permitirá tomar decisiones informadas y estratégicas que impulsen el éxito y la competitividad de sus actividades de marketing</t>
  </si>
  <si>
    <t>Analiza datos complejos e insights de mercadeo para la toma de decisiones estrategias en un contexto empresarial.</t>
  </si>
  <si>
    <t>Comprende los fundamentos básicos de las métricas de marketing y su relevancia en la toma de decisiones estratégicas.</t>
  </si>
  <si>
    <t>Identifica las diferentes métricas del mercadeo online y tradicional</t>
  </si>
  <si>
    <t>Diseña métricas y KPIs para la toma de decisiones estratégicas</t>
  </si>
  <si>
    <t xml:space="preserve">Interpreta los datos para mejorar los resultados organizacionales. </t>
  </si>
  <si>
    <t>Introducción a las Métricas de Marketing
Métricas de Participación y Conversión
Métricas de Retención
Análisis e Interpretación de Métricas</t>
  </si>
  <si>
    <t>•	Tutorías
•	Desarrollo de talleres 
•	Lecturas</t>
  </si>
  <si>
    <t>Talleres
Exposiciones
Estudio de Caso
Examenes
Retos Empresariales</t>
  </si>
  <si>
    <t>•	Google Analytics
•	HubSpot
•	Computadores</t>
  </si>
  <si>
    <t xml:space="preserve">Chaffey, D., Ellis-Chadwick, F.(2014). Marketing digital: estrategia, implementación y práctica. Pearson Educación. https://www-ebooks7-24-com.bdbiblioteca.universidadean.edu.co/?il=3470
Kaushik, A. (2021). Web Analytics 2.0: The Art of Online Accountability and Science of Customer Centricity. John Wiley &amp; Sons.
Jeffery, M. (2010). Data-Driven Marketing: The 15 Metrics Everyone in Marketing Should Know. John Wiley &amp; Sons.
Peterson, E. T. (2004). Web Analytics Demystified: A Marketer's Guide to Understanding How Your Web Site Affects Your Business. Celilo Group Media.
The Power to Predict Who Will Click, Buy, Lie, or Die. John Wiley &amp; Sons.
López Benítez, Y. (2022). Transformación digital en la empresa. Ediciones de la U. https://www-ebooks7-24-com.bdbiblioteca.universidadean.edu.co/?il=24876
</t>
  </si>
  <si>
    <t xml:space="preserve">Järvinen, J., &amp; Karjaluoto, H. (2015). The use of Web analytics for digital marketing performance measurement. Industrial Marketing Management, 50, 117-127.
https://www.sciencedirect.com/science/article/pii/S0019850115001820
Saura, J. R., Palos-Sanchez, P., &amp; Cerdá Suárez, L. M. (2017). Understanding the digital marketing environment with KPIs and web analytics. Future Internet, 9(4), 76.
https://www.mdpi.com/1999-5903/9/4/76
Kannan, P. K., &amp; Li, H. A. (2017). Digital marketing: A framework, review and research agenda. International Journal of Research in Marketing, 34(1), 22-45.
https://www.sciencedirect.com/science/article/pii/S0167811616301550
Wedel, M., &amp; Kannan, P. K. (2016). Marketing analytics for data-rich environments. Journal of Marketing, 80(6), 97-121.
https://journals.sagepub.com/doi/full/10.1509/jm.15.0413
Pauwels, K., Aksehirli, Z., &amp; Lackman, A. (2016). Like the ad or the brand? Marketing stimulates different electronic word-of-mouth content to drive online and offline performance. International Journal of Research in Marketing, 33(3), 639-655.
https://www.sciencedirect.com/science/article/pii/S0167811616000069
Hanssens, D. M., &amp; Pauwels, K. H. (2016). Demonstrating the value of marketing. Journal of Marketing, 80(6), 173-190.
https://journals.sagepub.com/doi/full/10.1509/jm.15.0417
Germann, F., Lilien, G. L., &amp; Rangaswamy, A. (2013). Performance implications of deploying marketing analytics. International Journal of Research in Marketing, 30(2), 114-128.
https://www.sciencedirect.com/science/article/pii/S0167811612000663
Hasan, L., Morris, A., &amp; Probets, S. (2009). Using Google Analytics to evaluate the usability of e-commerce sites. In Human centered design (pp. 697-706). Springer, Berlin, Heidelberg.
https://link.springer.com/chapter/10.1007/978-3-642-02806-9_81
Chaffey, D., &amp; Patron, M. (2012). From web </t>
  </si>
  <si>
    <t>AFVN0094</t>
  </si>
  <si>
    <t>DATA STOR POT LA ANALÍ MACHINE LEARN</t>
  </si>
  <si>
    <t xml:space="preserve">"Data Storytelling: Potenciando la analítica con machine learning" es un curso innovador que fusiona el arte de la narrativa con la ciencia de datos y la inteligencia artificial. Los estudiantes aprenderán a transformar datos complejos en historias visuales convincentes que impulsen la toma de decisiones estratégicas en el área de mercadeo y en el ámbito empresarial. El curso demanda un alto nivel de creatividad, pensamiento analítico y habilidades técnicas, ofreciendo una ventaja competitiva única en el mercado laboral. Los participantes trabajarán con conjuntos de datos reales, utilizando herramientas de vanguardia en visualización y machine learning. </t>
  </si>
  <si>
    <t xml:space="preserve">Comunica Insigths de datos a través de narrativas visuales impactantes que faciliten la comprensión y tomas de decisiones estratégicas, utilizando modelos de machine learning </t>
  </si>
  <si>
    <t>Comprende los conceptos básicos del storytelling y machine learning como herramientas para el mercadeo.</t>
  </si>
  <si>
    <t>Identifica insights relevantes a partir del análisis de datos</t>
  </si>
  <si>
    <t>Utiliza herramientas y técnicas para analizar datos y comunicar resultados</t>
  </si>
  <si>
    <t>Comunica de manera interactiva y aplicando los principios de storytelling los datos obtenidos.</t>
  </si>
  <si>
    <t>Introducción a Data Storytelling
Machine Learning
Storytelling y Machine Learning
Presentación de datos</t>
  </si>
  <si>
    <t>Phyton 
Computadores
Softwares de BI</t>
  </si>
  <si>
    <t xml:space="preserve">Ortega Candel, J. M. (2023). Big Data, Machine Learning y Data Science en Python. Ediciones de la U. https://www-ebooks7-24-com.bdbiblioteca.universidadean.edu.co/?il=31985
Knaflic, C. N. (2015). Storytelling with Data: A Data Visualization Guide for Business Professionals. Wiley.
Dykes, B. (2020). Effective Data Storytelling: How to Drive Change with Data, Narrative and Visuals. Wiley.
Nussbaumer Knaflic, C. (2019). Storytelling with Data: Let's Practice! Wiley.
Cairo, A. (2016). The Truthful Art: Data, Charts, and Maps for Communication. New Riders.
Wexler, S., Shaffer, J., &amp; Cotgreave, A. (2017). The Big Book of Dashboards: Visualizing Your Data Using Real-World Business Scenarios. Wiley.
Few, S. (2009). Now You See It: Simple Visualization Techniques for Quantitative Analysis. Analytics Press.
</t>
  </si>
  <si>
    <t>Dykes, B. (2020). Effective Data Storytelling: How to Drive Change with Data, Narrative and Visuals. Forbes.
https://www.forbes.com/sites/brentdykes/2020/03/09/effective-data-storytelling-how-to-drive-change-with-data-narrative-and-visuals/
Agrawal, A. (2019). Why Data Storytelling Is So Important In Data Science. Forbes.
https://www.forbes.com/sites/forbestechcouncil/2019/10/25/why-data-storytelling-is-so-important-in-data-science/
Davenport, T. (2020). Elevating The Impact Of Data Storytelling. Forbes.
https://www.forbes.com/sites/tomdavenport/2020/07/15/elevating-the-impact-of-data-storytelling/
Stikeleather, J. (2013). How to Tell a Story with Data. Harvard Business Review.
https://hbr.org/2013/04/how-to-tell-a-story-with-data
Liao, T. (2020). Visual Storytelling: 7 Tips for Creating More Persuasive Data Stories. Tableau.
https://www.tableau.com/learn/articles/data-storytelling
Nussbaumer Knaflic, C. (2019). Storytelling with Data: How to Communicate Visually and Effectively. Google Talks.
https://www.youtube.com/watch?v=8EMW7io4rSI
Berinato, S. (2016). Visualizations That Really Work. Harvard Business Review.
https://hbr.org/2016/06/visualizations-that-really-work
Dykes, B. (2016). Data Storytelling: The Essential Data Science Skill Everyone Needs. Forbes.
https://www.forbes.com/sites/brentdykes/2016/03/31/data-storytelling-the-essential-data-science-skill-everyone-needs/
Cotgreave, A. (2018). 5 tips for better data storytelling. Information Age.
https://www.information-age.com/5-tips-better-data-storytelling-123471380/
Schwabish, J. (2014). An Economist's Guide to Visualizing Data. Journal of Economic Perspectives, 28(1), 209-234.
https://www.aeaweb.org/articles?id=10.1257/jep.28.1.209</t>
  </si>
  <si>
    <t>AFVN0095</t>
  </si>
  <si>
    <t>CAPT DE VALOR E IMPACT FIN DEL PRECIO</t>
  </si>
  <si>
    <t xml:space="preserve">Esta unidad de estudio tiene como propósito fijar precios de manera estratégica, comprendiendo los conceptos fundamentales de valor y precio en el contexto empresarial. Se analizarán los factores internos y externos que influyen en la determinación del precio, aplicando diferentes estrategias para maximizar la rentabilidad y el valor, con el finde evaluar el impacto financiero de las decisiones de precios y comunicarás de manera efectiva las estrategias a las partes interesadas. Al finalizar, los estudiantes logran tomar decisiones estratégicas de precios que impulsen el éxito de la empresa con sentido social y sostenible. </t>
  </si>
  <si>
    <t xml:space="preserve">Utiliza herramientas de análisis financiero para la fijación de estrategias de precios óptimas y rentables. </t>
  </si>
  <si>
    <t>Analiza críticamente la información financiera y de mercado para tomar decisiones de precios estratégicas.</t>
  </si>
  <si>
    <t>Aplica diferentes metodologías de fijación de precios en escenarios reales.</t>
  </si>
  <si>
    <t>Evalúa el impacto financiero de las decisiones de precios en la rentabilidad y el valor de la empresa</t>
  </si>
  <si>
    <t>Comunica de manera efectiva las estrategias de precios a diferentes audiencias.</t>
  </si>
  <si>
    <t>•	Introducción a la Captación de Valor e Impacto Financiero del Precio
•	Estrategias de Fijación de Precios
•	Análisis y Evaluación del Impacto Financiero de las Decisiones de Precios
•	Comunicación de las Estrategias de Precios a las Partes Interesadas</t>
  </si>
  <si>
    <t>Talleres
Monitoreo de precios
Proyecto integrador</t>
  </si>
  <si>
    <t>IA
Monitores de precio
NeuroLab</t>
  </si>
  <si>
    <t xml:space="preserve">	Anderson, Chris (2009). “Free. The future of a radical price”. Hyperion. New York.
	Anderson, James; Narus, James and Van Rossum, Wouter. “Customer value proposition in business markets” Harvard Business Review. (2006)
	Arias Anaya, R. M. (2018). Análisis e interpretación de los estados financieros. Mexico: Trillas. 
	Bennett, P. S. (2018). Pricing Strategy: Setting the Right Price for Maximum Profitability.
	Barry, B. W. (2020). The Price Guide: How to Set the Right Price for Everything.
	Díez de Castro, Enrique Carlos (2004); “Gestión de Precios”. ESIC Editorial. Madrid
	Gutiérrez, D. &amp;. (2018). Planeación financiera y gestión del valor. Bogotá: Ecoe ediciones.
	Mauboussin, M. J. (2021). Price Rebel: The Revolutionary Power of Price to Move Markets, Build Brands, and Make Customers Happy.
	Nagle, T. T., Muller, G. (2018). The Strategy and Tactics of Pricing. New York: Routledge.
	Nagle, T.T. (2005). “Estrategias y tácticas de recios: una guía para tomar decisiones rentables”. Pearson. Madrid.
	Ortiz Anaya, H. (2018). Análisis Financiero aplicado, bajo NIIF. Ed. 16. Bogota: Universidad Externado de Colombia. 
	Ries, E. (2019). The Art of Pricing: How to Price Your Products and Services for Maximum Profitability.
	Vázquez, N. &amp;. (2018). Análisis Financiero: Manual para interpretar la información empresarial y tomar decisiones adecuadas. Mexico: Trillas.
	Vera, G (2020) A study of the economic and financial analysis for social firms: are they really businesses?, disponible en https://revistas.um.es/rcsar/article/view/361531/283781
</t>
  </si>
  <si>
    <t>Journal Articles:
	Plassmann, H., &amp; Venkatana, K. (2020). Neuromarketing and the GDPR: Ethical considerations and practical implications. European Journal of Marketing, 54(10), 2474-2498.
	Schreiman, I., &amp; Marchegiani, G. (2022). Neuromarketing and the future of marketing research. Journal of Marketing Research, 59(6), 1004-1022.
	Wang, C. H., &amp; Hu, H. H. (2018). The impact of neuromarketing on consumer behavior and decision-making. Journal of Business Research, 94, 307-317.
	Yoon, H., &amp; Kim, H. J. (2021). The role of neuromarketing in understanding consumer emotions and behaviors. Journal of Advertising, 50(4), 502-518</t>
  </si>
  <si>
    <t>AFVN0096</t>
  </si>
  <si>
    <t>VÍN DUR: CRM PA LA GES EST DE LOS CLI</t>
  </si>
  <si>
    <t>El propósito de este curso es proporcionar a los estudiantes una comprensión profunda del Customer Relationship Management (CRM) y cómo puede ser utilizado estratégicamente para construir y mantener relaciones duraderas con los clientes. Los estudiantes aprenderán a implementar y gestionar sistemas CRM, analizar datos de clientes para mejorar la toma de decisiones y diseñar estrategias que maximicen el valor del cliente para la empresa.
Durante los últimos 20 años los clientes han cambiado su forma de hacer negocios con las empresas. Hoy en día es el cliente quien decide, cuando, donde y como comprar o comunicarse. Dado este contexto, se requiere que la estrategia de la organización sea centrada en el cliente y para lograrlo, se requiere una visión y herramientas que permitan crear y mantener relaciones de largo plazo que impactarán la sostenibilidad del negocio. La administración de relaciones con los clientes (CRM), la administración de la experiencia del cliente (CEM), así como los sistemas de automatización de fuerza de ventas (SFA) son herramientas que han probado ser efectivas en apoyar estrategias de negocio centradas en el cliente. A estas herramientas se debe insertar conocimiento del cliente en asuntos de sostenibilidad para generar diferenciación en la relación con los consumidores.</t>
  </si>
  <si>
    <t xml:space="preserve">Implementa sistemas de CRM y gestión de la experiencia del cliente que permitan la anticipación a las necesidades, la construcción de relaciones comerciales y la creación de valor. </t>
  </si>
  <si>
    <t>Comprende qué es el CRM y su rol en la gestión de relaciones con clientes, identificando los beneficios estratégicos del CRM.</t>
  </si>
  <si>
    <t>Analiza las principales variables del marketing relacional y sus interacciones con los diferentes canales dependiendo de la industria.</t>
  </si>
  <si>
    <t>Aprende técnicas de análisis de datos para entender el comportamiento del cliente, utilizando datos para la toma de decisiones estratégicas.</t>
  </si>
  <si>
    <t>Diseña estrategias efectivas de fidelización y retención de clientes basadas en datos, integrando CRM en la estrategia global de la empresa.</t>
  </si>
  <si>
    <t>1.	Introducción al CRM y su importancia estratégica
1.1.	Definición y conceptos básicos del CRM
1.2.	Tipos de CRM
1.3.	Importancia del CRM en la Gestión Estratégica
2.	Implementación de Sistemas CRM
2.1.	Proceso de Implementación del CRM
2.2.	Características de los Principales Sistemas CRM
2.3.	Desafíos y Mejores Prácticas en la Implementación
3.	Análisis de Datos de Clientes
3.1.	Recopilación y Gestión de Datos de Clientes
3.2.	Herramientas y Técnicas de Análisis de Datos
3.3.	Interpretación de Datos para la Toma de Decisiones
4.	Diseño de Estrategias de Fidelización y Retención
4.1.	Estrategias de fidelización de clientes
4.2.	Retención de clientes
4.3.	Medición y evaluación de estrategias 
5.	Integración del CRM en la estrategia global de la empresa
5.1.	CRM y marketing
5.2.	CRM y ventas
5.3.	CRM y servicio al cliente</t>
  </si>
  <si>
    <t>Clase Magistral
Aprendizaje Colaborativo
Workshops
Aprendizaje Autónomo
Aprendizaje basado en proyectos
Estudio de Casos
Aprendizaje basado en retos</t>
  </si>
  <si>
    <t xml:space="preserve">Evaluación Hito 1		10%
Actividad Hito 2		20%		
Actividad Hito 3		25%
Actividad Hito 4		25%
Encuentro Final		20% </t>
  </si>
  <si>
    <t>Plataforma de Canvas 
CRM – HubSpot, Zoho, o SalesForce
Microsoft Office</t>
  </si>
  <si>
    <t>Artal Castells, M. (2017). Dirección de ventas. Organización del departamento de ventas y gestión de vendedores. España: Esic.
Arnaiz, F.,(2018), Transformación Digital en las Empresas: Consumidores y Vendedores del Siglo XXI. Madrid: Fundación Confemetal.
CHIESA DE NEGRI, C., 2009, CRM, Las Cinco Pírámides del Marketing Relacional, Cómo Conseguir que los Clientes Lleguen para Quedarse, Deusto Ediciones, Barcelona.
Ferrel, O., (2018), Estrategia de Marketing. 6a Edición. México: Cengage.
GOLDENBERG, B., 2002, CRM Automation, Prentice Hall, New Jersey.
GREENBERG, P., 2009, CRM at the Speed of Light, McGraw Hill, USA.
GREENBERG, P., 2003, Las Claves del CRM, Gestión de Relaciones con los Clientes, McGraw Hill, Madrid.</t>
  </si>
  <si>
    <t>Holloway, B. B., Deitz, G. D., &amp; Hansen, J. D. (2013). The Benefits of Sales Force Automation (SFA): An Empirical Examination of SFA Usage on Relationship Quality and Performance. Journal Of Relationship Marketing, 12(4), 223-242. doi:10.1080/15332667.2013.846735
Greenberg, P. (2010). The impact of CRM 2.0 on customer insight. Journal Of Business &amp; Industrial Marketing, 25(6), 410. 
Levitt, T. (1983), After the sale is over. Harvard Business Review. Recuperado de: https://hbr.org/1983/09/after-the-sale-is-over/ar/1 
Mangiaracina, R., Brugnoli, G., &amp; Perego, A. (2009). The eCommerce Customer Journey: A Model to Assess and Compare the User Experience of the eCommerce Websites. Journal Of Internet Banking &amp; Commerce, 14(3), 1-11.
Martin, D. M., &amp; Schouten, J. (2011). Sustainable marketing. Pearson Prentice Hall.
Palmer, A. (2010). Customer experience management: A critical review of an emerging idea. The Journal of Services Marketing, 24(3), 196-208. doi:http://dx.doi.org/10.1108/08876041011040604
Thomsen, D., (2013), Why Human Centered Desing Matters. Wired. Recuperado de:  http://www.wired.com/insights/2013/12/human-centered-design-matters/
Vargo, S. L., &amp; Lusch, R. F. (2004). Evolving to a New Dominant Logic for Marketing. Journal Of Marketing, 68(1), 1-17.  
Verhoef, P. C., Lemon, K. N., Parasuraman, A., Roggeveen, A., Tsiros, M., &amp; Schlesinger, L. A. (2009). Customer experience creation: Determinants, dynamics and management strategies. Journal of Retailing, 85(1), 31-41. doi:http://dx.doi.org/10.1016/j.jretai.2008.11.001  
Woodcook, Green &amp; Starkey. Journal of Database Marketing &amp; Customer Strategy Management (2011) 18, 50 -64. doi:10.1057/dbm.2011.7).</t>
  </si>
  <si>
    <t>AFVN0097</t>
  </si>
  <si>
    <t>VENTAS INTELI PARA EL CRECIMI EMPRES</t>
  </si>
  <si>
    <t>El propósito de este curso es capacitar a los estudiantes en las estrategias y técnicas de ventas inteligentes, utilizando herramientas y metodologías modernas que permitan incrementar las ventas de manera efectiva y sostenible. Los estudiantes aprenderán a utilizar datos y tecnología para mejorar el proceso de ventas, identificar oportunidades de crecimiento y diseñar estrategias que impulsen el rendimiento comercial.
El estudiante debe entender el proceso de ventas no solo como un proceso en si mismo sino como uno de los procesos más importantes para el éxito de una organización, así como tener una estrategia clara de ventas, unos objetivos y una política comercial ágil que pueda adaptarse al entorno cambiante de la empresa. Tenemos que tener presente no solo cómo vender sino como adaptar la dirección de ventas a diferentes realidades del Mercado (nuevos competidores, políticas comerciales de los distribuidores, marcas del distribuidor etc.)</t>
  </si>
  <si>
    <t xml:space="preserve">Implementa estrategias de ventas inteligentes omnicanal apoyadas en data analytics que impulsen el crecimiento rentable del negocio.  </t>
  </si>
  <si>
    <t xml:space="preserve">Comprende los principios básicos de las ventas inteligentes, identificando las diferencias entre ventas tradicionales y ventas inteligentes. </t>
  </si>
  <si>
    <t>Conoce las principales herramientas tecnológicas que soportan las ventas inteligentes, utilizando software de automatización de ventas y análisis de datos.</t>
  </si>
  <si>
    <t>Recolecta y analiza datos usando análisis predictivo para identificar oportunidades y optimizar el rendimiento con el fin de tener estrategias exitosas de ventas.</t>
  </si>
  <si>
    <t xml:space="preserve">Diseña procesos de ventas eficientes y efectivos a través del desarrollo de estrategias para la gestión y fidelización de clientes. </t>
  </si>
  <si>
    <t xml:space="preserve">1.	Fundamentos de ventas inteligentes
1.1.	Introducción a las ventas inteligentes
1.2.	Importancia de las ventas inteligentes
1.3.	Elementos clave de las ventas inteligentes
2.	Tecnologías y herramientas para las ventas inteligentes 
2.1.	Software y automatización de ventas
2.2.	Plataformas de automatización de marketing
2.3.	Análisis de datos y Business Intelligence
3.	Estrategias de ventas basadas en datos
3.1.	Recolección de datos de ventas
3.2.	Análisis predictivo y segmentación de clientes
3.3.	Personalización y automatización
4.	Optimización del proceso de ventas y gestión de clientes
4.1.	Mapeo del proceso de ventas
4.2.	Estrategias de negociación y cierre de ventas
4.3.	Gestión y fidelización de clientes
5.	Desarrollo y presentación de proyectos de ventas inteligentes 
5.1.	Planificación y ejecución de proyectos
5.2.	Evaluación y medición del desempeño
5.3.	Presentación y defensa de proyectos
6.	Tendencias actuales y futuras en ventas inteligentes </t>
  </si>
  <si>
    <t xml:space="preserve">•	Tutorías
•	Aprendizaje Colaborativo
•	Workshops
•	Aprendizaje Autónomo
•	Aprendizaje basado en proyectos
•	Estudio de Casos
•	Aprendizaje basado en retos
•	Simulaciones y juegos de rol 
•	Invitados especiales </t>
  </si>
  <si>
    <t xml:space="preserve">Evaluación Hito 1		15%
Trabajo Hito 2		20%		
Trabajo Hito 3		20%
Trabajo Hito 4		20% 
Encuentro Final		25%
</t>
  </si>
  <si>
    <t>Plataforma de Canvas 
Bases de Datos de la Universidad Ean
Sitios Web especializados
Microsoft Office</t>
  </si>
  <si>
    <t xml:space="preserve">Arnaiz, F.,(2018), Transformación Digital en las Empresas: Consumidores y Vendedores del Siglo XXI. Madrid: Fundación Confemetal. Ediciones de la U. [Disponible en Ebooks 7-24]
Artal Castells, M. (2017). Dirección de ventas. Organización del departamento de ventas y gestión de vendedores. España: Esic. Ediciones de la U. [Disponible en E-books 7-24] 
Daniels, J., Radebaugh, L., Sullivan, D. (2018). Negocios Internacionales. Ambientes y Operaciones 15ª ed. México D.F.: Pearson Educación de México. Ediciones de la U. [Disponible en E-books 7-24]
García Palomo, J. P., García Gallego, J. (2018). Gestión de fuerza de ventas y equipos comerciales. Ediciones de la U. [Disponible en Ebooks 7-24]
Jobber, D., &amp; Lancaster, G. (2012). Administración de ventas. México: Pearson Educación. Ediciones de la U. [Disponible en Ebooks 7-24]
Kotler, P., Rackham, N., &amp; Krishnaswamy, S. (2006). CRM: La Gestión de la Relación con los Clientes. McGraw-Hill.
Kotler, P., y Amstrong, G., (2018), Principios de Marketing. 17 Edición. Madrid: Pearson. [Disponible en Ebooks 7-24]
Liria, E. La Revolución Comercial
Ed. McGraw Hill
McDonald, M., &amp; Dunbar, I. (2012). Market Segmentation: How to Do It, How to Profit from It. Wiley.
Mark W Johnston. Greg W. Marsshall
Administración de ventas. 9ª  edición, 2009. Ed. McGraw Hill.
Pérez, F. &amp; Schefer, R. (2013). Dirección comercial avanzada. Del análisis a la propuesta de valor. Ediciones de la U. [Disponible en Ebooks 7-24]
</t>
  </si>
  <si>
    <t>Best, R.J. (2007). Marketing Estratégico 4ª edición. Madrid, España. Ediciones de la U. [Disponible en Ebooks 7-24]
Cámara, D. &amp; Sanz, María. (2001). Dirección de ventas. Vender y fidelizar en el nuevo milenio. Madrid, España. Prentice Hall. Ediciones de la U. [Disponible en E-books 7-24]  
Guiltinan, J. Gerencia de Marketing. Editorial Mac Graw Hill. .Sexta edición.
Jany Castro J. N. Investigación Integral de Mercados. Tercera Edición. McGraw Hill.
Kotler &amp; Keller. Dirección  de Marketing. Duodécima edición. Ed. Prentice Hall. 2006.
Kotler, P., y Amstrong, G., (2018), Principios de Marketing. 17 Edición. Madrid: Pearson. [Disponible en Ebooks 7-24]
Lambin, Gallucci, Sicurello. Dirección de Marketing. Segunda Edición. Ed. McGraw Hill.
McCARTHY, E. Jerome / PERREAULT, JR, William  D. Marketing  un  enfoque  global. Ed. McGraw Hill.</t>
  </si>
  <si>
    <t>AFVN0098</t>
  </si>
  <si>
    <t>ESTRAT DE MARKETING VERDE Y LOGÍS SOST</t>
  </si>
  <si>
    <t>El curso brinda a los estudiantes una comprensión profunda de la importancia de la sostenibilidad en el ámbito empresarial y el papel crucial del Mercadeo y la logística en la transición hacia prácticas más respetuosas con el medio ambiente. 
Se explorará cómo las empresas pueden desarrollar estrategias efectivas de Mercadeo verde y optimizar sus procesos logísticos para reducir su huella de carbono, fomentar el consumo responsable y contribuir a la preservación del planeta. 
Los estudiantes adquirirán habilidades para diseñar campañas de Mercadeo sostenible, implementar prácticas de logística ecológica y evaluar el impacto ambiental de las operaciones empresariales. Este curso exigirá un compromiso firme con la sostenibilidad, pensamiento crítico y creatividad para desarrollar soluciones innovadoras que armonicen el éxito empresarial con la protección del medio ambiente.</t>
  </si>
  <si>
    <t>Diseña estrategias de marketing que promuevan prácticas comerciales y de logística sostenibles y responsables con el medio ambiente.</t>
  </si>
  <si>
    <t>Comprende los conceptos fundamentales de la sostenibilidad, el Mercadeo verde y la logística ecológica, y su importancia en el contexto empresarial actual.</t>
  </si>
  <si>
    <t>Analiza el impacto ambiental de las operaciones empresariales, identificando oportunidades de mejora en la cadena de suministro y la gestión de residuos.</t>
  </si>
  <si>
    <t>Diseña estrategias de Mercadeo verde, alineadas con los objetivos de sostenibilidad de la empresa y capaces de acercarse en el comportamiento de compra de los consumidores.</t>
  </si>
  <si>
    <t xml:space="preserve">Implementa planes de acción para la optimización de la logística sostenible, incluyendo la gestión de transporte, almacenamiento y distribución de productos de manera ecológica. </t>
  </si>
  <si>
    <t>Introducción a la sostenibilidad y el Mercadeo verde en el contexto empresarial. 
Economía circular y modelos de negocio sostenibles. 
Análisis del ciclo de vida de los productos y su impacto ambiental. 
Diseño y desarrollo de productos ecológicos. 
Estrategias de Mercadeo verde: certificaciones, etiquetado ambiental y comunicación. 
Logística sostenible: transporte, almacenamiento y distribución ecológica. 
Gestión de residuos y reciclaje en la cadena de suministro. 
Consumo responsable y comportamiento del consumidor verde. 
Tendencias y casos de éxito en Mercadeo verde y logística sostenible. 
Desarrollo de un proyecto final integrando estrategias de Mercadeo verde y logística sostenible.</t>
  </si>
  <si>
    <t>Casos de estudio de empresas líderes en sostenibilidad y Mercadeo verde, analizando sus estrategias, impacto y lecciones aprendidas.
Tutorías y asesorías personalizadas para guiar a los estudiantes en sus proyectos y abordar sus inquietudes.</t>
  </si>
  <si>
    <t>Bases de datos
Herramientas de inteligencia artificial</t>
  </si>
  <si>
    <t>Artículos académicos:
1.	Ottman, J. (2017). The new rules of green marketing: Strategies, tools, and inspiration for sustainable branding. Routledge. https://www.routledge.com/The-New-Rules-of-Green-Marketing-Strategies-Tools-and-Inspiration-for/Ottman/p/book/9781138089396
2.	Ćirović, G., Topalović, S., &amp; Kutlača, D. (2021). Green logistics and sustainable development. Logistics, 5(2), 27. https://doi.org/10.3390/logistics5020027
3.	Dangelico, R. M., &amp; Vocalelli, D. (2017). "Green Marketing": An analysis of definitions, strategy steps, and tools through a systematic review of the literature. Journal of Cleaner Production, 165, 1263-1279. https://doi.org/10.1016/j.jclepro.2017.07.184
4.	Xiao, C., &amp; Tian, Y. (2020). Green logistics and sustainability: A review and bibliometric analysis. Sustainability, 12(21), 9194. https://doi.org/10.3390/su12219194
5.	Tiwari, S., Shaikh, S., &amp; Tripathy, S. (2022). Green marketing and sustainable development: A systematic review and future research agenda. Journal of Business Research, 144, 743-760. https://doi.org/10.1016/j.jbusres.2022.01.075
Libros:
1.	Peattie, K., &amp; Charter, M. (2016). Marketing verde: Oportunidad para la innovación. Pearson Educación. https://www.pearson.com/es/libros/marketing-verde/9788490354698
2.	Grant, J. (2021). Green marketing and sustainable consumption. Emerald Publishing. https://books.emeraldinsight.com/page/detail/Green-Marketing-and-Sustainable-Consumption/?K=9781800430869
3.	Guzman, A., Walker, H., &amp; Di Sisto, L. (2022). Green logistics: Improving the environmental sustainability of logistics. Kogan Page. https://www.koganpage.com/product/green-logistics-9781398603868
4.	Belz, F. M., &amp; Peattie, K. (2021). Sustainability marketing: A global perspective. John Wiley &amp; Sons. https://www.wiley.com/en-us/Sustainability+Marketing%3A+A+Global+Perspective%2C+3rd+Edition-p-9781119644972
5.	McKinnon, A., Cullinane, S., Browne, M., &amp; Whiteing, A. (2015). Green logistics: Improving the environmental sustainability of logistics. Kogan Page. https://www.koganpage.com/product/green-logistics-9780749473242</t>
  </si>
  <si>
    <t>Artículos de discusión:
1.	Berendt, J. (2022, August 24). Green marketing: The key to sustainable success. Forbes. https://www.forbes.com/sites/forbesagencycouncil/2022/08/24/green-marketing-the-key-to-sustainable-success/
2.	Molla, R. (2022, November 16). The state of sustainable logistics in 2022. Vox. https://www.vox.com/recode/23462611/sustainable-logistics-supply-chain-emissions-pandemic
3.	Berger, J. (2022, September 13). Green marketing: The future of advertising. GreenBiz. https://www.greenbiz.com/article/green-marketing-future-advertising
4.	Gilliland, N. (2022, May 2). A beginner's guide to green marketing. Econsultancy. https://econsultancy.com/a-beginners-guide-to-green-marketing/
5.	Dabisch, S. (2022, September 22). The impact of green logistics on the supply chain. Supply Chain Brain. https://www.supplychainbrain.com/articles/34753-the-impact-of-green-logistics-on-the-supply-chain
Libros:
Sharma, V. K., &amp; Khachi, A. (2022). Green marketing and sustainability. Routledge. https://www.routledge.com/Green-Marketing-and-Sustainability/Sharma-Khachi/p/book/9781032168999 
Boztepe, A. (2021). Green marketing and environmental responsibility in modern corporations. Routledge. https://www.routledge.com/Green-Marketing-and-Environmental-Responsibility-in-Modern-Corporations/Boztepe/p/book/9780367443299 
Sharma, S. (2022). Green logistics: Improving the environmental sustainability of logistics systems. Wiley. https://www.wiley.com/en-us/Green+Logistics%3A+Improving+the+Environmental+Sustainability+of+Logistics+Systems-p-9781119761976 
Polonsky, M. J., &amp; Jevons, C. (2019). Global green marketing. Routledge. https://www.routledge.com/Global-Green-Marketing/Polonsky-Jevons/p/book/9780367143701 
Dahlstrom, R. (2021). Green marketing management. Cengage Learning. https://www.cengage.com/c/green-marketing-management-2e-dahlstrom/9780357371732PF/</t>
  </si>
  <si>
    <t>AFVN0099</t>
  </si>
  <si>
    <t>INSIGTHS RES LAB: EXP EL POT DEL MERC</t>
  </si>
  <si>
    <t>Esta unidad busca desarrollar en los estudiantes las competencias necesarias para explorar, analizar y aprovechar insights de mercado a partir de datos cualitativos y cuantitativos. A través de una experiencia aplicada en laboratorio virtual, los estudiantes comprenderán cómo traducir comportamientos, necesidades y tendencias del consumidor en oportunidades estratégicas para las organizaciones. Se enfatiza el pensamiento crítico, la interpretación de datos, el diseño de investigaciones y el desarrollo de soluciones orientadas a valor.</t>
  </si>
  <si>
    <t>Ejecuta estudios de mercado aplicando metodologías innovadoras que identifiquen oportunidades de negocio</t>
  </si>
  <si>
    <t>Define con precisión el problema de investigación y formula objetivos coherentes y pertinentes al contexto del mercado analizado.</t>
  </si>
  <si>
    <t>Diseña instrumentos de recolección de datos (cualitativos o cuantitativos) adecuados al enfoque metodológico seleccionado.</t>
  </si>
  <si>
    <t>Organiza, procesa e interpreta datos de forma estructurada, utilizando herramientas básicas de análisis.</t>
  </si>
  <si>
    <t>Organiza, procesa e interpreta datos de forma estructurada, utilizando herramientas básicas de análisis.
Identifica patrones relevantes en los datos y formula insights accionables que aporten valor estratégico a la toma de decisiones comerciales.</t>
  </si>
  <si>
    <t>1.	Introducción al pensamiento basado en insights. ¿Qué es un insight? 
2.	Problemas de investigación y formulación de objetivos
3.	Métodos cualitativos: entrevistas, focus groups, netnografía
4.	Métodos cuantitativos: encuestas, escalas y diseño de cuestionarios
5.	Recolección de datos y ética en la investigación
6.	Análisis de datos cualitativos y cuantitativos
7.	Identificación y formulación de insights accionables
8.	Presentación de resultados y storytelling de insights</t>
  </si>
  <si>
    <t xml:space="preserve">	Evaluaciones de Contenido
	Talleres en equipo
	Actividades Interactivas 
	Proyecto Final 
   </t>
  </si>
  <si>
    <t>Inteligencia Artificial (IA)
Plataforma Canvas
Cisco Webex
Google Forms, Typeform o Jamboard</t>
  </si>
  <si>
    <t>•	Aaker, D. A., Kumar, V., Leone, R. P., &amp; Day, G. S. (2022). Marketing Research (13th ed.). Wiley.
→ Referencia clave para comprender todo el proceso de investigación desde la planificación hasta la interpretación de resultados.
•	Christensen, C., Cook, S., &amp; Hall, T. (2016). Competing Against Luck: The Story of Innovation and Customer Choice. Harper Business.
•	Kotler, P., &amp; Keller, K. L. (2023). Dirección de Marketing (16.ª ed.). Pearson.
•	Malhotra, N., &amp; Birks, D. (2021). Marketing Research: An Applied Approach (6.ª ed.). Pearson.
•	Patino, A., Pitta, D. A., &amp; Quinones, R. (2022). Social Listening and Insights: The Power of Conversation in the Digital World. Springer.
•	Zaltman, G. (2003). How Customers Think: Essential Insights into the Mind of the Market. Harvard Business Press.</t>
  </si>
  <si>
    <t>•	Kruger, J. (2021). Storytelling with Data: A Data Visualization Guide for Business Professionals. Wiley.
•	Heath, C., &amp; Heath, D. (2007). Made to Stick: Why Some Ideas Survive and Others Die. Random House.
•	Sinek, S. (2011). Start with Why: How Great Leaders Inspire Everyone to Take Action. Penguin.
•	Solomon, M. R. (2023). Comportamiento del consumidor (13.ª ed.). Pearson.
→ Excelente para explorar cómo los comportamientos individuales y culturales influyen en los insights de mercado.</t>
  </si>
  <si>
    <t>AFVN0100</t>
  </si>
  <si>
    <t>MERCADEO INTEL: LIDERAZ ESTRAT Y COMP</t>
  </si>
  <si>
    <t>El curso tiene como propósito brindar a los estudiantes una visión integral de las estrategias de marketing más vanguardistas, impulsadas por la inteligencia de datos y la innovación tecnológica. 
Se explorarán los principios del marketing inteligente, la toma de decisiones basada en datos y las herramientas analíticas más avanzadas para anticipar tendencias, comprender el comportamiento del consumidor y desarrollar estrategias comerciales disruptivas. 
Los estudiantes adquirirán habilidades en áreas como el marketing predictivo, la personalización masiva, la inteligencia artificial aplicada al marketing y el análisis de big data, preparándolos para liderar equipos de alto rendimiento y alcanzar ventajas competitivas sostenibles en un entorno empresarial cada vez más complejo y cambiante. 
Este curso exigirá un compromiso total, pensamiento crítico, creatividad y una mentalidad abierta al cambio constante.</t>
  </si>
  <si>
    <t>Diseña planes estratégicos de marketing alineados con los objetivos organizacionales anticipando tendencias y generando ventajas competitivas sostenibles.</t>
  </si>
  <si>
    <t>Comprende los fundamentos del marketing inteligente, la inteligencia de datos y las herramientas analíticas aplicadas al ámbito comercial.</t>
  </si>
  <si>
    <t>Analiza los datos de diversas fuentes en la identificación de patrones, tendencias y oportunidades de mercado.</t>
  </si>
  <si>
    <t>Implementa estrategias de marketing predictivo, personalización masiva y campañas de Mercadeo omnicanal impulsadas por datos.</t>
  </si>
  <si>
    <t>Fortalece habilidades de liderazgo estratégico y toma de decisiones basadas en evidencia, con un enfoque en la innovación y la creación de ventajas competitivas sostenibles.</t>
  </si>
  <si>
    <t>Introducción al Mercadeo inteligente y el análisis de datos en el contexto empresarial. 
Recopilación, procesamiento e interpretación de datos de diversas fuentes (big data). 
Mercadeo predictivo y análisis de tendencias del mercado. 
Personalización masiva y segmentación de audiencias con inteligencia artificial. 
Campañas de Mercadeo basadas en objetivos, estrategias y tácticas. 
Análisis del comportamiento del consumidor y la experiencia del cliente, basada en datos. 
Herramientas analíticas y visualización de datos para la toma de decisiones estratégicas. 
Ética, privacidad y seguridad en el uso de datos para fines comerciales. 
Innovación y disrupción en el mercadeo impulsadas por la tecnología. 
Desarrollo de un proyecto final integrando estrategias de mercadeo inteligente y liderazgo competitivo.</t>
  </si>
  <si>
    <t>Casos de estudio de empresas líderes de empresas líderes en mercadeo inteligente, analizando sus estrategias, herramientas y resultados obtenidos.
Mentorías y asesorías personalizadas con expertos de la industria para guiar a los estudiantes en sus proyectos y abordar sus inquietudes</t>
  </si>
  <si>
    <t>Bases de datos
Herramientas de inteligencia artificial
Plataformas analíticas</t>
  </si>
  <si>
    <t>Artículos académicos:
1.	Davenport, T., Guha, A., Grewal, D., &amp; Bressgott, T. (2020). How artificial intelligence will change the future of marketing. Journal of the Academy of Marketing Science, 48(1), 24-42. https://doi.org/10.1007/s11747-019-00696-0
2.	Kumar, V., Rajan, B., Venkatesan, R., &amp; Lecinski, J. (2019). Understanding the role of artificial intelligence in personalized engagement marketing. California Management Review, 61(4), 135-155. https://doi.org/10.1177/0008125619859317
3.	Wedel, M., &amp; Kannan, P. K. (2016). Marketing analytics for data-rich environments. Journal of Marketing, 80(6), 97-121. https://doi.org/10.1509/jm.15.0413
4.	Balducci, B., &amp; Marinova, D. (2018). Unstructured data in marketing. Journal of the Academy of Marketing Science, 46(4), 557-590. https://doi.org/10.1007/s11747-018-0581-x
5.	Rust, R. T., &amp; Huang, M. H. (2014). The service revolution and the transformation of marketing science. Marketing Science, 33(2), 206-221. https://doi.org/10.1287/mksc.2013.0836
Libros:
1.	Kotler, P., Kartajaya, H., &amp; Setiawan, I. (2021). Marketing 5.0: Technology for Humanity. John Wiley &amp; Sons. https://www.wiley.com/en-us/Marketing+5+0%3A+Technology+for+Humanity-p-9781119668510
2.	Venkatesan, R., Farris, P., &amp; Wilcox, R. T. (2021). Cutting Edge Marketing Analytics: Real World Cases and Data Sets for Hands On Learning (2nd ed.). Pearson FT Press. https://www.pearson.com/store/p/cutting-edge-marketing-analytics-real-world-cases-and-data-sets-for-hands-on-learning/P100002422565
3.	Chaffey, D., &amp; Ellis-Chadwick, F. (2019). Digital Marketing: Strategy, Implementation and Practice (7th ed.). Pearson. https://www.pearson.com/uk/educators/higher-education-educators/program/Chaffey-Digital-Marketing-7th-Edition/PGM2863695.html
4.	Grewal, D., &amp; Levy, M. (2020). Marketing (7th ed.). McGraw-Hill Education. https://www.mheducation.com/highered/product/marketing-grewal-levy/M9781260087710.html
5.	Hair, J. F., Harrison, D. E., &amp; Risher, J. J. (2018). Marketing Research in the 21st Century: Opportunities and Challenges. Brazilian Journal of Marketing, 17(5), 666-699. https://doi.org/10.5585/remark.v17i5.3773</t>
  </si>
  <si>
    <t>Artículos de discusión:
1.	Marr, B. (2022, January 4). The 5 Biggest Marketing Tech Trends In 2022. Forbes. https://www.forbes.com/sites/bernardmarr/2022/01/04/the-5-biggest-marketing-tech-trends-in-2022/
2.	Gartner. (2022, February 15). Gartner Marketing Predictions for 2022 and Beyond. Gartner. https://www.gartner.com/en/marketing/insights/articles/gartner-marketing-predictions-2022
3.	Solis, B. (2021, December 14). The Future of Marketing: 5 Trends to Watch in 2022. CMSWire. https://www.cmswire.com/digital-marketing/the-future-of-marketing-5-trends-to-watch-in-2022/
4.	Deloitte. (2022). 2022 Global Marketing Trends. Deloitte Insights. https://www2.deloitte.com/us/en/insights/topics/marketing-and-sales-operations/global-marketing-trends.html
5.	McKinsey &amp; Company. (2021, November 12). The new marketing model for growth: How CPGs can crack the code. McKinsey &amp; Company. https://www.mckinsey.com/industries/consumer-packaged-goods/our-insights/the-new-marketing-model-for-growth-how-cpgs-can-crack-the-code</t>
  </si>
  <si>
    <t>AFVN0101</t>
  </si>
  <si>
    <t>MAS DE LID: CMO´S INSP EL FUT DEL MARK</t>
  </si>
  <si>
    <t>La "Masterclass de liderazgo: CMO's inspiran el futuro del Marketing" es un curso innovador diseñado para sumergir a los estudiantes en el mundo del liderazgo estratégico de Mercadeo a través de las experiencias y visiones de Chief Marketing Officers (CMOs) de renombre. 
Este curso proporcionará una perspectiva única y práctica sobre cómo los líderes de Mercadeo están moldeando el futuro de la industria, enfrentando desafíos globales y aprovechando las últimas tecnologías y tendencias. 
Los estudiantes tendrán la oportunidad de interactuar directamente con CMO’s, analizar casos de estudio en tiempo real y desarrollar habilidades de liderazgo cruciales para el futuro del marketing. 
El curso exigirá un alto nivel de compromiso, pensamiento crítico y la capacidad de aplicar conceptos avanzados de marketing en situaciones del mundo real, preparando a los estudiantes para roles de liderazgo en un entorno de Mercadeo cada vez más complejo y dinámico.</t>
  </si>
  <si>
    <t>Formula las mejores prácticas de liderazgo identificadas por los Chief Marketing Officers (CMO) más destcados inspirando y guiando equipos hacia el logro de objetivos estratégicos, la innovación en marketing y la adaptación efectiva a los cambios en el mercado.</t>
  </si>
  <si>
    <t>Analiza críticamente las estrategias de Mercadeo y liderazgo empleadas por CMOs líderes en la industria, identificando factores clave de éxito y áreas de mejora en diversos contextos empresariales y culturales.</t>
  </si>
  <si>
    <t>Articula una visión estratégica para el futuro del Mercadeo, integrando tendencias emergentes, tecnologías disruptivas y consideraciones éticas en la planificación y ejecución de campañas de marketing innovadoras.</t>
  </si>
  <si>
    <t>Demuestra habilidades de liderazgo adaptativo y comunicación ejecutiva, incluyendo la capacidad de inspiración y guía de equipos multidisciplinarios, gestión del cambio organizacional y presentación de ideas complejas de manera convincente a diversos grupos de interés.</t>
  </si>
  <si>
    <t>Implementación de estrategias de marketing data-driven y centradas en el cliente, utilizando análisis avanzados, inteligencia artificial y otras tecnologías emergentes que impulsen el crecimiento y la innovación en entornos empresariales dinámicos.</t>
  </si>
  <si>
    <t>Evolución del rol del CMO en la era digital y pos-pandémica 
Estrategias de Mercadeo centradas en el cliente y personalización a escala 
Liderazgo en la transformación digital y adopción de nuevas tecnologías 
Gestión de marca y reputación en un mundo hiperconectado 
Análisis de datos, IA y toma de decisiones basada en evidencia 
Innovación y disrupción en modelos de negocio de Mercadeo
Sostenibilidad, propósito y marketing ético 
Colaboración interdepartamental y gestión de grupos de interés 
Desarrollo de talento y culturas de Mercadeo de alto rendimiento 
Métricas de Mercadeo avanzadas y atribución del ROI</t>
  </si>
  <si>
    <t>Aprendizaje experiencial a través de "CMO for a Day": Los estudiantes asumirán el rol de CMO en una empresa simulada, enfrentando desafíos reales y tomando decisiones estratégicas. 
Design Thinking Workshops: Sesiones prácticas para desarrollar soluciones innovadoras a problemas de marketing complejos, guiados por expertos en innovación. 
Debates de liderazgo "Future of Marketing": Discusiones estructuradas donde los estudiantes defienden diferentes visiones del futuro del marketing, basadas en investigación y análisis de tendencias. 
Marketing Tech Lab: Experimentación práctica con las últimas herramientas y tecnologías de marketing, incluyendo plataformas de IA, AR/VR y análisis predictivo. 
Global Marketing Challenge: Competencia internacional en línea donde equipos de estudiantes compiten para desarrollar la mejor estrategia de marketing para un desafío global real, juzgado por un panel de CMOs internacionales.</t>
  </si>
  <si>
    <t>Herramientas de inteligencia artificial
Redes</t>
  </si>
  <si>
    <t>Artículos académicos:
1.	Whitler, K. A., &amp; Morgan, N. A. (2017). Why CMOs never last and what to do about it. Harvard Business Review, 95(4), 46-54. https://hbr.org/2017/07/the-trouble-with-cmos 
2.	Kumar, V., &amp; Gupta, S. (2016). Conceptualizing the evolution and future of advertising. Journal of Advertising, 45(3), 302-317. https://doi.org/10.1080/00913367.2016.1199335 
3.	Moorman, C., &amp; Day, G. S. (2016). Organizing for marketing excellence. Journal of Marketing, 80(6), 6-35. https://doi.org/10.1509/jm.15.0423 
4.	Verhoef, P. C., &amp; Bijmolt, T. H. (2019). Marketing perspectives on digital business models: A framework and overview of the special issue. International Journal of Research in Marketing, 36(3), 341-349. https://doi.org/10.1016/j.ijresmar.2019.08.001 
5.	Katsikeas, C. S., Morgan, N. A., Leonidou, L. C., &amp; Hult, G. T. M. (2016). Assessing performance outcomes in marketing. Journal of Marketing, 80(2), 1-20. https://doi.org/10.1509/jm.15.0287
Libros:
1.	Kotler, P., Kartajaya, H., &amp; Setiawan, I. (2021). Marketing 5.0: Technology for Humanity. John Wiley &amp; Sons. https://www.wiley.com/en-us/Marketing+5+0%3A+Technology+for+Humanity-p-9781119668510 
2.	Brinker, S., &amp; Schrage, M. (2022). The New Rules of Marketing Technology and Operations: Harnessing Martech's Complexity to Generate New Customer Value. MIT Press. https://mitpress.mit.edu/books/new-rules-marketing-technology-and-operations 
3.	Aaker, D. A., &amp; Reeves, M. (2020). The Future of Purpose-Driven Branding. Morgan James Publishing. https://www.morganjamespublishing.com/the-future-of-purpose-driven-branding/ 
4.	Venkatesan, R., Farris, P., &amp; Wilcox, R. T. (2021). Cutting Edge Marketing Analytics: Real World Cases and Data Sets for Hands On Learning (2nd ed.). Pearson FT Press. https://www.pearson.com/store/p/cutting-edge-marketing-analytics-real-world-cases-and-data-sets-for-hands-on-learning/P100002422565 
5.	Rogers, D. L. (2016). The Digital Transformation Playbook: Rethink Your Business for the Digital Age. Columbia Business School Publishing. https://cup.columbia.edu/book/the-digital-transformation-playbook/9780231175449</t>
  </si>
  <si>
    <t>Artículos de discusión:
1.	Balis, J. (2021, February 3). 10 Truths About Marketing After the Pandemic. Harvard Business Review. https://hbr.org/2021/03/10-truths-about-marketing-after-the-pandemic 
2.	Gartner. (2022, February 15). The State of Marketing Budgets 2021. Gartner. https://www.gartner.com/en/marketing/insights/articles/gartner-marketing-budget-survey-2021 
3.	Deloitte. (2021). 2021 Global Marketing Trends. Deloitte Insights. https://www2.deloitte.com/us/en/insights/topics/marketing-and-sales-operations/global-marketing-trends.html 
4.	McKinsey &amp; Company. (2020, July 15). The new growth game: Beating the market with digital and analytics. McKinsey &amp; Company. https://www.mckinsey.com/business-functions/marketing-and-sales/our-insights/the-new-growth-game-beating-the-market-with-digital-and-analytics 
5.	•  Solis, B. (2021, December 14). The Future of Marketing: 5 Trends to Watch in 2022. CMSWire. https://www.cmswire.com/digital-marketing/the-future-of-marketing-5-trends-to-watch-in-2022/</t>
  </si>
  <si>
    <t>AFVN0103</t>
  </si>
  <si>
    <t>CATEG MANAG (INMER VR EXPER: FABLAB)</t>
  </si>
  <si>
    <t>La materia Category Management (Immersive VR Experience: FabLab) tiene como propósito desarrollar en los estudiantes las competencias necesarias para gestionar de manera estratégica las categorías de productos dentro de entornos comerciales dinámicos, centrados en el consumidor y orientados a resultados de negocio.
A través de una experiencia inmersiva de realidad virtual (VR) en el FabLab, los estudiantes vivirán simulaciones prácticas que les permitirán comprender, diseñar y ejecutar estrategias de gestión de categorías. Se busca que puedan identificar oportunidades de optimización del surtido, mejorar la rentabilidad de las categorías, gestionar espacios de venta de manera eficiente, y construir relaciones colaborativas entre fabricantes y retailers.
Durante el curso, los estudiantes fortalecerán habilidades de análisis de datos, pensamiento estratégico, negociación y diseño de experiencias de compra, utilizando herramientas tecnológicas de última generación que replican contextos reales de decisión comercial.</t>
  </si>
  <si>
    <t xml:space="preserve">Gestiona de forma inteligente las categorías de productos optimizando las variables de mercadeo para el crecimiento competitivo </t>
  </si>
  <si>
    <t>Define la gestión por categorías y su papel en la estrategia empresarial.</t>
  </si>
  <si>
    <t>Identifica categorías de productos o servicios, para segmentar y analizar el rendimiento de las categorías utilizando métricas y herramientas de medición.</t>
  </si>
  <si>
    <t>Toma decisiones estratégicas informadas sobre la 
gestión de categorías de productos o servicios.</t>
  </si>
  <si>
    <t>Mejora la experiencia del cliente y la satisfacción con los productos o servicios, construye finalmente las relaciones sólidas con los proveedores y socios comerciales.</t>
  </si>
  <si>
    <t xml:space="preserve">•	Introducción a la gestión por categorías
•	Definición y segmentación de categorías
•	Análisis de categorías
•	Desarrollo de estrategias de categoría
•	Medición </t>
  </si>
  <si>
    <t>Talleres
Uso de herramientas categorías y management
VR LAB
Proyecto integrador</t>
  </si>
  <si>
    <t>IA
Herramientas digitales para insights y mercados
NeuroLab
VR LAB FAB LAB</t>
  </si>
  <si>
    <t>	Berman, B., &amp; Rucker, K. (2019). Category management: A strategic approach to retail profitability. Pearson Prentice Hall.
	Burtonshaw, D., &amp; Haley, E. (2021). Category management: Theory and practice. 
	Capon, W. L., Stone, B. R., &amp; DeFranco, R. J. (2020). Retail marketing: A strategic and tactical approach. Prentice Hall.
	Duncan, T. J., &amp; Barman, S. (2019). Category management in the digital age: Strategies for success in the omnichannel world. 
	Leibowitz, M., &amp; Johnson, E. (2020). Category management: A complete guide to managing profitable product 
Recursos en Línea:
	Category Management Association: https://www.catman.global/original-content
	Retail Category Management Forum: https://blog.cmkg.org/blog/scorecard_category-management-in-retail_01
	Inmar Intelligence: https://www.inmar.com/
	Symphony Retail Solutions: https://www.symphonyai.com/retail-cpg/
	NielsenIQ: https://www.nielsen.com/
Recursos sobre Immersive VR Experience y FabLab:
	Immersive VR Education: https://www.crunchbase.com/organization/immersive-vr-education
	FabLab Network: http://fablab.org/
	VRFirst: https://www.vrfirst.com/
	Immersive VR Education Blog: https://www.talespin.com/reading/understanding-immersive-vr-education-a-new-way-to-learn
	FabLab Journal: https://www.sciencedirect.com/science/article/pii/S2351978920310714</t>
  </si>
  <si>
    <t xml:space="preserve">Journal Articles:
	Baltunas, A., &amp; Kaynak, E. (2020). The impact of category management practices on retail performance: A meta-analysis. Journal of Retailing and Consumer Services, 55, 102246.
	Boehnke, K., &amp; Suhl, J. (2021). The role of category management in omnichannel retailing. Journal of Retailing and Consumer Services, 60, 102497.
	Capon, W. L., Stone, B. R., &amp; DeFranco, R. J. (2019). Retail category management: A research agenda. Journal of Retailing, 95(3), 325-345.
	Grewal, R., Lilien, G. L., &amp; Mazur, M. A. (2020). Category management: A strategic framework for managing product categories. Journal of the Academy of Marketing Science, 48(2), 228-252.
	Verhoef, P. C., &amp; Wieling, R. (2021). Category management: A review of its antecedents and consequences. European Retail Research, 30(4), 507-534.
</t>
  </si>
  <si>
    <t>AFVN0104</t>
  </si>
  <si>
    <t>MAR CR P DE VEN (INM VR EXP: FABLAB)</t>
  </si>
  <si>
    <t>El objetivo de este curso es proporcionar a los estudiantes un entendimiento profundo del marketing en el punto de venta. Este curso está diseñado para enfocarse en la importancia de la creatividad y la integración de la tecnología para crear experiencias de compra atractivas y memorables que no solo impulsen la compra de productos y servicios, sino que también mejoren significativamente el posicionamiento de las marcas en el mercado.</t>
  </si>
  <si>
    <t>Aplica técnicas analíticas en los canales de distribución para la comprensión de los patrones de comportamiento del consumidor y la experiencia de compra.</t>
  </si>
  <si>
    <t xml:space="preserve">Comprende los fundamentos del marketing en punto de venta y su relevancia para las estrategias de mercadeo y la gestión comercial. </t>
  </si>
  <si>
    <t>Implementa los elementos del diseño, arquitectura e historia del arte en el diseño de espacios físicos y digitales en el punto de venta.</t>
  </si>
  <si>
    <t>Aplica los conceptos de neuromarketing, marketing sensorial y visual merchandising en el diseño de experiencias de clientes.</t>
  </si>
  <si>
    <t>Interpreta el comportamiento de los consumidores para crear planes de mejora en las experiencias de cliente.</t>
  </si>
  <si>
    <t>•	Visual Merchandising
•	Diseño de Espacios Comerciales
•	Diseño de Experiencias de Consumidores
•	La tecnología en los puntos de venta</t>
  </si>
  <si>
    <t>Clase magistral
Desarrollo de talleres 
Discusión en grupo</t>
  </si>
  <si>
    <t>VR - FabLab</t>
  </si>
  <si>
    <t>Manzano, R., Abril, C., Avello, M., Serra, T., Gavilán, D.(2012). Marketing sensorial: comunicar con los sentidos en el punto de venta. Pearson Educación. https://www-ebooks7-24-com.bdbiblioteca.universidadean.edu.co/?il=4530
Juan Vigaray, M. D. D. (2005). Comercialización y retailing: distribución comercial aplicada. Pearson Educación. https://www-ebooks7-24-com.bdbiblioteca.universidadean.edu.co/?il=4748
Morgan, Tony. (2021). Visual
Merchandising Window Displays and In-store Experience Fourth Edition. Laurence King Publishing
Marhamat, Bobby. (2022). The Experience-Driven Business: Growing Your Customers, Deepening Your Value, and Surviving and Thriving in the Future.
Álvarez del Blanco, R. (2011). Fusión perfecta neuromarketing seducir al cerebro con inteligencia para ganar en tiempos exigentes: seducir al cerebro con inteligencia para ganar en tiempos exigentes. Donde las grandes ideas encuentran expresión. Pearson Educación. https://www-ebooks7-24-com.bdbiblioteca.universidadean.edu.co/?il=4695</t>
  </si>
  <si>
    <t xml:space="preserve">Salzman, Marian. (2022) The New Megatrends: Seeing Clearly in the Age of Disruption Crown.
Miller, Donald. Building a StoryBrand: Clarify Your Message So Customers Will Listen. HarperCollins Leadership. 
</t>
  </si>
  <si>
    <t>FFVO0008</t>
  </si>
  <si>
    <t>TRANS. OBLIGATORIAS PREGRADO VIRTUAL</t>
  </si>
  <si>
    <t>REAL MATHS</t>
  </si>
  <si>
    <t xml:space="preserve">Desarrollar un pensamiento matemático en los estudiantes que les permita desempeñarse como ciudadanos y profesionales consientes , libres y capaces de seguir aprendiendo y creando soluciones en donde puedan articular los conocimientos numéricos, métricos, geométricos y variacionales adquiridos en el colegio para entender una situación y matematizarla, formular estrategias que permitan abordarla usando diferentes objetos matemáticos, desarrollar la estrategia planteada y expresar las implicaciones de los resultados obtenidos dentro para dicha situación. </t>
  </si>
  <si>
    <t>Resuelve problemas presentes en su entorno haciendo uso de matemáticas básicas de forma creativa, coherente y bien argumentada.</t>
  </si>
  <si>
    <t>Identifica los objetos matemáticos que permiten matematizar una situación específica.</t>
  </si>
  <si>
    <t>Formula una estrategia que permite abordar una situación específica acudiendo a objetos matemáticos y de esta forma, abordar problemas a partir de soluciones matemáticas y pensamiento lógico.</t>
  </si>
  <si>
    <t xml:space="preserve">Presenta de forma coherente y clara las implicaciones que tiene los resultados obtenidos al desarrollar una estrategia usando objetos matemáticos dentro de la situación en la que se planteó </t>
  </si>
  <si>
    <t>•	Propiedades de los números reales. 
•	Potenciación, radicación y logaritmación. 
•	Operaciones con expresiones algebraicas (factorización).
•	Ecuaciones lineales y cuadráticas.
•	Ecuación de la recta. 
•	Razones trigonométricas. 
•	Geometría básica y circunferencia.</t>
  </si>
  <si>
    <t xml:space="preserve">•	Modelar la forma de enfrentar situaciones problémicas matematizables.
•	Construcción de esquemas gráficos de los objetos matemáticos de aritmética, geometría, álgebra y estadística y probabilidad que deben haberse visto en el colegio.
•	Proponer una serie de situaciones problema y a partir de ellas identificar los objetos matemáticos que pueden usarse para abordarla.
•	Pedir a los estudiantes que propongan a sus compañeros problemas que pueden ser solucionadas con un objeto matemático específico  </t>
  </si>
  <si>
    <t>3 talleres (15 puntos cada uno)
Entrega Bitácora 2 (30 puntos)
Encuentro final (15 puntos)
Mecanismos de evaluación 10</t>
  </si>
  <si>
    <t>Excel, Geogebra, Wolfram, calculadora, Desmos o cualquier programade graficación</t>
  </si>
  <si>
    <t>1.	Billstein, R., Libeskind, S. &amp; Loot, J. (2020). A problem solving approach to math for elementary school teachers. Edición 13. Editorial Pearson Education.
2.	Cruz, E. (2019). Estadística básica, introducción a la estadística R. Edición 13. Editorial Cengage Learning.
3.	Stewart, J. eta al. (2012). Precálculo. Matemáticas para el cálculo. Sexta edición. Editorial Cengage learning.</t>
  </si>
  <si>
    <t>1.	Levin, R.I., Rubin, D. S., &amp; González Osuna, M. (2010). Estadística para administración y economía. Edición 7. Editorial Pearson Education.
2.	Miller, C., Heeren, V., Hornsey, J. (2013). Matemática: Razonamiento y aplicaciones. Editorial Pearson Education.
3.	Mendelson, E. (2010). Introduction to mathematical logic. Edición 5. Edictorial CRC Press Taylor &amp; Fracis group.</t>
  </si>
  <si>
    <t>FFVO0009</t>
  </si>
  <si>
    <t>EL PODER DE LAS PROBABILIDADES</t>
  </si>
  <si>
    <t>La unidad transversal denominada el poder de las probabilidades tiene el propósito de incentivar el desarrollo de habilidades en relación al manejo apropiado del lenguaje y herramientas estadísticas básicas para la comprensión, planeación, planteamiento y justificación de alternativas de solución a situaciones problémicas presentes en el contexto académico y campo laboral de los estudiantes de todos los programas de la institución.</t>
  </si>
  <si>
    <t>Aplica la estadística descriptiva en la solución de problemas situados mediante el uso de conceptos, métodos y procedimientos específicos</t>
  </si>
  <si>
    <t>Identifica los conceptos fundamentales de la estadística descriptiva y las variables involucradas en un contexto específico.</t>
  </si>
  <si>
    <t>Define y utiliza técnicas de representación e interpretación de patrones de un conjunto de datos.</t>
  </si>
  <si>
    <t>Comprende conceptos básicos de probabilidad en contextos de incertidumbre.</t>
  </si>
  <si>
    <t>Aplica los conceptos básicos de estadística descriptiva y probabilidad con herramientas tecnológicas y software especializado para apoyar la toma de decisiones en distintos contextos.</t>
  </si>
  <si>
    <t xml:space="preserve">Definiciones fundamentales en estadística
Población, muestra, parámetro, estadístico.
Investigación estadística
Tipos de estudios, tipos de muestreo, unidad de observación, datos perdidos.
Clasificación de variables estadísticas
Fuentes de información, Escala de medida, naturaleza, tipo de respuesta.
Distribuciones de frecuencias 
Datos agrupados y no agrupados, cualitativos y cuantitativos
Gráficos estadísticos 
Gráficos invariados y bivariados para variables cualitativas y cuantitativas. Detección de datos atípicos.
Estadísticos 
Tendencia central, posición, variabilidad y forma. 
Probabilidad
Definición de probabilidad, reglas básicas para el cálculo de probabilidades, probabilidad condicional, probabilidad total y teorema de Bayes.
</t>
  </si>
  <si>
    <t>Tutoría virtual sincrónica:
Ejercicios teóricos y prácticos en línea o formatos interactivos
Test
Uso de software especializado.</t>
  </si>
  <si>
    <t>HITO 1: 
•	3 talleres individuales (2 de 9 puntos y 1 de 6 puntos)
•	1 trabajo grupal (15 puntos)
HITO 2: 
•	2 talleres individuales (9 puntos y 6 puntos)
•	1 trabajo grupal (8 puntos)
HITO 3:
•	2 tallere individuales (9 puntos cada uno)
ENCUENTRO FINAL (10 puntos)
MECANISMO DE EVALUACIÓN (10 puntos)</t>
  </si>
  <si>
    <t>Cisco Webex
Canvas 
Excel
SPSS
R
Python
Power BI</t>
  </si>
  <si>
    <t>Anderson, D., Sweeney, D., &amp; Williams, T. (2019). Estadística para negocios y economía. Decimo tercera Edición. Cengage Learning
Aguilar, J. D. (2021). Estadística Descriptiva: Regresión y probabilidad con aplicaciones. Primera Edición. Ediciones de la U</t>
  </si>
  <si>
    <t>Lind, D. A., Marchal, W. G., &amp; Wathen, S. A. (2019).  Estadística aplicada a los negocios y la economía [Recurso electrónico]. México : McGraw-Hill / Interamericana.
Cruz, E. (2016). Estadística básica, introducción a la estadística con R. Primera Edición Ediciones de la U.   
Blitzer, R. (2014). Thinking Mathematecally. Quinta Edición. Pearson</t>
  </si>
  <si>
    <t>FFVO0011</t>
  </si>
  <si>
    <t>SOSTECNIBILIDAD 360</t>
  </si>
  <si>
    <t xml:space="preserve">La unidad de estudio de Sos-tecnibilidad pertenece al área disciplinar de la ciencia y la ingeniería. En esta unidad se aplican los fundamentos de la sostenibilidad y se promueve el uso de tecnologías sostenibles en proyectos que buscan resolver problemáticas del entorno. Esta unidad proporciona al estudiante los conocimientos sobre lo principios de la sostenibilidad, el análisis del entorno desde una visión sistémica y holística para proponer soluciones innovadoras acompañadas del uso de tecnologías emergentes.  </t>
  </si>
  <si>
    <t>Aplica los principios de la sostenibilidad en la solución de problemáticas del entorno, incluyendo en sus propuestas el uso de tecnologías sostenibles e innovadoras.</t>
  </si>
  <si>
    <t>Identifica los principios de la sostenibilidad.</t>
  </si>
  <si>
    <t>Comprende la importancia y el impacto del uso de tecnologías sostenibles en la propuesta de soluciones para problemáticas del entorno.</t>
  </si>
  <si>
    <t>Estructura soluciones sostenibles a problemáticas del entorno considerando, aspectos tecnológicos, económicos, sociales y ambientales.</t>
  </si>
  <si>
    <t>Aplica los principios de sostenibilidad a soluciones problemáticas del entorno, teniendo en cuenta aspectos tecnológico, económicos, sociales y ambientales</t>
  </si>
  <si>
    <t>Fundamentos de sostenibilidad 
- Modelos e indicadores de sostenibilidad
- Abordaje sistemico de problematicas del entorno
- Retos mundiales en materia de sostenibilidad (Objetivos de Desarrollo Sostenible)
- Tecnologías digitales para el cumplimiento de los ODS
- Tecnologías de diseño de procesos y productos para contribuir al cumplimiento de los ODS (Innovación en el uso del agua, Economia circular para la gestión de residuos, diseño de soluciones basadas en la naturaleza, descarbornización)
- Uso de energías renovables
- Tecnologías de monitoreo de procesos para evaluación y control de impactos (Uso de drones)
- Manejo y análisis de la información para la toma de decisiones (ciencia de datos)</t>
  </si>
  <si>
    <t>Lecturas con preguntas de reflexión
Videos interactivos
Estudios de caso</t>
  </si>
  <si>
    <t>Hito 1 actividad individual (20 puntos)
Hito 2 actividad individual (15 puntos)
Hito 2 actividad grupal (15 puntos)
Hito 3 actividad grupal (25 puntos)
Encuentro final (15 puntos)
Mecanismos de evaluación (10 puntos)</t>
  </si>
  <si>
    <t>Laboratorio de Ciencias Básicas
Laboratorio de realidad virtual y prototipado
Plataforma Pearson My lab and mastering</t>
  </si>
  <si>
    <t xml:space="preserve">John Elkington. 2004. Enter the Triple Bottom Line.
Fu-Liu Xua et al. 2006. A triangle model for evaluating the sustainability status and trends of economic development. Ecological modelling 195(2006)  327–337
Joseph Fiksel. 2012. A systems view of sustainability: The triple value model. Environmental Development 2 (2012) 138–141
Darnell, M., Mooney, D. Leveraging advances in biology to design biomaterials. Nature Mater 16, 1178–1185 (2017). https://doi.org/10.1038/nmat4991 
Tecnologías digitales para el cumplimiento de los Objetivos de Desarrollo Sostenible de las Naciones Unidas. https://www.itu.int/es/mediacentre/backgrounders/Pages/icts-to-achieve-the-united-nations-sustainable-development-goals.aspx 
Guía para la preparación de las hojas de ruta de la ciencia, la tecnología y la innovación (CTI) para los ODS, EUR 30606 ES, Oficina de Publicaciones de la Unión Europea, Luxemburgo, 2021, ISBN 978-92-76-38325-3, doi:10.2760/158628, JRC124108. https://sdgs.un.org/sites/default/files/2021-07/guidebook_Spanish_web_single_pages.pdf 
Tracking Progress Toward SDG7 Across Tragets: Indicatores and Data https://trackingsdg7.esmap.org/data/files/download-documents/sdg7-report2023-ch7._indicators_and_data.pdf   
Ciencia, tecnología e innovación en pro de los ODS. https://sdgs.un.org/sites/default/files/2022-06/ONLINE_STI_SGDs_GUIDELINES_ESP_0.pdf </t>
  </si>
  <si>
    <t xml:space="preserve">Benyus, Janine M. (1997) “Biomimicry Innovation Inspired by Nature” Ed. Harper Collins. 
Myers, W. 2012. Biodesign: Nature +  Science +  Creativity. Thames &amp; Hudson Ltd. https://www.biology-design.com/ 
Tideman, S., Arts, M. y Zandee, D. (2013). Sustainable leadership: Towards a workable definition. Journal of Corporate Citizenship, 49, 17–33. https://bit.ly/30wtuPd 
Visser, W. y Courtice, P. (2011). Sustainability leadership: Linking theory and practice. Cambridge: Institute for Sustainability Leadership, University of Cambridge. https://bit.ly/3cbwov4 </t>
  </si>
  <si>
    <t>FFVO0012</t>
  </si>
  <si>
    <t>CIUDADANO GLOBAL Y ÉTICO</t>
  </si>
  <si>
    <t>El propósito de esta Unidad de Estudio es adquirir un conocimiento integral de la dimensión humana y de sus manifestaciones en el ámbito de lo público y de lo privado, principalmente en reacción al fuerte cuestionamiento ético de nuestro tiempo. En este sentido, se abordará la complejidad del ser humano y de sus potencialidades desde la perspectiva de la ética humanista para luego hacer un análisis de las comunidades políticas y en especial la colombiana, a partir del estudio Constitución Política de 1991 fundamentalmente desde el punto de vista dogmático, haciendo un especial énfasis en los principios y valores que orientan el accionar de todos en el Estado Social de Derecho para, posteriormente, comprender los conceptos de la responsabilidad social empresarial. Así mismo, partiendo de la base que el ciudadano actual no es solo un ciudadano local, sino global, en este curso se abordarán los nuevos temas de la agenda internacional y las herramientas que se tienen para para el análisis de los acontecimientos mundiales. Además, todo ciudadano global debe tener presente la importancia de la inclusión, como herramienta básica de interacción en en la actualidad.</t>
  </si>
  <si>
    <t>Comprende los principios constitucionales, las transformaciones geopolíticas actuales y los desafíos éticos de la sociedad global en el ejercicio ciudadano con base en referentes teóricos, normativos y problemáticas del contexto.</t>
  </si>
  <si>
    <t>Aprecia la diferencia entre moral y ética a través de la distinción conceptual y teórica aplicada a casos reales personales y empresariales.</t>
  </si>
  <si>
    <t>Identifica los componentes dogmáticos y orgánicos de la Constitución Política de Colombia a través del desarrollo de diferentes casos de aplicación.</t>
  </si>
  <si>
    <t>Interpreta con argumentos críticos los acontecimientos geopolíticos basándose en contextos históricos y teóricos para proponer diferentes posibles escenarios de desarrollo situacional</t>
  </si>
  <si>
    <t>Conoce los componentes básicos del concepto de la inclusión.</t>
  </si>
  <si>
    <t>• La ética humanista • Derechos, deberes y garantías que fundamentan el Estado social de derecho en Colombia. • El modelo, los instrumentos y las herramientas del modelo de la Responsabilidad Social Empresarial (RSE). • Nuevos temas de la agenda internacional • Herramientas para el análisis de los acontecimientos internacionales • Conceptos básicos de inclusión</t>
  </si>
  <si>
    <t>Presentación de reglas de juego
• Presentación de Syllabus
• Diálogos con situaciones determinadas 
• Juego de roles
• Lecturas con preguntas de reflexión
• Discusiones en grupo 
• Aula invertida</t>
  </si>
  <si>
    <t>Corte 1: 20% incluyendo el componente argumentativo* • Corte 2: 20% incluyendo el componente argumentativo* • Corte 3: 30% incluyendo el componente argumentativo* • Corte 4: 15 % incluyendo el componente argumentativo* • 15% Proyecto final</t>
  </si>
  <si>
    <t>• My Maps
• Aula Virtual
• Bases de Datos
• Herramientas Audiovisuales tecnológicas, como: 
CmapTools, Visme, Canva</t>
  </si>
  <si>
    <t>• Constitución Política de 1991
• Fromm, E. (2016) Ética y psicoanálisis. México: 
Fondo de Cultura Económica
• Melo, J. (2017) Historia Mínima de Colombia. 
Bogotá, Colombia: Turner Publicaciones. 
• Naranjo Mesa, V. (2014). Teoría constitucional e 
instituciones políticas (12a ed.). Editorial Temis. 
• Raufflet, E., Portales Derbez, L. et al. (2017). 
Responsabilidad, ética y sostenibilidad 
empresarial. [Recurso electrónico]. Pearson.
• Sen, A.K. (2010). La idea de la justicia. 
Santillana.
• TAYLOR, Peter J. Geografía política: economía 
mundo, estado-nación y localidad. Madrid: 
Trama Editorial, 1994. 
• VARGAS, Gloria María (2006) “Globalización, 
territorio y geopolítica”. En “Región, espacio y 
territorio en Colombia”. Universidad Nacional de 
Colombia, Bogotá D.C., p.p. 21 - 35. 
• WEBER, M. (2007). La política como profesión. 
Biblioteca Nueva. Madrid.
• WILHELMY, M. (1988) Política internacional: 
enfoques y realidades, Centro Interuniversitario 
de Desarrollo - Grupo Editor Latinoamericano, 
Buenos Aires</t>
  </si>
  <si>
    <t xml:space="preserve">Cortina, A. (1998) Ética de la Empresa: Claves para una 
nueva cultura empresarial. Madrid. Editorial Trotta. (P. 51 
– 94)
- Kliksberg, B. (2013) Ética para empresarios: ¿por qué 
las empresas y los países ganan con la Responsabilidad 
Social Empresarial? Buenos Aires: Ediciones Ética y 
Economía
- Mujeres imparables: hoy nada nos detiene. Las luchas 
históricas nos dieron una voz más fuerte. Ahora somos lo 
que queremos. Imparables. (2018). Publicaciones 
Semana.
- Perea Hinestroza, L. M. (2019). Los objetivos de 
desarrollo sostenible y su inclusión en Colombia. 
Producción Más Limpia, 14(1), 122–127. 
- Porter, M. Kramer. (2011) La creación de valor 
compartido: cómo reinventar el capitalismo y liberar una 
oleada de innovación. En: Harvard Business Review 
(Español) Santiago, Chile Vol. 89, no. 1 (Ene.-Feb. 2011); 
p. 32-49
EBSCO Host
• EDWARDS, T. (2009). Viva la geopolítica. MultiLingual, 
20(4), 22-23. Retrieved from Business Source Complete 
database. Hildebrando Perico Afanador Library
• FORESTA, R. (1992). Amazonia and the politics of 
geopolitics. Geographical Review, 82(2), 128. Retrieved 
from Academic Search Elite database. Hildebrando Perico 
Afanador Libraryco Afanador Library
• VEGA CANTOR, Renan. (2012) Colombia y Geopolítica 
hoy. El Ágora USB. Jul-Dic 2012. Vol 1. No. 2. Pp 367-402. </t>
  </si>
  <si>
    <t>FFVE0050</t>
  </si>
  <si>
    <t>ELECTIVAS GENERALES PREGRADO VIRTUAL</t>
  </si>
  <si>
    <t>DIGIT BUSINESS MARK AND SOC COMMERCE</t>
  </si>
  <si>
    <t>El propósito de esta materia es proporcionar a los estudiantes una comprensión profunda de los negocios digitales, marketplaces y el comercio social. A lo largo del curso, los estudiantes explorarán cómo las tecnologías digitales están transformando las prácticas comerciales tradicionales y crearán estrategias efectivas para operar en entornos digitales. Además, aprenderán a utilizar plataformas de marketplaces y a desarrollar tácticas de comercio social que aprovechen el poder de las redes sociales para impulsar las ventas y la lealtad del cliente.</t>
  </si>
  <si>
    <t xml:space="preserve">Comprende los fundamentos y la evolución de los negocios digitales a través de la evaluación de diferentes plataformas de marketplaces y su impacto en las estrategias comerciales.   </t>
  </si>
  <si>
    <t xml:space="preserve">Analiza las estrategias y herramientas que rigen los negocios digitales, marketplaces y el comercio social. </t>
  </si>
  <si>
    <t>Aplica conceptos y técnicas de marketing digital mejorando así la presencia en redes sociales y las ventas</t>
  </si>
  <si>
    <t xml:space="preserve">Utiliza métricas y análisis para medir el éxito de las estrategias de negocios digitales y hacer ajustes basados en datos </t>
  </si>
  <si>
    <t xml:space="preserve">1.	Introducción a los negocios digitales 
1.1.	Definición y evolución de los negocios digitales
1.2.	Impacto de la digitalización en los modelos de negocio tradicionales
1.3.	Componentes clave de los negocios digitales
1.4.	Comparación entre modelos de negocio tradicionales y digitales. 
2.	Plataformas de Marketplaces
2.1.	Tipos de marketplaces: B2B, B2C, C2C
2.2.	Estrategias para operar en diferentes plataformas de marketplaces
2.3.	Análisis de plataformas populares como Amazon, eBay, Alibaba y Etsy
3.	Social Commerce – Comercio Social
3.1.	Definición y alcance del comercio social
3.2.	Estrategias para utilizar redes sociales como Facebook, Instagram, TikTok y Pinterest para el comercio. 
3.3.	Integración de comercio social con marketing de influencia y contenido generado por el usuario. 
3.4.	Herramientas y plataformas para implementar un comercio social. 
4.	Marketing Digital y Análisis
4.1.	Métodos de investigación cuantitativa y cualitativa
4.2.	Uso de analítica web y métricas clave para evaluar el desempeño. 
4.3.	Ajuste de estrategias basadas en el análisis de datos </t>
  </si>
  <si>
    <t xml:space="preserve">Aprendizaje Colaborativo
Aprendizaje Autónomo
Aprendizaje basado en proyectos
Estudio de Casos
Aprendizaje basado en retos
Lecturas
Talleres
</t>
  </si>
  <si>
    <t xml:space="preserve">Evaluación Hito 1		15%
Actividad Hito 2		20%		
Actividad Hito 3		20%
Actividad Hito 4		20% 
Encuentro Final 		25%
</t>
  </si>
  <si>
    <t>Brynjolfsson, E., &amp; McAfee, A. (2014). The Second Machine Age: Work, Progress, and Prosperity in a Time of Brilliant Technologies. W.W. Norton &amp; Company.
Chaffey, D., &amp; Ellis-Chadwick, F. (2019). Digital Marketing: Strategy, Implementation and Practice. Pearson.
Kaplan, A. M., &amp; Haenlein, M. (2010). Users of the world, unite! The challenges and opportunities of Social Media. Business Horizons, 53(1), 59-68.
Kotler, P., &amp; Armstrong, G. (2021). Principles of Marketing. Pearson.
Strauss, J., &amp; Frost, R. (2016). E-Marketing. Pearson.
Weinberg, T. (2009). The New Community Rules: Marketing on the Social Web. O'Reilly Media.
Artículos Académicos y Revistas
Chan, F. E. L., Lee, S. M., &amp; Lee, D. H. (2021). Understanding the role of digital and social media marketing in start-ups. Journal of Business Research, 123, 741-749.
Hagiu, A., &amp; Wright, J. (2020). Platform business models and strategy: A survey of the literature. Journal of Economic Perspectives, 34(4), 234-246.
Kowalik, J. (2020). The impact of e-commerce on traditional retail: The case of the US. International Journal of Retail &amp; Distribution Management, 48(7), 723-740.</t>
  </si>
  <si>
    <t xml:space="preserve">Recursos en Línea
University of Illinois at Urbana-Champaign. (n.d.). Digital marketing specialization [Coursera course]. Coursera. Retrieved from https://www.coursera.org/specializations/digital-marketing
HubSpot Academy. (n.d.). E-commerce marketing course. Retrieved from https://academy.hubspot.com/courses/ecommerce-marketing
Google Analytics Academy. (n.d.). Google Analytics courses. Retrieved from https://analytics.google.com/analytics/academy/
Think with Google. (n.d.). Insights and research. Retrieved from https://www.thinkwithgoogle.com/
</t>
  </si>
  <si>
    <t>Versión:  1</t>
  </si>
  <si>
    <r>
      <t xml:space="preserve">Fecha: </t>
    </r>
    <r>
      <rPr>
        <b/>
        <sz val="10"/>
        <rFont val="Arial Narrow"/>
        <family val="2"/>
      </rPr>
      <t>17/Feb/2026</t>
    </r>
  </si>
  <si>
    <t>Modalidad</t>
  </si>
  <si>
    <t>Presencial y Virtual</t>
  </si>
  <si>
    <t xml:space="preserve">Nivel </t>
  </si>
  <si>
    <t>Pregrado</t>
  </si>
  <si>
    <t>Solo mover los campos grises</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</si>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</sst>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sz val="11"/>
      <color theme="0"/>
      <name val="Calibri"/>
      <family val="2"/>
      <scheme val="minor"/>
    </font>
    <font>
      <sz val="10"/>
      <name val="Arial"/>
      <family val="2"/>
    </font>
    <font>
      <sz val="10"/>
      <color theme="1"/>
      <name val="Arial"/>
      <family val="2"/>
    </font>
    <font>
      <sz val="10"/>
      <color rgb="FF000000"/>
      <name val="Arial"/>
      <family val="2"/>
    </font>
    <font>
      <sz val="8"/>
      <color theme="1"/>
      <name val="Calibri"/>
      <family val="2"/>
      <scheme val="minor"/>
    </font>
    <font>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249977111117893"/>
        <bgColor indexed="64"/>
      </patternFill>
    </fill>
    <fill>
      <patternFill patternType="solid">
        <fgColor rgb="FFE6E7E8"/>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1" fillId="0" borderId="36" xfId="0" applyFont="1"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7" xfId="0" applyBorder="1" applyAlignment="1">
      <alignment horizontal="center" vertical="center"/>
    </xf>
    <xf numFmtId="0" fontId="0" fillId="0" borderId="0" xfId="0" applyAlignment="1">
      <alignment horizontal="center" vertical="center" wrapText="1"/>
    </xf>
    <xf numFmtId="0" fontId="10" fillId="0" borderId="0" xfId="0" applyFont="1" applyAlignment="1">
      <alignment vertical="center" wrapText="1"/>
    </xf>
    <xf numFmtId="0" fontId="1" fillId="4" borderId="3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39" xfId="0" applyFont="1" applyFill="1" applyBorder="1" applyAlignment="1">
      <alignment horizontal="center" vertical="center" wrapText="1"/>
    </xf>
    <xf numFmtId="0" fontId="1" fillId="0" borderId="36" xfId="0" applyFont="1"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horizontal="center" vertical="center" wrapText="1"/>
    </xf>
    <xf numFmtId="0" fontId="10" fillId="0" borderId="0" xfId="0" applyFont="1" applyAlignment="1">
      <alignment vertical="center"/>
    </xf>
    <xf numFmtId="0" fontId="10" fillId="0" borderId="0" xfId="0" applyFont="1" applyAlignment="1">
      <alignment horizontal="center" vertical="center"/>
    </xf>
    <xf numFmtId="0" fontId="0" fillId="0" borderId="0" xfId="0" applyAlignment="1">
      <alignment wrapText="1"/>
    </xf>
    <xf numFmtId="9" fontId="0" fillId="0" borderId="0" xfId="0" applyNumberFormat="1"/>
    <xf numFmtId="0" fontId="11" fillId="0" borderId="0" xfId="0" applyFont="1" applyAlignment="1">
      <alignment horizontal="justify" vertical="center"/>
    </xf>
    <xf numFmtId="0" fontId="12" fillId="0" borderId="0" xfId="0" applyFont="1" applyAlignment="1">
      <alignment horizontal="justify" vertical="center"/>
    </xf>
    <xf numFmtId="0" fontId="9" fillId="2" borderId="0" xfId="0" applyFont="1" applyFill="1"/>
    <xf numFmtId="9" fontId="0" fillId="0" borderId="45" xfId="1" applyFont="1" applyBorder="1" applyAlignment="1">
      <alignment horizontal="center"/>
    </xf>
    <xf numFmtId="0" fontId="13" fillId="2" borderId="0" xfId="0" applyFont="1" applyFill="1"/>
    <xf numFmtId="0" fontId="0" fillId="0" borderId="0" xfId="0" applyAlignment="1">
      <alignment horizontal="center" vertical="center"/>
    </xf>
    <xf numFmtId="9" fontId="0" fillId="0" borderId="0" xfId="0" applyNumberFormat="1" applyAlignment="1">
      <alignment horizontal="center" vertical="center"/>
    </xf>
    <xf numFmtId="0" fontId="12" fillId="5" borderId="0" xfId="0" applyFont="1" applyFill="1" applyAlignment="1">
      <alignment vertical="center" wrapText="1"/>
    </xf>
    <xf numFmtId="0" fontId="14" fillId="0" borderId="0" xfId="0" applyFont="1"/>
    <xf numFmtId="0" fontId="11" fillId="0" borderId="0" xfId="0" applyFont="1"/>
    <xf numFmtId="9" fontId="12" fillId="0" borderId="0" xfId="0" applyNumberFormat="1" applyFont="1"/>
    <xf numFmtId="0" fontId="11" fillId="0" borderId="0" xfId="0" applyFont="1" applyAlignment="1">
      <alignment vertical="center"/>
    </xf>
    <xf numFmtId="0" fontId="0" fillId="0" borderId="1" xfId="0"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3" fillId="0" borderId="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3" xfId="0" applyFont="1" applyBorder="1" applyAlignment="1">
      <alignment horizontal="center" vertic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3" fillId="0" borderId="25" xfId="0" applyFont="1" applyBorder="1" applyAlignment="1">
      <alignment horizontal="center" vertical="top" wrapText="1"/>
    </xf>
    <xf numFmtId="0" fontId="13" fillId="0" borderId="0" xfId="0" applyFont="1" applyAlignment="1">
      <alignment horizontal="center" vertical="top" wrapText="1"/>
    </xf>
    <xf numFmtId="0" fontId="13" fillId="0" borderId="26" xfId="0" applyFont="1" applyBorder="1" applyAlignment="1">
      <alignment horizontal="center" vertical="top" wrapText="1"/>
    </xf>
    <xf numFmtId="0" fontId="13" fillId="0" borderId="27" xfId="0" applyFont="1" applyBorder="1" applyAlignment="1">
      <alignment horizontal="center" vertical="top" wrapText="1"/>
    </xf>
    <xf numFmtId="0" fontId="13" fillId="0" borderId="31" xfId="0" applyFont="1" applyBorder="1" applyAlignment="1">
      <alignment horizontal="center" vertical="top" wrapText="1"/>
    </xf>
    <xf numFmtId="0" fontId="13" fillId="0" borderId="28"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3" fillId="0" borderId="20" xfId="0" applyFont="1" applyBorder="1" applyAlignment="1">
      <alignment horizontal="center" vertical="top" wrapText="1"/>
    </xf>
    <xf numFmtId="0" fontId="13" fillId="0" borderId="51"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 xfId="0" applyFont="1" applyBorder="1" applyAlignment="1">
      <alignment horizontal="center" vertical="center" wrapText="1"/>
    </xf>
    <xf numFmtId="0" fontId="1" fillId="0" borderId="53"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3" fillId="0" borderId="19" xfId="0" applyFont="1" applyBorder="1" applyAlignment="1">
      <alignment horizontal="center" vertical="top" wrapText="1"/>
    </xf>
    <xf numFmtId="0" fontId="13" fillId="0" borderId="52" xfId="0" applyFont="1" applyBorder="1" applyAlignment="1">
      <alignment horizontal="center" vertical="top" wrapText="1"/>
    </xf>
    <xf numFmtId="0" fontId="0" fillId="2" borderId="0" xfId="0" applyFill="1" applyAlignment="1">
      <alignment horizontal="center" vertical="center"/>
    </xf>
    <xf numFmtId="0" fontId="13" fillId="4" borderId="1" xfId="0" applyFont="1" applyFill="1" applyBorder="1" applyAlignment="1">
      <alignment horizontal="center" vertical="center" wrapText="1"/>
    </xf>
    <xf numFmtId="0" fontId="13" fillId="4" borderId="37" xfId="0" applyFont="1" applyFill="1" applyBorder="1" applyAlignment="1">
      <alignment horizontal="center" vertical="center"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3" fillId="0" borderId="23" xfId="0" applyFont="1" applyBorder="1" applyAlignment="1">
      <alignment horizontal="center" vertical="top" wrapText="1"/>
    </xf>
    <xf numFmtId="0" fontId="13" fillId="0" borderId="17" xfId="0" applyFont="1" applyBorder="1" applyAlignment="1">
      <alignment horizontal="center" vertical="top" wrapText="1"/>
    </xf>
    <xf numFmtId="0" fontId="13" fillId="0" borderId="24" xfId="0" applyFont="1" applyBorder="1" applyAlignment="1">
      <alignment horizontal="center" vertical="top" wrapText="1"/>
    </xf>
    <xf numFmtId="0" fontId="1" fillId="0" borderId="24" xfId="0" applyFont="1" applyBorder="1" applyAlignment="1">
      <alignment horizontal="center" vertical="top" wrapText="1"/>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3" fillId="0" borderId="56" xfId="0" applyFont="1" applyBorder="1" applyAlignment="1">
      <alignment horizontal="center" vertical="center" wrapText="1"/>
    </xf>
    <xf numFmtId="0" fontId="13" fillId="0" borderId="57" xfId="0" applyFont="1" applyBorder="1" applyAlignment="1">
      <alignment horizontal="center" vertical="center" wrapText="1"/>
    </xf>
    <xf numFmtId="0" fontId="13"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102"/>
      <c r="C2" s="104" t="s">
        <v>0</v>
      </c>
      <c r="D2" s="104"/>
      <c r="E2" s="104"/>
      <c r="F2" s="104"/>
      <c r="G2" s="104"/>
      <c r="H2" s="104"/>
      <c r="I2" s="6" t="s">
        <v>1</v>
      </c>
    </row>
    <row r="3" spans="2:9" ht="20.25" customHeight="1">
      <c r="B3" s="103"/>
      <c r="C3" s="105"/>
      <c r="D3" s="105"/>
      <c r="E3" s="105"/>
      <c r="F3" s="105"/>
      <c r="G3" s="105"/>
      <c r="H3" s="105"/>
      <c r="I3" s="7" t="s">
        <v>2</v>
      </c>
    </row>
    <row r="4" spans="2:9" ht="21" customHeight="1" thickBot="1">
      <c r="B4" s="106" t="s">
        <v>3</v>
      </c>
      <c r="C4" s="107"/>
      <c r="D4" s="107"/>
      <c r="E4" s="107"/>
      <c r="F4" s="107"/>
      <c r="G4" s="107"/>
      <c r="H4" s="107"/>
      <c r="I4" s="8" t="s">
        <v>4</v>
      </c>
    </row>
    <row r="5" spans="2:9" ht="15" thickTop="1">
      <c r="B5" s="155"/>
      <c r="C5" s="155"/>
      <c r="D5" s="155"/>
      <c r="E5" s="155"/>
      <c r="F5" s="155"/>
      <c r="G5" s="155"/>
      <c r="H5" s="155"/>
      <c r="I5" s="155"/>
    </row>
    <row r="6" spans="2:9">
      <c r="B6" s="155" t="s">
        <v>5</v>
      </c>
      <c r="C6" s="155"/>
      <c r="D6" s="155"/>
      <c r="E6" s="155"/>
      <c r="F6" s="155"/>
      <c r="G6" s="155"/>
      <c r="H6" s="155"/>
      <c r="I6" s="155"/>
    </row>
    <row r="7" spans="2:9" ht="43.5">
      <c r="B7" s="3" t="s">
        <v>6</v>
      </c>
      <c r="C7" s="1"/>
      <c r="D7" s="2" t="s">
        <v>7</v>
      </c>
      <c r="E7" s="1"/>
      <c r="F7" s="2" t="s">
        <v>8</v>
      </c>
      <c r="G7" s="1"/>
      <c r="H7" s="2" t="s">
        <v>9</v>
      </c>
      <c r="I7" s="1"/>
    </row>
    <row r="8" spans="2:9" ht="43.5">
      <c r="B8" s="2" t="s">
        <v>10</v>
      </c>
      <c r="C8" s="1"/>
      <c r="D8" s="3" t="s">
        <v>11</v>
      </c>
      <c r="E8" s="162"/>
      <c r="F8" s="162"/>
      <c r="G8" s="2" t="s">
        <v>12</v>
      </c>
      <c r="H8" s="162"/>
      <c r="I8" s="162"/>
    </row>
    <row r="9" spans="2:9" ht="29.1">
      <c r="B9" s="2" t="s">
        <v>13</v>
      </c>
      <c r="C9" s="5"/>
      <c r="D9" s="2" t="s">
        <v>14</v>
      </c>
      <c r="E9" s="5"/>
      <c r="F9" s="2" t="s">
        <v>15</v>
      </c>
      <c r="G9" s="5"/>
      <c r="H9" s="2" t="s">
        <v>16</v>
      </c>
      <c r="I9" s="5">
        <f>E9+G9</f>
        <v>0</v>
      </c>
    </row>
    <row r="10" spans="2:9">
      <c r="B10" s="161" t="s">
        <v>17</v>
      </c>
      <c r="C10" s="66"/>
      <c r="D10" s="66"/>
      <c r="E10" s="66"/>
      <c r="F10" s="66"/>
      <c r="G10" s="66"/>
      <c r="H10" s="66"/>
      <c r="I10" s="66"/>
    </row>
    <row r="11" spans="2:9">
      <c r="B11" s="161" t="s">
        <v>18</v>
      </c>
      <c r="C11" s="161"/>
      <c r="D11" s="155" t="s">
        <v>19</v>
      </c>
      <c r="E11" s="156"/>
      <c r="F11" s="156"/>
      <c r="G11" s="155" t="s">
        <v>20</v>
      </c>
      <c r="H11" s="156"/>
      <c r="I11" s="156"/>
    </row>
    <row r="12" spans="2:9">
      <c r="B12" s="161"/>
      <c r="C12" s="161"/>
      <c r="D12" s="155"/>
      <c r="E12" s="156"/>
      <c r="F12" s="156"/>
      <c r="G12" s="155"/>
      <c r="H12" s="156"/>
      <c r="I12" s="156"/>
    </row>
    <row r="13" spans="2:9">
      <c r="B13" s="66" t="s">
        <v>21</v>
      </c>
      <c r="C13" s="66"/>
      <c r="D13" s="66"/>
      <c r="E13" s="66"/>
      <c r="F13" s="66"/>
      <c r="G13" s="66"/>
      <c r="H13" s="66"/>
      <c r="I13" s="66"/>
    </row>
    <row r="14" spans="2:9">
      <c r="B14" s="3" t="s">
        <v>22</v>
      </c>
      <c r="C14" s="162"/>
      <c r="D14" s="162"/>
      <c r="E14" s="3" t="s">
        <v>23</v>
      </c>
      <c r="F14" s="1"/>
      <c r="G14" s="3" t="s">
        <v>24</v>
      </c>
      <c r="H14" s="162"/>
      <c r="I14" s="162"/>
    </row>
    <row r="15" spans="2:9">
      <c r="B15" s="66" t="s">
        <v>25</v>
      </c>
      <c r="C15" s="66"/>
      <c r="D15" s="66"/>
      <c r="E15" s="66"/>
      <c r="F15" s="66"/>
      <c r="G15" s="66"/>
      <c r="H15" s="66"/>
      <c r="I15" s="66"/>
    </row>
    <row r="16" spans="2:9">
      <c r="B16" s="161" t="s">
        <v>26</v>
      </c>
      <c r="C16" s="161"/>
      <c r="D16" s="156"/>
      <c r="E16" s="156"/>
      <c r="F16" s="156"/>
      <c r="G16" s="156"/>
      <c r="H16" s="156"/>
      <c r="I16" s="156"/>
    </row>
    <row r="17" spans="2:9">
      <c r="B17" s="161"/>
      <c r="C17" s="161"/>
      <c r="D17" s="156"/>
      <c r="E17" s="156"/>
      <c r="F17" s="156"/>
      <c r="G17" s="156"/>
      <c r="H17" s="156"/>
      <c r="I17" s="156"/>
    </row>
    <row r="18" spans="2:9">
      <c r="B18" s="159" t="s">
        <v>27</v>
      </c>
      <c r="C18" s="160"/>
      <c r="D18" s="156"/>
      <c r="E18" s="156"/>
      <c r="F18" s="156"/>
      <c r="G18" s="156"/>
      <c r="H18" s="156"/>
      <c r="I18" s="156"/>
    </row>
    <row r="19" spans="2:9">
      <c r="B19" s="161" t="s">
        <v>28</v>
      </c>
      <c r="C19" s="161"/>
      <c r="D19" s="156"/>
      <c r="E19" s="156"/>
      <c r="F19" s="156"/>
      <c r="G19" s="156"/>
      <c r="H19" s="156"/>
      <c r="I19" s="156"/>
    </row>
    <row r="20" spans="2:9">
      <c r="B20" s="161"/>
      <c r="C20" s="161"/>
      <c r="D20" s="156"/>
      <c r="E20" s="156"/>
      <c r="F20" s="156"/>
      <c r="G20" s="156"/>
      <c r="H20" s="156"/>
      <c r="I20" s="156"/>
    </row>
    <row r="21" spans="2:9">
      <c r="B21" s="161" t="s">
        <v>29</v>
      </c>
      <c r="C21" s="161"/>
      <c r="D21" s="156"/>
      <c r="E21" s="156"/>
      <c r="F21" s="156"/>
      <c r="G21" s="156"/>
      <c r="H21" s="156"/>
      <c r="I21" s="156"/>
    </row>
    <row r="22" spans="2:9">
      <c r="B22" s="161"/>
      <c r="C22" s="161"/>
      <c r="D22" s="156"/>
      <c r="E22" s="156"/>
      <c r="F22" s="156"/>
      <c r="G22" s="156"/>
      <c r="H22" s="156"/>
      <c r="I22" s="156"/>
    </row>
    <row r="23" spans="2:9">
      <c r="B23" s="155" t="s">
        <v>30</v>
      </c>
      <c r="C23" s="155"/>
      <c r="D23" s="156" t="s">
        <v>31</v>
      </c>
      <c r="E23" s="156"/>
      <c r="F23" s="156"/>
      <c r="G23" s="156"/>
      <c r="H23" s="156"/>
      <c r="I23" s="156"/>
    </row>
    <row r="24" spans="2:9">
      <c r="B24" s="155"/>
      <c r="C24" s="155"/>
      <c r="D24" s="156" t="s">
        <v>32</v>
      </c>
      <c r="E24" s="156"/>
      <c r="F24" s="156"/>
      <c r="G24" s="156"/>
      <c r="H24" s="156"/>
      <c r="I24" s="156"/>
    </row>
    <row r="25" spans="2:9">
      <c r="B25" s="155"/>
      <c r="C25" s="155"/>
      <c r="D25" s="156" t="s">
        <v>33</v>
      </c>
      <c r="E25" s="156"/>
      <c r="F25" s="156"/>
      <c r="G25" s="156"/>
      <c r="H25" s="156"/>
      <c r="I25" s="156"/>
    </row>
    <row r="26" spans="2:9">
      <c r="B26" s="155"/>
      <c r="C26" s="155"/>
      <c r="D26" s="156" t="s">
        <v>34</v>
      </c>
      <c r="E26" s="156"/>
      <c r="F26" s="156"/>
      <c r="G26" s="156"/>
      <c r="H26" s="156"/>
      <c r="I26" s="156"/>
    </row>
    <row r="27" spans="2:9">
      <c r="B27" s="157" t="s">
        <v>35</v>
      </c>
      <c r="C27" s="157"/>
      <c r="D27" s="3" t="s">
        <v>36</v>
      </c>
      <c r="E27" s="1"/>
      <c r="F27" s="3" t="s">
        <v>37</v>
      </c>
      <c r="G27" s="1"/>
      <c r="H27" s="3" t="s">
        <v>38</v>
      </c>
      <c r="I27" s="1"/>
    </row>
    <row r="28" spans="2:9">
      <c r="B28" s="157"/>
      <c r="C28" s="157"/>
      <c r="D28" s="4" t="s">
        <v>39</v>
      </c>
      <c r="E28" s="1"/>
      <c r="F28" s="3" t="s">
        <v>40</v>
      </c>
      <c r="G28" s="1"/>
      <c r="H28" s="3" t="s">
        <v>41</v>
      </c>
      <c r="I28" s="1"/>
    </row>
    <row r="29" spans="2:9">
      <c r="B29" s="157"/>
      <c r="C29" s="157"/>
      <c r="D29" s="3" t="s">
        <v>42</v>
      </c>
      <c r="E29" s="1"/>
      <c r="F29" s="3" t="s">
        <v>43</v>
      </c>
      <c r="G29" s="1"/>
      <c r="H29" s="3" t="s">
        <v>44</v>
      </c>
      <c r="I29" s="1"/>
    </row>
    <row r="30" spans="2:9">
      <c r="B30" s="158" t="s">
        <v>45</v>
      </c>
      <c r="C30" s="158"/>
      <c r="D30" s="158"/>
      <c r="E30" s="158"/>
      <c r="F30" s="158"/>
      <c r="G30" s="158"/>
      <c r="H30" s="158"/>
      <c r="I30" s="158"/>
    </row>
    <row r="31" spans="2:9">
      <c r="B31" s="158"/>
      <c r="C31" s="158"/>
      <c r="D31" s="158"/>
      <c r="E31" s="158"/>
      <c r="F31" s="158"/>
      <c r="G31" s="158"/>
      <c r="H31" s="158"/>
      <c r="I31" s="158"/>
    </row>
    <row r="32" spans="2:9">
      <c r="B32" s="158"/>
      <c r="C32" s="158"/>
      <c r="D32" s="158"/>
      <c r="E32" s="158"/>
      <c r="F32" s="158"/>
      <c r="G32" s="158"/>
      <c r="H32" s="158"/>
      <c r="I32" s="158"/>
    </row>
    <row r="33" spans="2:9">
      <c r="B33" s="158"/>
      <c r="C33" s="158"/>
      <c r="D33" s="158"/>
      <c r="E33" s="158"/>
      <c r="F33" s="158"/>
      <c r="G33" s="158"/>
      <c r="H33" s="158"/>
      <c r="I33" s="158"/>
    </row>
    <row r="34" spans="2:9">
      <c r="B34" s="158"/>
      <c r="C34" s="158"/>
      <c r="D34" s="158"/>
      <c r="E34" s="158"/>
      <c r="F34" s="158"/>
      <c r="G34" s="158"/>
      <c r="H34" s="158"/>
      <c r="I34" s="158"/>
    </row>
    <row r="35" spans="2:9">
      <c r="B35" s="66" t="s">
        <v>46</v>
      </c>
      <c r="C35" s="66"/>
      <c r="D35" s="66"/>
      <c r="E35" s="66"/>
      <c r="F35" s="66"/>
      <c r="G35" s="66"/>
      <c r="H35" s="66"/>
      <c r="I35" s="66"/>
    </row>
    <row r="36" spans="2:9">
      <c r="B36" s="56" t="s">
        <v>47</v>
      </c>
      <c r="C36" s="56"/>
      <c r="D36" s="56"/>
      <c r="E36" s="56"/>
      <c r="F36" s="56"/>
      <c r="G36" s="56"/>
      <c r="H36" s="56"/>
      <c r="I36" s="56"/>
    </row>
    <row r="37" spans="2:9">
      <c r="B37" s="56"/>
      <c r="C37" s="56"/>
      <c r="D37" s="56"/>
      <c r="E37" s="56"/>
      <c r="F37" s="56"/>
      <c r="G37" s="56"/>
      <c r="H37" s="56"/>
      <c r="I37" s="56"/>
    </row>
    <row r="38" spans="2:9">
      <c r="B38" s="56"/>
      <c r="C38" s="56"/>
      <c r="D38" s="56"/>
      <c r="E38" s="56"/>
      <c r="F38" s="56"/>
      <c r="G38" s="56"/>
      <c r="H38" s="56"/>
      <c r="I38" s="56"/>
    </row>
    <row r="39" spans="2:9">
      <c r="B39" s="152" t="s">
        <v>48</v>
      </c>
      <c r="C39" s="152"/>
      <c r="D39" s="152"/>
      <c r="E39" s="152"/>
      <c r="F39" s="152" t="s">
        <v>49</v>
      </c>
      <c r="G39" s="152"/>
      <c r="H39" s="152"/>
      <c r="I39" s="152"/>
    </row>
    <row r="40" spans="2:9">
      <c r="B40" s="152"/>
      <c r="C40" s="152"/>
      <c r="D40" s="152"/>
      <c r="E40" s="152"/>
      <c r="F40" s="152"/>
      <c r="G40" s="152"/>
      <c r="H40" s="152"/>
      <c r="I40" s="152"/>
    </row>
    <row r="41" spans="2:9">
      <c r="B41" s="152"/>
      <c r="C41" s="152"/>
      <c r="D41" s="152"/>
      <c r="E41" s="152"/>
      <c r="F41" s="152"/>
      <c r="G41" s="152"/>
      <c r="H41" s="152"/>
      <c r="I41" s="152"/>
    </row>
    <row r="42" spans="2:9">
      <c r="B42" s="152"/>
      <c r="C42" s="152"/>
      <c r="D42" s="152"/>
      <c r="E42" s="152"/>
      <c r="F42" s="152"/>
      <c r="G42" s="152"/>
      <c r="H42" s="152"/>
      <c r="I42" s="152"/>
    </row>
    <row r="43" spans="2:9">
      <c r="B43" s="152"/>
      <c r="C43" s="152"/>
      <c r="D43" s="152"/>
      <c r="E43" s="152"/>
      <c r="F43" s="152"/>
      <c r="G43" s="152"/>
      <c r="H43" s="152"/>
      <c r="I43" s="152"/>
    </row>
    <row r="44" spans="2:9">
      <c r="B44" s="152"/>
      <c r="C44" s="152"/>
      <c r="D44" s="152"/>
      <c r="E44" s="152"/>
      <c r="F44" s="152"/>
      <c r="G44" s="152"/>
      <c r="H44" s="152"/>
      <c r="I44" s="152"/>
    </row>
    <row r="45" spans="2:9">
      <c r="B45" s="152"/>
      <c r="C45" s="152"/>
      <c r="D45" s="152"/>
      <c r="E45" s="152"/>
      <c r="F45" s="152"/>
      <c r="G45" s="152"/>
      <c r="H45" s="152"/>
      <c r="I45" s="152"/>
    </row>
    <row r="46" spans="2:9">
      <c r="B46" s="152"/>
      <c r="C46" s="152"/>
      <c r="D46" s="152"/>
      <c r="E46" s="152"/>
      <c r="F46" s="152"/>
      <c r="G46" s="152"/>
      <c r="H46" s="152"/>
      <c r="I46" s="152"/>
    </row>
    <row r="47" spans="2:9">
      <c r="B47" s="152"/>
      <c r="C47" s="152"/>
      <c r="D47" s="152"/>
      <c r="E47" s="152"/>
      <c r="F47" s="152"/>
      <c r="G47" s="152"/>
      <c r="H47" s="152"/>
      <c r="I47" s="152"/>
    </row>
    <row r="48" spans="2:9">
      <c r="B48" s="66" t="s">
        <v>50</v>
      </c>
      <c r="C48" s="66"/>
      <c r="D48" s="66"/>
      <c r="E48" s="66"/>
      <c r="F48" s="66"/>
      <c r="G48" s="66"/>
      <c r="H48" s="66"/>
      <c r="I48" s="66"/>
    </row>
    <row r="49" spans="2:9">
      <c r="B49" s="154" t="s">
        <v>51</v>
      </c>
      <c r="C49" s="154"/>
      <c r="D49" s="154"/>
      <c r="E49" s="154"/>
      <c r="F49" s="152" t="s">
        <v>52</v>
      </c>
      <c r="G49" s="152"/>
      <c r="H49" s="152"/>
      <c r="I49" s="152"/>
    </row>
    <row r="50" spans="2:9">
      <c r="B50" s="154"/>
      <c r="C50" s="154"/>
      <c r="D50" s="154"/>
      <c r="E50" s="154"/>
      <c r="F50" s="152"/>
      <c r="G50" s="152"/>
      <c r="H50" s="152"/>
      <c r="I50" s="152"/>
    </row>
    <row r="51" spans="2:9">
      <c r="B51" s="154"/>
      <c r="C51" s="154"/>
      <c r="D51" s="154"/>
      <c r="E51" s="154"/>
      <c r="F51" s="152"/>
      <c r="G51" s="152"/>
      <c r="H51" s="152"/>
      <c r="I51" s="152"/>
    </row>
    <row r="52" spans="2:9">
      <c r="B52" s="154"/>
      <c r="C52" s="154"/>
      <c r="D52" s="154"/>
      <c r="E52" s="154"/>
      <c r="F52" s="152"/>
      <c r="G52" s="152"/>
      <c r="H52" s="152"/>
      <c r="I52" s="152"/>
    </row>
    <row r="53" spans="2:9">
      <c r="B53" s="154"/>
      <c r="C53" s="154"/>
      <c r="D53" s="154"/>
      <c r="E53" s="154"/>
      <c r="F53" s="152"/>
      <c r="G53" s="152"/>
      <c r="H53" s="152"/>
      <c r="I53" s="152"/>
    </row>
    <row r="54" spans="2:9">
      <c r="B54" s="154"/>
      <c r="C54" s="154"/>
      <c r="D54" s="154"/>
      <c r="E54" s="154"/>
      <c r="F54" s="152"/>
      <c r="G54" s="152"/>
      <c r="H54" s="152"/>
      <c r="I54" s="152"/>
    </row>
    <row r="55" spans="2:9">
      <c r="B55" s="154"/>
      <c r="C55" s="154"/>
      <c r="D55" s="154"/>
      <c r="E55" s="154"/>
      <c r="F55" s="152"/>
      <c r="G55" s="152"/>
      <c r="H55" s="152"/>
      <c r="I55" s="152"/>
    </row>
    <row r="56" spans="2:9">
      <c r="B56" s="154"/>
      <c r="C56" s="154"/>
      <c r="D56" s="154"/>
      <c r="E56" s="154"/>
      <c r="F56" s="152"/>
      <c r="G56" s="152"/>
      <c r="H56" s="152"/>
      <c r="I56" s="152"/>
    </row>
    <row r="57" spans="2:9">
      <c r="B57" s="154"/>
      <c r="C57" s="154"/>
      <c r="D57" s="154"/>
      <c r="E57" s="154"/>
      <c r="F57" s="152"/>
      <c r="G57" s="152"/>
      <c r="H57" s="152"/>
      <c r="I57" s="152"/>
    </row>
    <row r="58" spans="2:9">
      <c r="B58" s="154"/>
      <c r="C58" s="154"/>
      <c r="D58" s="154"/>
      <c r="E58" s="154"/>
      <c r="F58" s="152"/>
      <c r="G58" s="152"/>
      <c r="H58" s="152"/>
      <c r="I58" s="152"/>
    </row>
    <row r="59" spans="2:9">
      <c r="B59" s="154"/>
      <c r="C59" s="154"/>
      <c r="D59" s="154"/>
      <c r="E59" s="154"/>
      <c r="F59" s="152"/>
      <c r="G59" s="152"/>
      <c r="H59" s="152"/>
      <c r="I59" s="152"/>
    </row>
    <row r="60" spans="2:9">
      <c r="B60" s="155" t="s">
        <v>53</v>
      </c>
      <c r="C60" s="155"/>
      <c r="D60" s="155"/>
      <c r="E60" s="155"/>
      <c r="F60" s="156"/>
      <c r="G60" s="156"/>
      <c r="H60" s="155" t="s">
        <v>54</v>
      </c>
      <c r="I60" s="5"/>
    </row>
    <row r="61" spans="2:9">
      <c r="B61" s="155"/>
      <c r="C61" s="155"/>
      <c r="D61" s="155"/>
      <c r="E61" s="155"/>
      <c r="F61" s="156"/>
      <c r="G61" s="156"/>
      <c r="H61" s="155"/>
      <c r="I61" s="5"/>
    </row>
    <row r="62" spans="2:9">
      <c r="B62" s="155"/>
      <c r="C62" s="155"/>
      <c r="D62" s="155"/>
      <c r="E62" s="155"/>
      <c r="F62" s="156"/>
      <c r="G62" s="156"/>
      <c r="H62" s="155"/>
      <c r="I62" s="5"/>
    </row>
    <row r="63" spans="2:9">
      <c r="B63" s="155"/>
      <c r="C63" s="155"/>
      <c r="D63" s="155"/>
      <c r="E63" s="155"/>
      <c r="F63" s="156"/>
      <c r="G63" s="156"/>
      <c r="H63" s="155"/>
      <c r="I63" s="5"/>
    </row>
    <row r="64" spans="2:9">
      <c r="B64" s="155"/>
      <c r="C64" s="155"/>
      <c r="D64" s="155"/>
      <c r="E64" s="155"/>
      <c r="F64" s="156"/>
      <c r="G64" s="156"/>
      <c r="H64" s="155"/>
      <c r="I64" s="5"/>
    </row>
    <row r="65" spans="2:9">
      <c r="B65" s="66" t="s">
        <v>55</v>
      </c>
      <c r="C65" s="66"/>
      <c r="D65" s="66"/>
      <c r="E65" s="66"/>
      <c r="F65" s="66"/>
      <c r="G65" s="66"/>
      <c r="H65" s="66"/>
      <c r="I65" s="66"/>
    </row>
    <row r="66" spans="2:9">
      <c r="B66" s="152" t="s">
        <v>56</v>
      </c>
      <c r="C66" s="152"/>
      <c r="D66" s="152"/>
      <c r="E66" s="152"/>
      <c r="F66" s="152" t="s">
        <v>57</v>
      </c>
      <c r="G66" s="152"/>
      <c r="H66" s="152"/>
      <c r="I66" s="152"/>
    </row>
    <row r="67" spans="2:9">
      <c r="B67" s="152"/>
      <c r="C67" s="152"/>
      <c r="D67" s="152"/>
      <c r="E67" s="152"/>
      <c r="F67" s="152"/>
      <c r="G67" s="152"/>
      <c r="H67" s="152"/>
      <c r="I67" s="152"/>
    </row>
    <row r="68" spans="2:9">
      <c r="B68" s="152"/>
      <c r="C68" s="152"/>
      <c r="D68" s="152"/>
      <c r="E68" s="152"/>
      <c r="F68" s="152"/>
      <c r="G68" s="152"/>
      <c r="H68" s="152"/>
      <c r="I68" s="152"/>
    </row>
    <row r="69" spans="2:9">
      <c r="B69" s="152"/>
      <c r="C69" s="152"/>
      <c r="D69" s="152"/>
      <c r="E69" s="152"/>
      <c r="F69" s="152"/>
      <c r="G69" s="152"/>
      <c r="H69" s="152"/>
      <c r="I69" s="152"/>
    </row>
    <row r="70" spans="2:9">
      <c r="B70" s="152"/>
      <c r="C70" s="152"/>
      <c r="D70" s="152"/>
      <c r="E70" s="152"/>
      <c r="F70" s="152"/>
      <c r="G70" s="152"/>
      <c r="H70" s="152"/>
      <c r="I70" s="152"/>
    </row>
    <row r="71" spans="2:9">
      <c r="B71" s="152"/>
      <c r="C71" s="152"/>
      <c r="D71" s="152"/>
      <c r="E71" s="152"/>
      <c r="F71" s="152"/>
      <c r="G71" s="152"/>
      <c r="H71" s="152"/>
      <c r="I71" s="152"/>
    </row>
    <row r="72" spans="2:9">
      <c r="B72" s="152"/>
      <c r="C72" s="152"/>
      <c r="D72" s="152"/>
      <c r="E72" s="152"/>
      <c r="F72" s="152"/>
      <c r="G72" s="152"/>
      <c r="H72" s="152"/>
      <c r="I72" s="152"/>
    </row>
    <row r="73" spans="2:9">
      <c r="B73" s="152"/>
      <c r="C73" s="152"/>
      <c r="D73" s="152"/>
      <c r="E73" s="152"/>
      <c r="F73" s="152"/>
      <c r="G73" s="152"/>
      <c r="H73" s="152"/>
      <c r="I73" s="152"/>
    </row>
    <row r="74" spans="2:9">
      <c r="B74" s="152"/>
      <c r="C74" s="152"/>
      <c r="D74" s="152"/>
      <c r="E74" s="152"/>
      <c r="F74" s="152"/>
      <c r="G74" s="152"/>
      <c r="H74" s="152"/>
      <c r="I74" s="152"/>
    </row>
    <row r="75" spans="2:9">
      <c r="B75" s="152"/>
      <c r="C75" s="152"/>
      <c r="D75" s="152"/>
      <c r="E75" s="152"/>
      <c r="F75" s="152"/>
      <c r="G75" s="152"/>
      <c r="H75" s="152"/>
      <c r="I75" s="152"/>
    </row>
    <row r="76" spans="2:9">
      <c r="B76" s="152"/>
      <c r="C76" s="152"/>
      <c r="D76" s="152"/>
      <c r="E76" s="152"/>
      <c r="F76" s="152"/>
      <c r="G76" s="152"/>
      <c r="H76" s="152"/>
      <c r="I76" s="152"/>
    </row>
    <row r="77" spans="2:9">
      <c r="B77" s="152"/>
      <c r="C77" s="152"/>
      <c r="D77" s="152"/>
      <c r="E77" s="152"/>
      <c r="F77" s="152"/>
      <c r="G77" s="152"/>
      <c r="H77" s="152"/>
      <c r="I77" s="152"/>
    </row>
    <row r="78" spans="2:9">
      <c r="B78" s="152"/>
      <c r="C78" s="152"/>
      <c r="D78" s="152"/>
      <c r="E78" s="152"/>
      <c r="F78" s="152"/>
      <c r="G78" s="152"/>
      <c r="H78" s="152"/>
      <c r="I78" s="152"/>
    </row>
    <row r="79" spans="2:9">
      <c r="B79" s="152"/>
      <c r="C79" s="152"/>
      <c r="D79" s="152"/>
      <c r="E79" s="152"/>
      <c r="F79" s="152"/>
      <c r="G79" s="152"/>
      <c r="H79" s="152"/>
      <c r="I79" s="152"/>
    </row>
    <row r="80" spans="2:9">
      <c r="B80" s="153"/>
      <c r="C80" s="153"/>
      <c r="D80" s="153"/>
      <c r="E80" s="153"/>
      <c r="F80" s="153"/>
      <c r="G80" s="153"/>
      <c r="H80" s="153"/>
      <c r="I80" s="153"/>
    </row>
    <row r="81" spans="2:9">
      <c r="B81" s="66" t="s">
        <v>58</v>
      </c>
      <c r="C81" s="66"/>
      <c r="D81" s="66"/>
      <c r="E81" s="66"/>
      <c r="F81" s="66"/>
      <c r="G81" s="66"/>
      <c r="H81" s="66"/>
      <c r="I81" s="66"/>
    </row>
    <row r="82" spans="2:9">
      <c r="B82" s="9" t="s">
        <v>59</v>
      </c>
      <c r="C82" s="9" t="s">
        <v>60</v>
      </c>
      <c r="D82" s="9" t="s">
        <v>61</v>
      </c>
      <c r="E82" s="9" t="s">
        <v>62</v>
      </c>
      <c r="F82" s="9" t="s">
        <v>63</v>
      </c>
      <c r="G82" s="66" t="s">
        <v>64</v>
      </c>
      <c r="H82" s="66"/>
      <c r="I82" s="66"/>
    </row>
    <row r="83" spans="2:9">
      <c r="B83" s="10"/>
      <c r="C83" s="10"/>
      <c r="D83" s="10"/>
      <c r="E83" s="10"/>
      <c r="F83" s="10"/>
      <c r="G83" s="56"/>
      <c r="H83" s="56"/>
      <c r="I83" s="56"/>
    </row>
    <row r="84" spans="2:9">
      <c r="B84" s="10"/>
      <c r="C84" s="10"/>
      <c r="D84" s="10"/>
      <c r="E84" s="10"/>
      <c r="F84" s="10"/>
      <c r="G84" s="56"/>
      <c r="H84" s="56"/>
      <c r="I84" s="56"/>
    </row>
    <row r="85" spans="2:9">
      <c r="B85" s="10"/>
      <c r="C85" s="10"/>
      <c r="D85" s="10"/>
      <c r="E85" s="10"/>
      <c r="F85" s="10"/>
      <c r="G85" s="56"/>
      <c r="H85" s="56"/>
      <c r="I85" s="56"/>
    </row>
    <row r="86" spans="2:9">
      <c r="B86" s="10"/>
      <c r="C86" s="10"/>
      <c r="D86" s="10"/>
      <c r="E86" s="10"/>
      <c r="F86" s="10"/>
      <c r="G86" s="56"/>
      <c r="H86" s="56"/>
      <c r="I86" s="56"/>
    </row>
    <row r="87" spans="2:9">
      <c r="B87" s="10"/>
      <c r="C87" s="10"/>
      <c r="D87" s="10"/>
      <c r="E87" s="10"/>
      <c r="F87" s="10"/>
      <c r="G87" s="56"/>
      <c r="H87" s="56"/>
      <c r="I87" s="56"/>
    </row>
    <row r="88" spans="2:9">
      <c r="B88" s="10"/>
      <c r="C88" s="10"/>
      <c r="D88" s="10"/>
      <c r="E88" s="10"/>
      <c r="F88" s="10"/>
      <c r="G88" s="56"/>
      <c r="H88" s="56"/>
      <c r="I88" s="5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102"/>
      <c r="C2" s="104" t="s">
        <v>0</v>
      </c>
      <c r="D2" s="104"/>
      <c r="E2" s="104"/>
      <c r="F2" s="104"/>
      <c r="G2" s="104"/>
      <c r="H2" s="104"/>
      <c r="I2" s="6" t="s">
        <v>1</v>
      </c>
    </row>
    <row r="3" spans="2:11" ht="20.25" customHeight="1">
      <c r="B3" s="103"/>
      <c r="C3" s="105"/>
      <c r="D3" s="105"/>
      <c r="E3" s="105"/>
      <c r="F3" s="105"/>
      <c r="G3" s="105"/>
      <c r="H3" s="105"/>
      <c r="I3" s="7" t="s">
        <v>2</v>
      </c>
    </row>
    <row r="4" spans="2:11" ht="21" customHeight="1" thickBot="1">
      <c r="B4" s="106" t="s">
        <v>3</v>
      </c>
      <c r="C4" s="107"/>
      <c r="D4" s="107"/>
      <c r="E4" s="107"/>
      <c r="F4" s="107"/>
      <c r="G4" s="107"/>
      <c r="H4" s="107"/>
      <c r="I4" s="8" t="s">
        <v>4</v>
      </c>
    </row>
    <row r="5" spans="2:11" ht="15" thickTop="1">
      <c r="B5" s="155"/>
      <c r="C5" s="155"/>
      <c r="D5" s="155"/>
      <c r="E5" s="155"/>
      <c r="F5" s="155"/>
      <c r="G5" s="155"/>
      <c r="H5" s="155"/>
      <c r="I5" s="155"/>
    </row>
    <row r="6" spans="2:11">
      <c r="B6" s="155" t="s">
        <v>5</v>
      </c>
      <c r="C6" s="155"/>
      <c r="D6" s="155"/>
      <c r="E6" s="155"/>
      <c r="F6" s="155"/>
      <c r="G6" s="155"/>
      <c r="H6" s="155"/>
      <c r="I6" s="155"/>
    </row>
    <row r="7" spans="2:11" ht="43.5">
      <c r="B7" s="3" t="s">
        <v>6</v>
      </c>
      <c r="C7" s="1"/>
      <c r="D7" s="2" t="s">
        <v>7</v>
      </c>
      <c r="E7" s="1"/>
      <c r="F7" s="2" t="s">
        <v>8</v>
      </c>
      <c r="G7" s="1"/>
      <c r="H7" s="2" t="s">
        <v>9</v>
      </c>
      <c r="I7" s="1"/>
    </row>
    <row r="8" spans="2:11" ht="43.5">
      <c r="B8" s="15" t="s">
        <v>10</v>
      </c>
      <c r="C8" s="16"/>
      <c r="D8" s="3" t="s">
        <v>65</v>
      </c>
      <c r="E8" s="162"/>
      <c r="F8" s="162"/>
      <c r="G8" s="2" t="s">
        <v>12</v>
      </c>
      <c r="H8" s="162"/>
      <c r="I8" s="162"/>
      <c r="K8" s="11" t="s">
        <v>66</v>
      </c>
    </row>
    <row r="9" spans="2:11" ht="29.1">
      <c r="B9" s="2" t="s">
        <v>13</v>
      </c>
      <c r="C9" s="5">
        <v>3</v>
      </c>
      <c r="D9" s="2" t="s">
        <v>14</v>
      </c>
      <c r="E9" s="5">
        <v>54</v>
      </c>
      <c r="F9" s="2" t="s">
        <v>15</v>
      </c>
      <c r="G9" s="5">
        <v>90</v>
      </c>
      <c r="H9" s="2" t="s">
        <v>16</v>
      </c>
      <c r="I9" s="5">
        <f>E9+G9</f>
        <v>144</v>
      </c>
      <c r="K9" s="11" t="s">
        <v>67</v>
      </c>
    </row>
    <row r="10" spans="2:11">
      <c r="B10" s="161" t="s">
        <v>17</v>
      </c>
      <c r="C10" s="66"/>
      <c r="D10" s="66"/>
      <c r="E10" s="66"/>
      <c r="F10" s="66"/>
      <c r="G10" s="66"/>
      <c r="H10" s="66"/>
      <c r="I10" s="66"/>
    </row>
    <row r="11" spans="2:11">
      <c r="B11" s="161" t="s">
        <v>18</v>
      </c>
      <c r="C11" s="161"/>
      <c r="D11" s="155" t="s">
        <v>19</v>
      </c>
      <c r="E11" s="156"/>
      <c r="F11" s="156"/>
      <c r="G11" s="155" t="s">
        <v>20</v>
      </c>
      <c r="H11" s="156"/>
      <c r="I11" s="156"/>
    </row>
    <row r="12" spans="2:11">
      <c r="B12" s="161"/>
      <c r="C12" s="161"/>
      <c r="D12" s="155"/>
      <c r="E12" s="156"/>
      <c r="F12" s="156"/>
      <c r="G12" s="155"/>
      <c r="H12" s="156"/>
      <c r="I12" s="156"/>
    </row>
    <row r="13" spans="2:11">
      <c r="B13" s="66" t="s">
        <v>21</v>
      </c>
      <c r="C13" s="66"/>
      <c r="D13" s="66"/>
      <c r="E13" s="66"/>
      <c r="F13" s="66"/>
      <c r="G13" s="66"/>
      <c r="H13" s="66"/>
      <c r="I13" s="66"/>
    </row>
    <row r="14" spans="2:11">
      <c r="B14" s="3" t="s">
        <v>22</v>
      </c>
      <c r="C14" s="162"/>
      <c r="D14" s="162"/>
      <c r="E14" s="3" t="s">
        <v>23</v>
      </c>
      <c r="F14" s="1"/>
      <c r="G14" s="3" t="s">
        <v>24</v>
      </c>
      <c r="H14" s="162"/>
      <c r="I14" s="162"/>
    </row>
    <row r="15" spans="2:11">
      <c r="B15" s="66" t="s">
        <v>25</v>
      </c>
      <c r="C15" s="66"/>
      <c r="D15" s="66"/>
      <c r="E15" s="66"/>
      <c r="F15" s="66"/>
      <c r="G15" s="66"/>
      <c r="H15" s="66"/>
      <c r="I15" s="66"/>
    </row>
    <row r="16" spans="2:11">
      <c r="B16" s="161" t="s">
        <v>26</v>
      </c>
      <c r="C16" s="161"/>
      <c r="D16" s="156" t="s">
        <v>68</v>
      </c>
      <c r="E16" s="156"/>
      <c r="F16" s="156"/>
      <c r="G16" s="156"/>
      <c r="H16" s="156"/>
      <c r="I16" s="156"/>
    </row>
    <row r="17" spans="2:12">
      <c r="B17" s="161"/>
      <c r="C17" s="161"/>
      <c r="D17" s="156"/>
      <c r="E17" s="156"/>
      <c r="F17" s="156"/>
      <c r="G17" s="156"/>
      <c r="H17" s="156"/>
      <c r="I17" s="156"/>
    </row>
    <row r="18" spans="2:12">
      <c r="B18" s="166" t="s">
        <v>27</v>
      </c>
      <c r="C18" s="167"/>
      <c r="D18" s="168"/>
      <c r="E18" s="168"/>
      <c r="F18" s="168"/>
      <c r="G18" s="168"/>
      <c r="H18" s="168"/>
      <c r="I18" s="168"/>
    </row>
    <row r="19" spans="2:12">
      <c r="B19" s="169" t="s">
        <v>28</v>
      </c>
      <c r="C19" s="169"/>
      <c r="D19" s="168"/>
      <c r="E19" s="168"/>
      <c r="F19" s="168"/>
      <c r="G19" s="168"/>
      <c r="H19" s="168"/>
      <c r="I19" s="168"/>
    </row>
    <row r="20" spans="2:12">
      <c r="B20" s="169"/>
      <c r="C20" s="169"/>
      <c r="D20" s="168"/>
      <c r="E20" s="168"/>
      <c r="F20" s="168"/>
      <c r="G20" s="168"/>
      <c r="H20" s="168"/>
      <c r="I20" s="168"/>
    </row>
    <row r="21" spans="2:12">
      <c r="B21" s="169" t="s">
        <v>29</v>
      </c>
      <c r="C21" s="169"/>
      <c r="D21" s="168" t="s">
        <v>69</v>
      </c>
      <c r="E21" s="168"/>
      <c r="F21" s="168"/>
      <c r="G21" s="168"/>
      <c r="H21" s="168"/>
      <c r="I21" s="168"/>
    </row>
    <row r="22" spans="2:12">
      <c r="B22" s="169"/>
      <c r="C22" s="169"/>
      <c r="D22" s="168"/>
      <c r="E22" s="168"/>
      <c r="F22" s="168"/>
      <c r="G22" s="168"/>
      <c r="H22" s="168"/>
      <c r="I22" s="168"/>
    </row>
    <row r="23" spans="2:12">
      <c r="B23" s="170" t="s">
        <v>30</v>
      </c>
      <c r="C23" s="170"/>
      <c r="D23" s="168" t="s">
        <v>31</v>
      </c>
      <c r="E23" s="168"/>
      <c r="F23" s="168"/>
      <c r="G23" s="168"/>
      <c r="H23" s="168"/>
      <c r="I23" s="168"/>
    </row>
    <row r="24" spans="2:12">
      <c r="B24" s="170"/>
      <c r="C24" s="170"/>
      <c r="D24" s="168" t="s">
        <v>32</v>
      </c>
      <c r="E24" s="168"/>
      <c r="F24" s="168"/>
      <c r="G24" s="168"/>
      <c r="H24" s="168"/>
      <c r="I24" s="168"/>
    </row>
    <row r="25" spans="2:12">
      <c r="B25" s="170"/>
      <c r="C25" s="170"/>
      <c r="D25" s="168" t="s">
        <v>33</v>
      </c>
      <c r="E25" s="168"/>
      <c r="F25" s="168"/>
      <c r="G25" s="168"/>
      <c r="H25" s="168"/>
      <c r="I25" s="168"/>
    </row>
    <row r="26" spans="2:12">
      <c r="B26" s="170"/>
      <c r="C26" s="170"/>
      <c r="D26" s="168" t="s">
        <v>34</v>
      </c>
      <c r="E26" s="168"/>
      <c r="F26" s="168"/>
      <c r="G26" s="168"/>
      <c r="H26" s="168"/>
      <c r="I26" s="168"/>
    </row>
    <row r="27" spans="2:12" ht="99.6" customHeight="1">
      <c r="B27" s="157" t="s">
        <v>70</v>
      </c>
      <c r="C27" s="157"/>
      <c r="D27" s="171" t="s">
        <v>71</v>
      </c>
      <c r="E27" s="172"/>
      <c r="F27" s="173"/>
      <c r="G27" s="163" t="s">
        <v>72</v>
      </c>
      <c r="H27" s="172"/>
      <c r="I27" s="173"/>
      <c r="L27" s="11" t="s">
        <v>73</v>
      </c>
    </row>
    <row r="28" spans="2:12" ht="90.6" customHeight="1">
      <c r="B28" s="157"/>
      <c r="C28" s="157"/>
      <c r="D28" s="174" t="s">
        <v>74</v>
      </c>
      <c r="E28" s="175"/>
      <c r="F28" s="176"/>
      <c r="G28" s="163" t="s">
        <v>75</v>
      </c>
      <c r="H28" s="178"/>
      <c r="I28" s="151"/>
      <c r="L28" s="11" t="s">
        <v>76</v>
      </c>
    </row>
    <row r="29" spans="2:12" ht="75.599999999999994" customHeight="1">
      <c r="B29" s="157"/>
      <c r="C29" s="157"/>
      <c r="D29" s="171" t="s">
        <v>77</v>
      </c>
      <c r="E29" s="172"/>
      <c r="F29" s="173"/>
      <c r="G29" s="163" t="s">
        <v>78</v>
      </c>
      <c r="H29" s="164"/>
      <c r="I29" s="165"/>
      <c r="L29" s="11" t="s">
        <v>79</v>
      </c>
    </row>
    <row r="30" spans="2:12">
      <c r="B30" s="66" t="s">
        <v>46</v>
      </c>
      <c r="C30" s="66"/>
      <c r="D30" s="66"/>
      <c r="E30" s="66"/>
      <c r="F30" s="66"/>
      <c r="G30" s="66"/>
      <c r="H30" s="66"/>
      <c r="I30" s="66"/>
    </row>
    <row r="31" spans="2:12">
      <c r="B31" s="56" t="s">
        <v>47</v>
      </c>
      <c r="C31" s="56"/>
      <c r="D31" s="56"/>
      <c r="E31" s="56"/>
      <c r="F31" s="56"/>
      <c r="G31" s="56"/>
      <c r="H31" s="56"/>
      <c r="I31" s="56"/>
    </row>
    <row r="32" spans="2:12">
      <c r="B32" s="56"/>
      <c r="C32" s="56"/>
      <c r="D32" s="56"/>
      <c r="E32" s="56"/>
      <c r="F32" s="56"/>
      <c r="G32" s="56"/>
      <c r="H32" s="56"/>
      <c r="I32" s="56"/>
    </row>
    <row r="33" spans="2:9">
      <c r="B33" s="56"/>
      <c r="C33" s="56"/>
      <c r="D33" s="56"/>
      <c r="E33" s="56"/>
      <c r="F33" s="56"/>
      <c r="G33" s="56"/>
      <c r="H33" s="56"/>
      <c r="I33" s="56"/>
    </row>
    <row r="34" spans="2:9">
      <c r="B34" s="152" t="s">
        <v>80</v>
      </c>
      <c r="C34" s="152"/>
      <c r="D34" s="152"/>
      <c r="E34" s="152"/>
      <c r="F34" s="177" t="s">
        <v>49</v>
      </c>
      <c r="G34" s="177"/>
      <c r="H34" s="177"/>
      <c r="I34" s="177"/>
    </row>
    <row r="35" spans="2:9">
      <c r="B35" s="152"/>
      <c r="C35" s="152"/>
      <c r="D35" s="152"/>
      <c r="E35" s="152"/>
      <c r="F35" s="177"/>
      <c r="G35" s="177"/>
      <c r="H35" s="177"/>
      <c r="I35" s="177"/>
    </row>
    <row r="36" spans="2:9">
      <c r="B36" s="152"/>
      <c r="C36" s="152"/>
      <c r="D36" s="152"/>
      <c r="E36" s="152"/>
      <c r="F36" s="177"/>
      <c r="G36" s="177"/>
      <c r="H36" s="177"/>
      <c r="I36" s="177"/>
    </row>
    <row r="37" spans="2:9">
      <c r="B37" s="152"/>
      <c r="C37" s="152"/>
      <c r="D37" s="152"/>
      <c r="E37" s="152"/>
      <c r="F37" s="177"/>
      <c r="G37" s="177"/>
      <c r="H37" s="177"/>
      <c r="I37" s="177"/>
    </row>
    <row r="38" spans="2:9">
      <c r="B38" s="152"/>
      <c r="C38" s="152"/>
      <c r="D38" s="152"/>
      <c r="E38" s="152"/>
      <c r="F38" s="177"/>
      <c r="G38" s="177"/>
      <c r="H38" s="177"/>
      <c r="I38" s="177"/>
    </row>
    <row r="39" spans="2:9">
      <c r="B39" s="152"/>
      <c r="C39" s="152"/>
      <c r="D39" s="152"/>
      <c r="E39" s="152"/>
      <c r="F39" s="177"/>
      <c r="G39" s="177"/>
      <c r="H39" s="177"/>
      <c r="I39" s="177"/>
    </row>
    <row r="40" spans="2:9">
      <c r="B40" s="152"/>
      <c r="C40" s="152"/>
      <c r="D40" s="152"/>
      <c r="E40" s="152"/>
      <c r="F40" s="177"/>
      <c r="G40" s="177"/>
      <c r="H40" s="177"/>
      <c r="I40" s="177"/>
    </row>
    <row r="41" spans="2:9">
      <c r="B41" s="152"/>
      <c r="C41" s="152"/>
      <c r="D41" s="152"/>
      <c r="E41" s="152"/>
      <c r="F41" s="177"/>
      <c r="G41" s="177"/>
      <c r="H41" s="177"/>
      <c r="I41" s="177"/>
    </row>
    <row r="42" spans="2:9">
      <c r="B42" s="152"/>
      <c r="C42" s="152"/>
      <c r="D42" s="152"/>
      <c r="E42" s="152"/>
      <c r="F42" s="177"/>
      <c r="G42" s="177"/>
      <c r="H42" s="177"/>
      <c r="I42" s="177"/>
    </row>
    <row r="43" spans="2:9">
      <c r="B43" s="66" t="s">
        <v>50</v>
      </c>
      <c r="C43" s="66"/>
      <c r="D43" s="66"/>
      <c r="E43" s="66"/>
      <c r="F43" s="66"/>
      <c r="G43" s="66"/>
      <c r="H43" s="66"/>
      <c r="I43" s="66"/>
    </row>
    <row r="44" spans="2:9">
      <c r="B44" s="154" t="s">
        <v>81</v>
      </c>
      <c r="C44" s="154"/>
      <c r="D44" s="154"/>
      <c r="E44" s="154"/>
      <c r="F44" s="152" t="s">
        <v>82</v>
      </c>
      <c r="G44" s="152"/>
      <c r="H44" s="152"/>
      <c r="I44" s="152"/>
    </row>
    <row r="45" spans="2:9">
      <c r="B45" s="154"/>
      <c r="C45" s="154"/>
      <c r="D45" s="154"/>
      <c r="E45" s="154"/>
      <c r="F45" s="152"/>
      <c r="G45" s="152"/>
      <c r="H45" s="152"/>
      <c r="I45" s="152"/>
    </row>
    <row r="46" spans="2:9">
      <c r="B46" s="154"/>
      <c r="C46" s="154"/>
      <c r="D46" s="154"/>
      <c r="E46" s="154"/>
      <c r="F46" s="152"/>
      <c r="G46" s="152"/>
      <c r="H46" s="152"/>
      <c r="I46" s="152"/>
    </row>
    <row r="47" spans="2:9">
      <c r="B47" s="154"/>
      <c r="C47" s="154"/>
      <c r="D47" s="154"/>
      <c r="E47" s="154"/>
      <c r="F47" s="152"/>
      <c r="G47" s="152"/>
      <c r="H47" s="152"/>
      <c r="I47" s="152"/>
    </row>
    <row r="48" spans="2:9">
      <c r="B48" s="154"/>
      <c r="C48" s="154"/>
      <c r="D48" s="154"/>
      <c r="E48" s="154"/>
      <c r="F48" s="152"/>
      <c r="G48" s="152"/>
      <c r="H48" s="152"/>
      <c r="I48" s="152"/>
    </row>
    <row r="49" spans="2:9">
      <c r="B49" s="154"/>
      <c r="C49" s="154"/>
      <c r="D49" s="154"/>
      <c r="E49" s="154"/>
      <c r="F49" s="152"/>
      <c r="G49" s="152"/>
      <c r="H49" s="152"/>
      <c r="I49" s="152"/>
    </row>
    <row r="50" spans="2:9">
      <c r="B50" s="154"/>
      <c r="C50" s="154"/>
      <c r="D50" s="154"/>
      <c r="E50" s="154"/>
      <c r="F50" s="152"/>
      <c r="G50" s="152"/>
      <c r="H50" s="152"/>
      <c r="I50" s="152"/>
    </row>
    <row r="51" spans="2:9">
      <c r="B51" s="154"/>
      <c r="C51" s="154"/>
      <c r="D51" s="154"/>
      <c r="E51" s="154"/>
      <c r="F51" s="152"/>
      <c r="G51" s="152"/>
      <c r="H51" s="152"/>
      <c r="I51" s="152"/>
    </row>
    <row r="52" spans="2:9">
      <c r="B52" s="154"/>
      <c r="C52" s="154"/>
      <c r="D52" s="154"/>
      <c r="E52" s="154"/>
      <c r="F52" s="152"/>
      <c r="G52" s="152"/>
      <c r="H52" s="152"/>
      <c r="I52" s="152"/>
    </row>
    <row r="53" spans="2:9">
      <c r="B53" s="154"/>
      <c r="C53" s="154"/>
      <c r="D53" s="154"/>
      <c r="E53" s="154"/>
      <c r="F53" s="152"/>
      <c r="G53" s="152"/>
      <c r="H53" s="152"/>
      <c r="I53" s="152"/>
    </row>
    <row r="54" spans="2:9">
      <c r="B54" s="154"/>
      <c r="C54" s="154"/>
      <c r="D54" s="154"/>
      <c r="E54" s="154"/>
      <c r="F54" s="152"/>
      <c r="G54" s="152"/>
      <c r="H54" s="152"/>
      <c r="I54" s="152"/>
    </row>
    <row r="55" spans="2:9">
      <c r="B55" s="155" t="s">
        <v>83</v>
      </c>
      <c r="C55" s="155"/>
      <c r="D55" s="155"/>
      <c r="E55" s="155"/>
      <c r="F55" s="156" t="s">
        <v>84</v>
      </c>
      <c r="G55" s="156"/>
      <c r="H55" s="155" t="s">
        <v>54</v>
      </c>
      <c r="I55" s="5"/>
    </row>
    <row r="56" spans="2:9">
      <c r="B56" s="155"/>
      <c r="C56" s="155"/>
      <c r="D56" s="155"/>
      <c r="E56" s="155"/>
      <c r="F56" s="156"/>
      <c r="G56" s="156"/>
      <c r="H56" s="155"/>
      <c r="I56" s="5"/>
    </row>
    <row r="57" spans="2:9">
      <c r="B57" s="155"/>
      <c r="C57" s="155"/>
      <c r="D57" s="155"/>
      <c r="E57" s="155"/>
      <c r="F57" s="156"/>
      <c r="G57" s="156"/>
      <c r="H57" s="155"/>
      <c r="I57" s="5"/>
    </row>
    <row r="58" spans="2:9">
      <c r="B58" s="155"/>
      <c r="C58" s="155"/>
      <c r="D58" s="155"/>
      <c r="E58" s="155"/>
      <c r="F58" s="156"/>
      <c r="G58" s="156"/>
      <c r="H58" s="155"/>
      <c r="I58" s="5"/>
    </row>
    <row r="59" spans="2:9">
      <c r="B59" s="155"/>
      <c r="C59" s="155"/>
      <c r="D59" s="155"/>
      <c r="E59" s="155"/>
      <c r="F59" s="156"/>
      <c r="G59" s="156"/>
      <c r="H59" s="155"/>
      <c r="I59" s="5"/>
    </row>
    <row r="60" spans="2:9">
      <c r="B60" s="66" t="s">
        <v>55</v>
      </c>
      <c r="C60" s="66"/>
      <c r="D60" s="66"/>
      <c r="E60" s="66"/>
      <c r="F60" s="66"/>
      <c r="G60" s="66"/>
      <c r="H60" s="66"/>
      <c r="I60" s="66"/>
    </row>
    <row r="61" spans="2:9">
      <c r="B61" s="152" t="s">
        <v>56</v>
      </c>
      <c r="C61" s="152"/>
      <c r="D61" s="152"/>
      <c r="E61" s="152"/>
      <c r="F61" s="152" t="s">
        <v>57</v>
      </c>
      <c r="G61" s="152"/>
      <c r="H61" s="152"/>
      <c r="I61" s="152"/>
    </row>
    <row r="62" spans="2:9">
      <c r="B62" s="152"/>
      <c r="C62" s="152"/>
      <c r="D62" s="152"/>
      <c r="E62" s="152"/>
      <c r="F62" s="152"/>
      <c r="G62" s="152"/>
      <c r="H62" s="152"/>
      <c r="I62" s="152"/>
    </row>
    <row r="63" spans="2:9">
      <c r="B63" s="152"/>
      <c r="C63" s="152"/>
      <c r="D63" s="152"/>
      <c r="E63" s="152"/>
      <c r="F63" s="152"/>
      <c r="G63" s="152"/>
      <c r="H63" s="152"/>
      <c r="I63" s="152"/>
    </row>
    <row r="64" spans="2:9">
      <c r="B64" s="152"/>
      <c r="C64" s="152"/>
      <c r="D64" s="152"/>
      <c r="E64" s="152"/>
      <c r="F64" s="152"/>
      <c r="G64" s="152"/>
      <c r="H64" s="152"/>
      <c r="I64" s="152"/>
    </row>
    <row r="65" spans="2:9">
      <c r="B65" s="152"/>
      <c r="C65" s="152"/>
      <c r="D65" s="152"/>
      <c r="E65" s="152"/>
      <c r="F65" s="152"/>
      <c r="G65" s="152"/>
      <c r="H65" s="152"/>
      <c r="I65" s="152"/>
    </row>
    <row r="66" spans="2:9">
      <c r="B66" s="152"/>
      <c r="C66" s="152"/>
      <c r="D66" s="152"/>
      <c r="E66" s="152"/>
      <c r="F66" s="152"/>
      <c r="G66" s="152"/>
      <c r="H66" s="152"/>
      <c r="I66" s="152"/>
    </row>
    <row r="67" spans="2:9">
      <c r="B67" s="152"/>
      <c r="C67" s="152"/>
      <c r="D67" s="152"/>
      <c r="E67" s="152"/>
      <c r="F67" s="152"/>
      <c r="G67" s="152"/>
      <c r="H67" s="152"/>
      <c r="I67" s="152"/>
    </row>
    <row r="68" spans="2:9">
      <c r="B68" s="152"/>
      <c r="C68" s="152"/>
      <c r="D68" s="152"/>
      <c r="E68" s="152"/>
      <c r="F68" s="152"/>
      <c r="G68" s="152"/>
      <c r="H68" s="152"/>
      <c r="I68" s="152"/>
    </row>
    <row r="69" spans="2:9">
      <c r="B69" s="152"/>
      <c r="C69" s="152"/>
      <c r="D69" s="152"/>
      <c r="E69" s="152"/>
      <c r="F69" s="152"/>
      <c r="G69" s="152"/>
      <c r="H69" s="152"/>
      <c r="I69" s="152"/>
    </row>
    <row r="70" spans="2:9">
      <c r="B70" s="152"/>
      <c r="C70" s="152"/>
      <c r="D70" s="152"/>
      <c r="E70" s="152"/>
      <c r="F70" s="152"/>
      <c r="G70" s="152"/>
      <c r="H70" s="152"/>
      <c r="I70" s="152"/>
    </row>
    <row r="71" spans="2:9">
      <c r="B71" s="152"/>
      <c r="C71" s="152"/>
      <c r="D71" s="152"/>
      <c r="E71" s="152"/>
      <c r="F71" s="152"/>
      <c r="G71" s="152"/>
      <c r="H71" s="152"/>
      <c r="I71" s="152"/>
    </row>
    <row r="72" spans="2:9">
      <c r="B72" s="152"/>
      <c r="C72" s="152"/>
      <c r="D72" s="152"/>
      <c r="E72" s="152"/>
      <c r="F72" s="152"/>
      <c r="G72" s="152"/>
      <c r="H72" s="152"/>
      <c r="I72" s="152"/>
    </row>
    <row r="73" spans="2:9">
      <c r="B73" s="152"/>
      <c r="C73" s="152"/>
      <c r="D73" s="152"/>
      <c r="E73" s="152"/>
      <c r="F73" s="152"/>
      <c r="G73" s="152"/>
      <c r="H73" s="152"/>
      <c r="I73" s="152"/>
    </row>
    <row r="74" spans="2:9">
      <c r="B74" s="152"/>
      <c r="C74" s="152"/>
      <c r="D74" s="152"/>
      <c r="E74" s="152"/>
      <c r="F74" s="152"/>
      <c r="G74" s="152"/>
      <c r="H74" s="152"/>
      <c r="I74" s="152"/>
    </row>
    <row r="75" spans="2:9">
      <c r="B75" s="153"/>
      <c r="C75" s="153"/>
      <c r="D75" s="153"/>
      <c r="E75" s="153"/>
      <c r="F75" s="153"/>
      <c r="G75" s="153"/>
      <c r="H75" s="153"/>
      <c r="I75" s="153"/>
    </row>
    <row r="76" spans="2:9">
      <c r="B76" s="66" t="s">
        <v>58</v>
      </c>
      <c r="C76" s="66"/>
      <c r="D76" s="66"/>
      <c r="E76" s="66"/>
      <c r="F76" s="66"/>
      <c r="G76" s="66"/>
      <c r="H76" s="66"/>
      <c r="I76" s="66"/>
    </row>
    <row r="77" spans="2:9">
      <c r="B77" s="9" t="s">
        <v>59</v>
      </c>
      <c r="C77" s="9" t="s">
        <v>60</v>
      </c>
      <c r="D77" s="9" t="s">
        <v>61</v>
      </c>
      <c r="E77" s="9" t="s">
        <v>62</v>
      </c>
      <c r="F77" s="9" t="s">
        <v>63</v>
      </c>
      <c r="G77" s="66" t="s">
        <v>64</v>
      </c>
      <c r="H77" s="66"/>
      <c r="I77" s="66"/>
    </row>
    <row r="78" spans="2:9">
      <c r="B78" s="10"/>
      <c r="C78" s="10"/>
      <c r="D78" s="10"/>
      <c r="E78" s="10"/>
      <c r="F78" s="10"/>
      <c r="G78" s="56"/>
      <c r="H78" s="56"/>
      <c r="I78" s="56"/>
    </row>
    <row r="79" spans="2:9">
      <c r="B79" s="10"/>
      <c r="C79" s="10"/>
      <c r="D79" s="10"/>
      <c r="E79" s="10"/>
      <c r="F79" s="10"/>
      <c r="G79" s="56"/>
      <c r="H79" s="56"/>
      <c r="I79" s="56"/>
    </row>
    <row r="80" spans="2:9">
      <c r="B80" s="10"/>
      <c r="C80" s="10"/>
      <c r="D80" s="10"/>
      <c r="E80" s="10"/>
      <c r="F80" s="10"/>
      <c r="G80" s="56"/>
      <c r="H80" s="56"/>
      <c r="I80" s="56"/>
    </row>
    <row r="81" spans="2:9">
      <c r="B81" s="10"/>
      <c r="C81" s="10"/>
      <c r="D81" s="10"/>
      <c r="E81" s="10"/>
      <c r="F81" s="10"/>
      <c r="G81" s="56"/>
      <c r="H81" s="56"/>
      <c r="I81" s="56"/>
    </row>
    <row r="82" spans="2:9">
      <c r="B82" s="10"/>
      <c r="C82" s="10"/>
      <c r="D82" s="10"/>
      <c r="E82" s="10"/>
      <c r="F82" s="10"/>
      <c r="G82" s="56"/>
      <c r="H82" s="56"/>
      <c r="I82" s="56"/>
    </row>
    <row r="83" spans="2:9">
      <c r="B83" s="10"/>
      <c r="C83" s="10"/>
      <c r="D83" s="10"/>
      <c r="E83" s="10"/>
      <c r="F83" s="10"/>
      <c r="G83" s="56"/>
      <c r="H83" s="56"/>
      <c r="I83" s="5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4778-B67E-45D4-99DD-9DAF329F261B}">
  <dimension ref="A1:AP34"/>
  <sheetViews>
    <sheetView topLeftCell="E1" zoomScale="40" zoomScaleNormal="40" workbookViewId="0">
      <selection activeCell="H2" sqref="H2"/>
    </sheetView>
  </sheetViews>
  <sheetFormatPr defaultColWidth="11.42578125" defaultRowHeight="14.45"/>
  <cols>
    <col min="1" max="1" width="113.28515625" bestFit="1" customWidth="1"/>
    <col min="2" max="2" width="6.85546875" bestFit="1" customWidth="1"/>
    <col min="3" max="3" width="10.5703125" bestFit="1" customWidth="1"/>
    <col min="4" max="4" width="11.28515625" bestFit="1" customWidth="1"/>
    <col min="5" max="5" width="46.42578125" bestFit="1" customWidth="1"/>
    <col min="6" max="6" width="10.5703125" bestFit="1" customWidth="1"/>
    <col min="7" max="7" width="38.7109375" bestFit="1" customWidth="1"/>
    <col min="8" max="8" width="44.5703125" bestFit="1" customWidth="1"/>
    <col min="9" max="9" width="11" bestFit="1" customWidth="1"/>
    <col min="10" max="10" width="7.42578125" bestFit="1" customWidth="1"/>
    <col min="11" max="11" width="7.140625" bestFit="1" customWidth="1"/>
    <col min="12" max="12" width="5.42578125" bestFit="1" customWidth="1"/>
    <col min="13" max="13" width="11.42578125" bestFit="1" customWidth="1"/>
    <col min="14" max="14" width="9.42578125" bestFit="1" customWidth="1"/>
    <col min="15" max="15" width="7.140625" bestFit="1" customWidth="1"/>
    <col min="16" max="16" width="9.140625" bestFit="1" customWidth="1"/>
    <col min="17" max="17" width="10.140625" bestFit="1" customWidth="1"/>
    <col min="18" max="21" width="255.5703125" bestFit="1" customWidth="1"/>
    <col min="22" max="22" width="204" bestFit="1" customWidth="1"/>
    <col min="23" max="23" width="209.140625" bestFit="1" customWidth="1"/>
    <col min="24" max="24" width="255.5703125" bestFit="1" customWidth="1"/>
    <col min="25" max="25" width="245.42578125" bestFit="1" customWidth="1"/>
    <col min="26" max="26" width="4.85546875" bestFit="1" customWidth="1"/>
    <col min="27" max="27" width="4.42578125" bestFit="1" customWidth="1"/>
    <col min="28" max="28" width="3.5703125" bestFit="1" customWidth="1"/>
    <col min="29" max="29" width="4.5703125" bestFit="1" customWidth="1"/>
    <col min="30" max="31" width="4.42578125" bestFit="1" customWidth="1"/>
    <col min="32" max="32" width="4.140625" bestFit="1" customWidth="1"/>
    <col min="33" max="33" width="5.85546875" bestFit="1" customWidth="1"/>
    <col min="34" max="34" width="3.5703125" bestFit="1" customWidth="1"/>
    <col min="35" max="35" width="135.140625" bestFit="1" customWidth="1"/>
    <col min="36" max="36" width="53.5703125" bestFit="1" customWidth="1"/>
    <col min="37" max="37" width="34.85546875" bestFit="1" customWidth="1"/>
    <col min="38" max="38" width="56.7109375" bestFit="1" customWidth="1"/>
    <col min="39" max="39" width="10.7109375" bestFit="1" customWidth="1"/>
    <col min="40" max="40" width="10.85546875" bestFit="1" customWidth="1"/>
    <col min="41" max="41" width="144" bestFit="1" customWidth="1"/>
    <col min="42" max="42" width="150.42578125" bestFit="1" customWidth="1"/>
  </cols>
  <sheetData>
    <row r="1" spans="1:42" ht="44.1" thickBot="1">
      <c r="A1" s="32" t="s">
        <v>85</v>
      </c>
      <c r="B1" s="2" t="s">
        <v>86</v>
      </c>
      <c r="C1" s="2" t="s">
        <v>7</v>
      </c>
      <c r="D1" s="2" t="s">
        <v>8</v>
      </c>
      <c r="E1" s="33" t="s">
        <v>9</v>
      </c>
      <c r="F1" s="34" t="s">
        <v>10</v>
      </c>
      <c r="G1" s="35" t="s">
        <v>11</v>
      </c>
      <c r="H1" s="35" t="s">
        <v>12</v>
      </c>
      <c r="I1" s="27" t="s">
        <v>13</v>
      </c>
      <c r="J1" s="28" t="s">
        <v>14</v>
      </c>
      <c r="K1" s="28" t="s">
        <v>15</v>
      </c>
      <c r="L1" s="28" t="s">
        <v>16</v>
      </c>
      <c r="M1" s="36" t="s">
        <v>19</v>
      </c>
      <c r="N1" s="36" t="s">
        <v>20</v>
      </c>
      <c r="O1" s="37" t="s">
        <v>22</v>
      </c>
      <c r="P1" s="2" t="s">
        <v>23</v>
      </c>
      <c r="Q1" s="2" t="s">
        <v>24</v>
      </c>
      <c r="R1" s="2" t="s">
        <v>26</v>
      </c>
      <c r="S1" s="2" t="s">
        <v>27</v>
      </c>
      <c r="T1" s="38" t="s">
        <v>28</v>
      </c>
      <c r="U1" s="38" t="s">
        <v>29</v>
      </c>
      <c r="V1" s="39" t="s">
        <v>31</v>
      </c>
      <c r="W1" s="39" t="s">
        <v>32</v>
      </c>
      <c r="X1" s="39" t="s">
        <v>33</v>
      </c>
      <c r="Y1" s="39" t="s">
        <v>34</v>
      </c>
      <c r="Z1" s="32" t="s">
        <v>36</v>
      </c>
      <c r="AA1" s="32" t="s">
        <v>37</v>
      </c>
      <c r="AB1" s="32" t="s">
        <v>38</v>
      </c>
      <c r="AC1" s="32" t="s">
        <v>87</v>
      </c>
      <c r="AD1" s="32" t="s">
        <v>40</v>
      </c>
      <c r="AE1" s="32" t="s">
        <v>88</v>
      </c>
      <c r="AF1" s="32" t="s">
        <v>42</v>
      </c>
      <c r="AG1" s="32" t="s">
        <v>43</v>
      </c>
      <c r="AH1" s="32" t="s">
        <v>44</v>
      </c>
      <c r="AI1" s="32" t="s">
        <v>48</v>
      </c>
      <c r="AJ1" s="32" t="s">
        <v>49</v>
      </c>
      <c r="AK1" s="32" t="s">
        <v>89</v>
      </c>
      <c r="AL1" s="32" t="s">
        <v>52</v>
      </c>
      <c r="AM1" s="32" t="s">
        <v>53</v>
      </c>
      <c r="AN1" s="32" t="s">
        <v>54</v>
      </c>
      <c r="AO1" s="32" t="s">
        <v>56</v>
      </c>
      <c r="AP1" s="32" t="s">
        <v>90</v>
      </c>
    </row>
    <row r="2" spans="1:42" ht="72.599999999999994">
      <c r="A2" t="str">
        <f>G2&amp;H2</f>
        <v>MERCADEOIDIOMA I</v>
      </c>
      <c r="B2">
        <v>2023</v>
      </c>
      <c r="C2" s="40">
        <v>2000242</v>
      </c>
      <c r="D2" s="40" t="s">
        <v>91</v>
      </c>
      <c r="E2" s="40" t="s">
        <v>92</v>
      </c>
      <c r="F2" t="s">
        <v>93</v>
      </c>
      <c r="G2" s="40" t="s">
        <v>94</v>
      </c>
      <c r="H2" s="40" t="s">
        <v>95</v>
      </c>
      <c r="I2" s="41">
        <v>3</v>
      </c>
      <c r="J2">
        <f>+L2-K2</f>
        <v>48</v>
      </c>
      <c r="K2">
        <v>144</v>
      </c>
      <c r="L2">
        <v>192</v>
      </c>
      <c r="N2" t="s">
        <v>96</v>
      </c>
      <c r="S2" t="s">
        <v>97</v>
      </c>
      <c r="T2" t="s">
        <v>98</v>
      </c>
      <c r="V2" s="42" t="s">
        <v>99</v>
      </c>
      <c r="W2" s="42" t="s">
        <v>100</v>
      </c>
      <c r="X2" s="42" t="s">
        <v>101</v>
      </c>
      <c r="Y2" s="42" t="s">
        <v>102</v>
      </c>
      <c r="AA2" s="42" t="s">
        <v>103</v>
      </c>
      <c r="AC2" t="s">
        <v>103</v>
      </c>
      <c r="AE2" t="s">
        <v>103</v>
      </c>
      <c r="AF2" t="s">
        <v>103</v>
      </c>
      <c r="AG2" t="s">
        <v>103</v>
      </c>
      <c r="AH2" t="s">
        <v>103</v>
      </c>
      <c r="AI2" s="42" t="s">
        <v>104</v>
      </c>
      <c r="AO2" t="s">
        <v>105</v>
      </c>
    </row>
    <row r="3" spans="1:42" ht="409.5">
      <c r="A3" t="str">
        <f t="shared" ref="A3:A34" si="0">G3&amp;H3</f>
        <v>MERCADEOIDIOMA II</v>
      </c>
      <c r="B3">
        <v>2023</v>
      </c>
      <c r="C3" s="40">
        <v>2000242</v>
      </c>
      <c r="D3" s="40" t="s">
        <v>106</v>
      </c>
      <c r="E3" s="40" t="s">
        <v>92</v>
      </c>
      <c r="F3" t="s">
        <v>93</v>
      </c>
      <c r="G3" s="40" t="s">
        <v>94</v>
      </c>
      <c r="H3" s="40" t="s">
        <v>107</v>
      </c>
      <c r="I3" s="41">
        <v>4</v>
      </c>
      <c r="J3">
        <f>+L3-K3</f>
        <v>48</v>
      </c>
      <c r="K3">
        <v>144</v>
      </c>
      <c r="L3">
        <v>192</v>
      </c>
      <c r="N3" t="s">
        <v>96</v>
      </c>
      <c r="R3" t="s">
        <v>108</v>
      </c>
      <c r="S3" t="s">
        <v>97</v>
      </c>
      <c r="T3" t="s">
        <v>98</v>
      </c>
      <c r="U3" t="s">
        <v>109</v>
      </c>
      <c r="V3" t="s">
        <v>110</v>
      </c>
      <c r="W3" t="s">
        <v>111</v>
      </c>
      <c r="X3" t="s">
        <v>112</v>
      </c>
      <c r="Y3" t="s">
        <v>113</v>
      </c>
      <c r="Z3" t="s">
        <v>103</v>
      </c>
      <c r="AA3" t="s">
        <v>103</v>
      </c>
      <c r="AB3" t="s">
        <v>103</v>
      </c>
      <c r="AC3" t="s">
        <v>103</v>
      </c>
      <c r="AD3" t="s">
        <v>103</v>
      </c>
      <c r="AE3" t="s">
        <v>103</v>
      </c>
      <c r="AF3" t="s">
        <v>103</v>
      </c>
      <c r="AG3" t="s">
        <v>103</v>
      </c>
      <c r="AH3" t="s">
        <v>103</v>
      </c>
      <c r="AI3" s="42" t="s">
        <v>114</v>
      </c>
      <c r="AJ3" s="42" t="s">
        <v>115</v>
      </c>
      <c r="AK3" s="42" t="s">
        <v>116</v>
      </c>
      <c r="AL3" s="42" t="s">
        <v>117</v>
      </c>
      <c r="AM3" s="42" t="s">
        <v>84</v>
      </c>
      <c r="AN3" s="43">
        <v>1</v>
      </c>
      <c r="AO3" t="s">
        <v>118</v>
      </c>
      <c r="AP3" s="42" t="s">
        <v>119</v>
      </c>
    </row>
    <row r="4" spans="1:42" ht="391.5">
      <c r="A4" t="str">
        <f t="shared" si="0"/>
        <v>MERCADEOIDIOMA III</v>
      </c>
      <c r="B4">
        <v>2022</v>
      </c>
      <c r="C4" s="40">
        <v>2000242</v>
      </c>
      <c r="D4" s="40" t="s">
        <v>120</v>
      </c>
      <c r="E4" s="40" t="s">
        <v>92</v>
      </c>
      <c r="F4" t="s">
        <v>93</v>
      </c>
      <c r="G4" s="40" t="s">
        <v>94</v>
      </c>
      <c r="H4" s="40" t="s">
        <v>121</v>
      </c>
      <c r="I4" s="41">
        <v>4</v>
      </c>
      <c r="J4">
        <f>+L4-K4</f>
        <v>48</v>
      </c>
      <c r="K4">
        <v>144</v>
      </c>
      <c r="L4">
        <v>192</v>
      </c>
      <c r="N4" t="s">
        <v>96</v>
      </c>
      <c r="R4" s="42" t="s">
        <v>122</v>
      </c>
      <c r="S4" t="s">
        <v>97</v>
      </c>
      <c r="T4" t="s">
        <v>98</v>
      </c>
      <c r="U4" s="42" t="s">
        <v>123</v>
      </c>
      <c r="V4" s="42" t="s">
        <v>124</v>
      </c>
      <c r="W4" s="42" t="s">
        <v>125</v>
      </c>
      <c r="X4" s="42" t="s">
        <v>126</v>
      </c>
      <c r="Y4" s="42" t="s">
        <v>127</v>
      </c>
      <c r="Z4" s="42" t="s">
        <v>103</v>
      </c>
      <c r="AA4" s="42" t="s">
        <v>103</v>
      </c>
      <c r="AB4" s="42" t="s">
        <v>103</v>
      </c>
      <c r="AC4" s="42" t="s">
        <v>103</v>
      </c>
      <c r="AD4" s="42" t="s">
        <v>103</v>
      </c>
      <c r="AE4" s="42" t="s">
        <v>103</v>
      </c>
      <c r="AF4" s="42" t="s">
        <v>103</v>
      </c>
      <c r="AG4" s="42" t="s">
        <v>103</v>
      </c>
      <c r="AH4" s="42" t="s">
        <v>103</v>
      </c>
      <c r="AI4" s="42" t="s">
        <v>128</v>
      </c>
      <c r="AJ4" s="42" t="s">
        <v>129</v>
      </c>
      <c r="AK4" s="42" t="s">
        <v>130</v>
      </c>
      <c r="AL4" s="42" t="s">
        <v>131</v>
      </c>
      <c r="AM4" s="42" t="s">
        <v>84</v>
      </c>
      <c r="AN4" s="43">
        <v>1</v>
      </c>
      <c r="AO4" s="42" t="s">
        <v>132</v>
      </c>
      <c r="AP4" s="42" t="s">
        <v>133</v>
      </c>
    </row>
    <row r="5" spans="1:42" ht="409.5">
      <c r="A5" t="str">
        <f t="shared" si="0"/>
        <v>MERCADEOIDIOMA IV</v>
      </c>
      <c r="B5">
        <v>2022</v>
      </c>
      <c r="C5" s="40">
        <v>2000242</v>
      </c>
      <c r="D5" s="40" t="s">
        <v>134</v>
      </c>
      <c r="E5" s="40" t="s">
        <v>92</v>
      </c>
      <c r="F5" t="s">
        <v>93</v>
      </c>
      <c r="G5" s="40" t="s">
        <v>94</v>
      </c>
      <c r="H5" s="40" t="s">
        <v>135</v>
      </c>
      <c r="I5" s="41">
        <v>4</v>
      </c>
      <c r="J5">
        <v>48</v>
      </c>
      <c r="K5">
        <v>144</v>
      </c>
      <c r="L5">
        <v>192</v>
      </c>
      <c r="N5" t="s">
        <v>96</v>
      </c>
      <c r="R5" t="s">
        <v>136</v>
      </c>
      <c r="S5" t="s">
        <v>97</v>
      </c>
      <c r="T5" t="s">
        <v>98</v>
      </c>
      <c r="U5" t="s">
        <v>137</v>
      </c>
      <c r="V5" t="s">
        <v>138</v>
      </c>
      <c r="W5" t="s">
        <v>139</v>
      </c>
      <c r="X5" t="s">
        <v>140</v>
      </c>
      <c r="Z5" t="s">
        <v>103</v>
      </c>
      <c r="AA5" t="s">
        <v>103</v>
      </c>
      <c r="AB5" t="s">
        <v>103</v>
      </c>
      <c r="AC5" t="s">
        <v>103</v>
      </c>
      <c r="AD5" t="s">
        <v>103</v>
      </c>
      <c r="AE5" t="s">
        <v>103</v>
      </c>
      <c r="AF5" t="s">
        <v>103</v>
      </c>
      <c r="AG5" t="s">
        <v>103</v>
      </c>
      <c r="AH5" t="s">
        <v>103</v>
      </c>
      <c r="AI5" s="42" t="s">
        <v>141</v>
      </c>
      <c r="AJ5" s="42" t="s">
        <v>142</v>
      </c>
      <c r="AK5" s="42" t="s">
        <v>143</v>
      </c>
      <c r="AL5" s="42" t="s">
        <v>144</v>
      </c>
      <c r="AM5" s="42" t="s">
        <v>145</v>
      </c>
      <c r="AN5" s="43">
        <v>1</v>
      </c>
      <c r="AO5" s="42" t="s">
        <v>146</v>
      </c>
      <c r="AP5" s="42" t="s">
        <v>147</v>
      </c>
    </row>
    <row r="6" spans="1:42" ht="405.95">
      <c r="A6" t="str">
        <f t="shared" si="0"/>
        <v>MERCADEO Y ESTRATEGIA COMERCIALMERCADEO Y GENERAC DE VALOR PARA NEG</v>
      </c>
      <c r="B6">
        <v>2023</v>
      </c>
      <c r="C6" s="40">
        <v>2001327</v>
      </c>
      <c r="D6" s="40" t="s">
        <v>148</v>
      </c>
      <c r="E6" s="40" t="s">
        <v>149</v>
      </c>
      <c r="F6" t="s">
        <v>93</v>
      </c>
      <c r="G6" s="40" t="s">
        <v>150</v>
      </c>
      <c r="H6" s="40" t="s">
        <v>151</v>
      </c>
      <c r="I6" s="41">
        <v>4</v>
      </c>
      <c r="J6">
        <v>54</v>
      </c>
      <c r="K6">
        <v>90</v>
      </c>
      <c r="L6">
        <v>144</v>
      </c>
      <c r="N6" t="s">
        <v>96</v>
      </c>
      <c r="R6" s="42" t="s">
        <v>152</v>
      </c>
      <c r="S6" t="s">
        <v>97</v>
      </c>
      <c r="T6" t="s">
        <v>98</v>
      </c>
      <c r="U6" t="s">
        <v>153</v>
      </c>
      <c r="V6" t="s">
        <v>154</v>
      </c>
      <c r="W6" t="s">
        <v>155</v>
      </c>
      <c r="X6" t="s">
        <v>156</v>
      </c>
      <c r="Y6" t="s">
        <v>157</v>
      </c>
      <c r="Z6" t="s">
        <v>158</v>
      </c>
      <c r="AA6" t="s">
        <v>158</v>
      </c>
      <c r="AB6" t="s">
        <v>158</v>
      </c>
      <c r="AC6" t="s">
        <v>158</v>
      </c>
      <c r="AD6" t="s">
        <v>158</v>
      </c>
      <c r="AE6" t="s">
        <v>158</v>
      </c>
      <c r="AF6" t="s">
        <v>158</v>
      </c>
      <c r="AG6" t="s">
        <v>158</v>
      </c>
      <c r="AH6" t="s">
        <v>158</v>
      </c>
      <c r="AI6" s="42" t="s">
        <v>159</v>
      </c>
      <c r="AJ6" s="42" t="s">
        <v>160</v>
      </c>
      <c r="AK6" s="42" t="s">
        <v>161</v>
      </c>
      <c r="AL6" s="42" t="s">
        <v>162</v>
      </c>
      <c r="AM6" s="42" t="s">
        <v>163</v>
      </c>
      <c r="AN6" s="43">
        <v>0.6</v>
      </c>
      <c r="AO6" s="42" t="s">
        <v>164</v>
      </c>
      <c r="AP6" s="42" t="s">
        <v>165</v>
      </c>
    </row>
    <row r="7" spans="1:42" ht="203.1">
      <c r="A7" t="str">
        <f t="shared" si="0"/>
        <v>MERCADEO Y ESTRATEGIA COMERCIALDINERO Y FINANZAS</v>
      </c>
      <c r="B7">
        <v>2022</v>
      </c>
      <c r="C7" s="40">
        <v>2001327</v>
      </c>
      <c r="D7" s="40" t="s">
        <v>166</v>
      </c>
      <c r="E7" s="40" t="s">
        <v>149</v>
      </c>
      <c r="F7" t="s">
        <v>93</v>
      </c>
      <c r="G7" s="40" t="s">
        <v>150</v>
      </c>
      <c r="H7" s="40" t="s">
        <v>167</v>
      </c>
      <c r="I7" s="41">
        <v>4</v>
      </c>
      <c r="J7">
        <v>72</v>
      </c>
      <c r="K7">
        <v>120</v>
      </c>
      <c r="L7">
        <v>192</v>
      </c>
      <c r="N7" t="s">
        <v>96</v>
      </c>
      <c r="R7" s="42" t="s">
        <v>168</v>
      </c>
      <c r="S7" t="s">
        <v>97</v>
      </c>
      <c r="T7" t="s">
        <v>98</v>
      </c>
      <c r="U7" t="s">
        <v>169</v>
      </c>
      <c r="V7" t="s">
        <v>170</v>
      </c>
      <c r="W7" t="s">
        <v>171</v>
      </c>
      <c r="X7" t="s">
        <v>172</v>
      </c>
      <c r="Y7" t="s">
        <v>173</v>
      </c>
      <c r="Z7" t="s">
        <v>103</v>
      </c>
      <c r="AA7" t="s">
        <v>103</v>
      </c>
      <c r="AB7" t="s">
        <v>103</v>
      </c>
      <c r="AC7" t="s">
        <v>103</v>
      </c>
      <c r="AD7" t="s">
        <v>103</v>
      </c>
      <c r="AE7" t="s">
        <v>103</v>
      </c>
      <c r="AF7" t="s">
        <v>103</v>
      </c>
      <c r="AG7" t="s">
        <v>103</v>
      </c>
      <c r="AH7" t="s">
        <v>103</v>
      </c>
      <c r="AI7" s="42" t="s">
        <v>174</v>
      </c>
      <c r="AJ7" s="42" t="s">
        <v>175</v>
      </c>
      <c r="AK7" s="42" t="s">
        <v>176</v>
      </c>
      <c r="AL7" s="42" t="s">
        <v>177</v>
      </c>
      <c r="AM7" s="42" t="s">
        <v>178</v>
      </c>
      <c r="AN7" s="43">
        <v>0.2</v>
      </c>
      <c r="AO7" s="42" t="s">
        <v>179</v>
      </c>
    </row>
    <row r="8" spans="1:42" ht="275.45">
      <c r="A8" t="str">
        <f t="shared" si="0"/>
        <v>MERCADEO Y ESTRATEGIA COMERCIALECONOMÍA DE MERCADO</v>
      </c>
      <c r="B8">
        <v>2022</v>
      </c>
      <c r="C8" s="40">
        <v>2001327</v>
      </c>
      <c r="D8" s="40" t="s">
        <v>180</v>
      </c>
      <c r="E8" s="40" t="s">
        <v>149</v>
      </c>
      <c r="F8" t="s">
        <v>93</v>
      </c>
      <c r="G8" s="40" t="s">
        <v>150</v>
      </c>
      <c r="H8" s="40" t="s">
        <v>181</v>
      </c>
      <c r="I8" s="41">
        <v>4</v>
      </c>
      <c r="J8">
        <v>72</v>
      </c>
      <c r="K8">
        <v>120</v>
      </c>
      <c r="L8">
        <v>192</v>
      </c>
      <c r="N8" t="s">
        <v>96</v>
      </c>
      <c r="R8" s="42" t="s">
        <v>182</v>
      </c>
      <c r="S8" t="s">
        <v>97</v>
      </c>
      <c r="T8" t="s">
        <v>98</v>
      </c>
      <c r="U8" t="s">
        <v>183</v>
      </c>
      <c r="V8" t="s">
        <v>184</v>
      </c>
      <c r="W8" t="s">
        <v>185</v>
      </c>
      <c r="X8" t="s">
        <v>186</v>
      </c>
      <c r="Y8" t="s">
        <v>187</v>
      </c>
      <c r="Z8" t="s">
        <v>103</v>
      </c>
      <c r="AA8" t="s">
        <v>103</v>
      </c>
      <c r="AB8" t="s">
        <v>103</v>
      </c>
      <c r="AC8" t="s">
        <v>103</v>
      </c>
      <c r="AD8" t="s">
        <v>103</v>
      </c>
      <c r="AE8" t="s">
        <v>103</v>
      </c>
      <c r="AF8" t="s">
        <v>103</v>
      </c>
      <c r="AG8" t="s">
        <v>103</v>
      </c>
      <c r="AH8" t="s">
        <v>103</v>
      </c>
      <c r="AI8" s="42" t="s">
        <v>188</v>
      </c>
      <c r="AJ8" s="42" t="s">
        <v>189</v>
      </c>
      <c r="AK8" s="42" t="s">
        <v>190</v>
      </c>
      <c r="AL8" s="42" t="s">
        <v>191</v>
      </c>
      <c r="AM8" s="42" t="s">
        <v>178</v>
      </c>
      <c r="AN8" s="43">
        <v>0.1</v>
      </c>
      <c r="AO8" s="42" t="s">
        <v>192</v>
      </c>
      <c r="AP8" s="42" t="s">
        <v>193</v>
      </c>
    </row>
    <row r="9" spans="1:42" ht="348">
      <c r="A9" t="str">
        <f t="shared" si="0"/>
        <v>MERCADEO Y ESTRATEGIA COMERCIALMIND GREEN CONS: EXPL LA TOMA DE DECI</v>
      </c>
      <c r="B9">
        <v>2024</v>
      </c>
      <c r="C9" s="40">
        <v>2001327</v>
      </c>
      <c r="D9" s="40" t="s">
        <v>194</v>
      </c>
      <c r="E9" s="40" t="s">
        <v>149</v>
      </c>
      <c r="F9" t="s">
        <v>93</v>
      </c>
      <c r="G9" s="40" t="s">
        <v>150</v>
      </c>
      <c r="H9" s="40" t="s">
        <v>195</v>
      </c>
      <c r="I9" s="41">
        <v>3</v>
      </c>
      <c r="J9">
        <v>54</v>
      </c>
      <c r="K9">
        <v>90</v>
      </c>
      <c r="L9">
        <v>144</v>
      </c>
      <c r="N9" t="s">
        <v>96</v>
      </c>
      <c r="R9" s="42" t="s">
        <v>196</v>
      </c>
      <c r="S9" t="s">
        <v>97</v>
      </c>
      <c r="T9" t="s">
        <v>98</v>
      </c>
      <c r="U9" t="s">
        <v>197</v>
      </c>
      <c r="V9" t="s">
        <v>198</v>
      </c>
      <c r="W9" t="s">
        <v>199</v>
      </c>
      <c r="X9" t="s">
        <v>200</v>
      </c>
      <c r="Y9" t="s">
        <v>201</v>
      </c>
      <c r="Z9" t="s">
        <v>103</v>
      </c>
      <c r="AB9" t="s">
        <v>103</v>
      </c>
      <c r="AC9" t="s">
        <v>103</v>
      </c>
      <c r="AE9" t="s">
        <v>103</v>
      </c>
      <c r="AG9" t="s">
        <v>103</v>
      </c>
      <c r="AH9" t="s">
        <v>103</v>
      </c>
      <c r="AI9" s="42" t="s">
        <v>202</v>
      </c>
      <c r="AJ9" s="42" t="s">
        <v>203</v>
      </c>
      <c r="AK9" s="42" t="s">
        <v>204</v>
      </c>
      <c r="AL9" s="42" t="s">
        <v>205</v>
      </c>
      <c r="AM9" s="42" t="s">
        <v>84</v>
      </c>
      <c r="AN9" s="43">
        <v>0.4</v>
      </c>
      <c r="AO9" s="42" t="s">
        <v>206</v>
      </c>
      <c r="AP9" s="42" t="s">
        <v>207</v>
      </c>
    </row>
    <row r="10" spans="1:42" ht="174">
      <c r="A10" t="str">
        <f t="shared" si="0"/>
        <v>MERCADEO Y ESTRATEGIA COMERCIALMÁS VALEN DATOS QUE PERCEPCIONES</v>
      </c>
      <c r="B10" s="49">
        <v>2024</v>
      </c>
      <c r="C10" s="41">
        <v>2001327</v>
      </c>
      <c r="D10" s="41" t="s">
        <v>208</v>
      </c>
      <c r="E10" s="41" t="s">
        <v>149</v>
      </c>
      <c r="F10" t="s">
        <v>93</v>
      </c>
      <c r="G10" s="41" t="s">
        <v>150</v>
      </c>
      <c r="H10" s="41" t="s">
        <v>209</v>
      </c>
      <c r="I10" s="41">
        <v>2</v>
      </c>
      <c r="J10" s="49">
        <v>36</v>
      </c>
      <c r="K10" s="49">
        <v>60</v>
      </c>
      <c r="L10" s="49">
        <v>96</v>
      </c>
      <c r="M10" s="49"/>
      <c r="N10" t="s">
        <v>96</v>
      </c>
      <c r="O10" s="49"/>
      <c r="P10" s="49"/>
      <c r="Q10" s="49"/>
      <c r="R10" s="49" t="s">
        <v>210</v>
      </c>
      <c r="S10" t="s">
        <v>97</v>
      </c>
      <c r="T10" t="s">
        <v>98</v>
      </c>
      <c r="U10" s="49" t="s">
        <v>211</v>
      </c>
      <c r="V10" s="49" t="s">
        <v>212</v>
      </c>
      <c r="W10" s="49" t="s">
        <v>213</v>
      </c>
      <c r="X10" s="49" t="s">
        <v>214</v>
      </c>
      <c r="Y10" s="49" t="s">
        <v>215</v>
      </c>
      <c r="Z10" s="49" t="s">
        <v>103</v>
      </c>
      <c r="AA10" s="49" t="s">
        <v>103</v>
      </c>
      <c r="AB10" s="49" t="s">
        <v>103</v>
      </c>
      <c r="AC10" s="49" t="s">
        <v>103</v>
      </c>
      <c r="AD10" s="49" t="s">
        <v>103</v>
      </c>
      <c r="AE10" s="49" t="s">
        <v>103</v>
      </c>
      <c r="AF10" s="49" t="s">
        <v>103</v>
      </c>
      <c r="AG10" s="49" t="s">
        <v>103</v>
      </c>
      <c r="AH10" s="49" t="s">
        <v>103</v>
      </c>
      <c r="AI10" s="32" t="s">
        <v>216</v>
      </c>
      <c r="AJ10" s="32" t="s">
        <v>217</v>
      </c>
      <c r="AK10" s="32" t="s">
        <v>218</v>
      </c>
      <c r="AL10" s="32" t="s">
        <v>219</v>
      </c>
      <c r="AM10" s="32" t="s">
        <v>84</v>
      </c>
      <c r="AN10" s="50">
        <v>0.3</v>
      </c>
      <c r="AO10" s="32" t="s">
        <v>220</v>
      </c>
      <c r="AP10" s="32" t="s">
        <v>221</v>
      </c>
    </row>
    <row r="11" spans="1:42" ht="290.10000000000002">
      <c r="A11" t="str">
        <f t="shared" si="0"/>
        <v>MERCADEO Y ESTRATEGIA COMERCIALCONS CEREB:  APLIC LAS NEUROC AL MARK</v>
      </c>
      <c r="B11">
        <v>2024</v>
      </c>
      <c r="C11" s="40">
        <v>2001327</v>
      </c>
      <c r="D11" s="40" t="s">
        <v>222</v>
      </c>
      <c r="E11" s="40" t="s">
        <v>149</v>
      </c>
      <c r="F11" t="s">
        <v>93</v>
      </c>
      <c r="G11" s="40" t="s">
        <v>150</v>
      </c>
      <c r="H11" s="40" t="s">
        <v>223</v>
      </c>
      <c r="I11" s="41">
        <v>3</v>
      </c>
      <c r="J11">
        <v>32</v>
      </c>
      <c r="K11">
        <v>64</v>
      </c>
      <c r="L11">
        <v>96</v>
      </c>
      <c r="N11" t="s">
        <v>96</v>
      </c>
      <c r="R11" s="42" t="s">
        <v>224</v>
      </c>
      <c r="S11" t="s">
        <v>97</v>
      </c>
      <c r="T11" t="s">
        <v>98</v>
      </c>
      <c r="U11" t="s">
        <v>225</v>
      </c>
      <c r="V11" t="s">
        <v>226</v>
      </c>
      <c r="W11" t="s">
        <v>227</v>
      </c>
      <c r="X11" t="s">
        <v>228</v>
      </c>
      <c r="Y11" t="s">
        <v>229</v>
      </c>
      <c r="Z11" t="s">
        <v>103</v>
      </c>
      <c r="AA11" t="s">
        <v>103</v>
      </c>
      <c r="AB11" t="s">
        <v>103</v>
      </c>
      <c r="AC11" t="s">
        <v>103</v>
      </c>
      <c r="AD11" t="s">
        <v>103</v>
      </c>
      <c r="AE11" t="s">
        <v>103</v>
      </c>
      <c r="AF11" t="s">
        <v>103</v>
      </c>
      <c r="AG11" t="s">
        <v>103</v>
      </c>
      <c r="AH11" t="s">
        <v>103</v>
      </c>
      <c r="AI11" s="42" t="s">
        <v>230</v>
      </c>
      <c r="AJ11" s="42" t="s">
        <v>231</v>
      </c>
      <c r="AK11" s="42" t="s">
        <v>232</v>
      </c>
      <c r="AL11" s="42" t="s">
        <v>233</v>
      </c>
      <c r="AM11" s="42" t="s">
        <v>84</v>
      </c>
      <c r="AN11" s="43">
        <v>0.4</v>
      </c>
      <c r="AO11" s="42" t="s">
        <v>234</v>
      </c>
      <c r="AP11" s="42" t="s">
        <v>235</v>
      </c>
    </row>
    <row r="12" spans="1:42" ht="405.95">
      <c r="A12" t="str">
        <f t="shared" si="0"/>
        <v>MERCADEO Y ESTRATEGIA COMERCIALCOSTUMER CENTR: DISEÑO DE EXPER OMNIC</v>
      </c>
      <c r="B12">
        <v>2025</v>
      </c>
      <c r="C12" s="40">
        <v>2001327</v>
      </c>
      <c r="D12" s="40" t="s">
        <v>236</v>
      </c>
      <c r="E12" s="40" t="s">
        <v>149</v>
      </c>
      <c r="F12" t="s">
        <v>93</v>
      </c>
      <c r="G12" s="40" t="s">
        <v>150</v>
      </c>
      <c r="H12" s="40" t="s">
        <v>237</v>
      </c>
      <c r="I12" s="41">
        <v>3</v>
      </c>
      <c r="J12">
        <v>32</v>
      </c>
      <c r="K12">
        <v>64</v>
      </c>
      <c r="L12">
        <v>96</v>
      </c>
      <c r="N12" t="s">
        <v>96</v>
      </c>
      <c r="R12" s="42" t="s">
        <v>238</v>
      </c>
      <c r="S12" t="s">
        <v>97</v>
      </c>
      <c r="T12" t="s">
        <v>98</v>
      </c>
      <c r="U12" t="s">
        <v>239</v>
      </c>
      <c r="V12" s="42" t="s">
        <v>240</v>
      </c>
      <c r="W12" s="42" t="s">
        <v>241</v>
      </c>
      <c r="X12" s="42" t="s">
        <v>242</v>
      </c>
      <c r="Y12" s="42" t="s">
        <v>243</v>
      </c>
      <c r="Z12" t="s">
        <v>103</v>
      </c>
      <c r="AA12" t="s">
        <v>103</v>
      </c>
      <c r="AB12" t="s">
        <v>103</v>
      </c>
      <c r="AC12" t="s">
        <v>103</v>
      </c>
      <c r="AD12" t="s">
        <v>103</v>
      </c>
      <c r="AE12" t="s">
        <v>103</v>
      </c>
      <c r="AF12" t="s">
        <v>103</v>
      </c>
      <c r="AG12" t="s">
        <v>103</v>
      </c>
      <c r="AH12" t="s">
        <v>103</v>
      </c>
      <c r="AI12" s="42" t="s">
        <v>244</v>
      </c>
      <c r="AJ12" s="42" t="s">
        <v>245</v>
      </c>
      <c r="AK12" s="42" t="s">
        <v>246</v>
      </c>
      <c r="AL12" s="42" t="s">
        <v>247</v>
      </c>
      <c r="AM12" s="42" t="s">
        <v>248</v>
      </c>
      <c r="AN12" s="43">
        <v>0.4</v>
      </c>
      <c r="AO12" s="42" t="s">
        <v>249</v>
      </c>
      <c r="AP12" s="42" t="s">
        <v>250</v>
      </c>
    </row>
    <row r="13" spans="1:42" ht="261">
      <c r="A13" t="str">
        <f t="shared" si="0"/>
        <v>MERCADEO Y ESTRATEGIA COMERCIALESTRATEGIA DIG Y CONT POTENC POR IA</v>
      </c>
      <c r="B13" s="40">
        <v>2024</v>
      </c>
      <c r="C13" s="40">
        <v>2001327</v>
      </c>
      <c r="D13" s="40" t="s">
        <v>251</v>
      </c>
      <c r="E13" s="40" t="s">
        <v>149</v>
      </c>
      <c r="F13" t="s">
        <v>93</v>
      </c>
      <c r="G13" s="40" t="s">
        <v>150</v>
      </c>
      <c r="H13" s="40" t="s">
        <v>252</v>
      </c>
      <c r="I13" s="41">
        <v>3</v>
      </c>
      <c r="J13">
        <v>54</v>
      </c>
      <c r="K13">
        <v>90</v>
      </c>
      <c r="L13">
        <f>+K13+J13</f>
        <v>144</v>
      </c>
      <c r="N13" t="s">
        <v>96</v>
      </c>
      <c r="R13" s="44" t="s">
        <v>253</v>
      </c>
      <c r="S13" t="s">
        <v>97</v>
      </c>
      <c r="T13" t="s">
        <v>98</v>
      </c>
      <c r="U13" s="44" t="s">
        <v>254</v>
      </c>
      <c r="V13" s="51" t="s">
        <v>255</v>
      </c>
      <c r="W13" s="51" t="s">
        <v>256</v>
      </c>
      <c r="X13" s="51" t="s">
        <v>257</v>
      </c>
      <c r="Y13" s="51" t="s">
        <v>258</v>
      </c>
      <c r="Z13" s="51" t="s">
        <v>103</v>
      </c>
      <c r="AA13" s="51" t="s">
        <v>103</v>
      </c>
      <c r="AB13" s="51" t="s">
        <v>103</v>
      </c>
      <c r="AC13" s="51" t="s">
        <v>103</v>
      </c>
      <c r="AD13" s="51" t="s">
        <v>103</v>
      </c>
      <c r="AE13" s="51" t="s">
        <v>103</v>
      </c>
      <c r="AF13" s="51" t="s">
        <v>103</v>
      </c>
      <c r="AG13" s="51" t="s">
        <v>103</v>
      </c>
      <c r="AH13" s="51" t="s">
        <v>103</v>
      </c>
      <c r="AI13" s="42" t="s">
        <v>259</v>
      </c>
      <c r="AJ13" s="42" t="s">
        <v>260</v>
      </c>
      <c r="AK13" s="42" t="s">
        <v>261</v>
      </c>
      <c r="AL13" s="42" t="s">
        <v>262</v>
      </c>
      <c r="AM13" s="42" t="s">
        <v>84</v>
      </c>
      <c r="AN13" s="42" t="s">
        <v>263</v>
      </c>
      <c r="AO13" s="42" t="s">
        <v>264</v>
      </c>
      <c r="AP13" s="42" t="s">
        <v>265</v>
      </c>
    </row>
    <row r="14" spans="1:42" ht="130.5">
      <c r="A14" t="str">
        <f t="shared" si="0"/>
        <v>MERCADEO Y ESTRATEGIA COMERCIALDATA-DRIVEN DECISION MARKETING</v>
      </c>
      <c r="B14">
        <v>2024</v>
      </c>
      <c r="C14" s="40">
        <v>2001327</v>
      </c>
      <c r="D14" s="40" t="s">
        <v>266</v>
      </c>
      <c r="E14" s="40" t="s">
        <v>149</v>
      </c>
      <c r="F14" t="s">
        <v>93</v>
      </c>
      <c r="G14" s="40" t="s">
        <v>150</v>
      </c>
      <c r="H14" s="40" t="s">
        <v>267</v>
      </c>
      <c r="I14" s="41">
        <v>3</v>
      </c>
      <c r="N14" t="s">
        <v>96</v>
      </c>
      <c r="R14" s="44" t="s">
        <v>268</v>
      </c>
      <c r="S14" t="s">
        <v>97</v>
      </c>
      <c r="T14" t="s">
        <v>98</v>
      </c>
      <c r="U14" t="s">
        <v>269</v>
      </c>
      <c r="V14" t="s">
        <v>270</v>
      </c>
      <c r="W14" t="s">
        <v>271</v>
      </c>
      <c r="X14" t="s">
        <v>272</v>
      </c>
      <c r="Z14" t="s">
        <v>103</v>
      </c>
      <c r="AA14" t="s">
        <v>103</v>
      </c>
      <c r="AB14" t="s">
        <v>103</v>
      </c>
      <c r="AC14" t="s">
        <v>103</v>
      </c>
      <c r="AD14" t="s">
        <v>103</v>
      </c>
      <c r="AE14" t="s">
        <v>103</v>
      </c>
      <c r="AF14" t="s">
        <v>103</v>
      </c>
      <c r="AG14" t="s">
        <v>103</v>
      </c>
      <c r="AH14" t="s">
        <v>103</v>
      </c>
      <c r="AI14" s="42" t="s">
        <v>273</v>
      </c>
      <c r="AJ14" s="42" t="s">
        <v>274</v>
      </c>
      <c r="AK14" s="42" t="s">
        <v>218</v>
      </c>
      <c r="AL14" s="42" t="s">
        <v>275</v>
      </c>
      <c r="AM14" s="42" t="s">
        <v>84</v>
      </c>
      <c r="AN14" s="43">
        <v>0.3</v>
      </c>
      <c r="AO14" s="42" t="s">
        <v>276</v>
      </c>
      <c r="AP14" s="42" t="s">
        <v>277</v>
      </c>
    </row>
    <row r="15" spans="1:42" ht="159.6">
      <c r="A15" t="str">
        <f t="shared" si="0"/>
        <v>MERCADEO Y ESTRATEGIA COMERCIALCOMUNICACIÓN DIGITAL 360 MARKETING</v>
      </c>
      <c r="B15">
        <v>2024</v>
      </c>
      <c r="C15" s="40">
        <v>2001327</v>
      </c>
      <c r="D15" s="40" t="s">
        <v>278</v>
      </c>
      <c r="E15" s="40" t="s">
        <v>149</v>
      </c>
      <c r="F15" t="s">
        <v>93</v>
      </c>
      <c r="G15" s="40" t="s">
        <v>150</v>
      </c>
      <c r="H15" s="40" t="s">
        <v>279</v>
      </c>
      <c r="I15" s="41">
        <v>4</v>
      </c>
      <c r="J15">
        <v>72</v>
      </c>
      <c r="K15">
        <v>120</v>
      </c>
      <c r="L15">
        <v>192</v>
      </c>
      <c r="N15" t="s">
        <v>96</v>
      </c>
      <c r="R15" s="44" t="s">
        <v>280</v>
      </c>
      <c r="S15" t="s">
        <v>97</v>
      </c>
      <c r="T15" t="s">
        <v>98</v>
      </c>
      <c r="U15" t="s">
        <v>281</v>
      </c>
      <c r="V15" t="s">
        <v>282</v>
      </c>
      <c r="W15" t="s">
        <v>283</v>
      </c>
      <c r="X15" t="s">
        <v>284</v>
      </c>
      <c r="Y15" t="s">
        <v>285</v>
      </c>
      <c r="Z15" t="s">
        <v>103</v>
      </c>
      <c r="AA15" t="s">
        <v>103</v>
      </c>
      <c r="AB15" t="s">
        <v>103</v>
      </c>
      <c r="AC15" t="s">
        <v>103</v>
      </c>
      <c r="AD15" t="s">
        <v>103</v>
      </c>
      <c r="AE15" t="s">
        <v>103</v>
      </c>
      <c r="AF15" t="s">
        <v>103</v>
      </c>
      <c r="AG15" t="s">
        <v>103</v>
      </c>
      <c r="AH15" t="s">
        <v>103</v>
      </c>
      <c r="AI15" s="42" t="s">
        <v>286</v>
      </c>
      <c r="AJ15" s="42" t="s">
        <v>287</v>
      </c>
      <c r="AK15" s="42" t="s">
        <v>288</v>
      </c>
      <c r="AL15" s="42" t="s">
        <v>289</v>
      </c>
      <c r="AM15" s="52" t="s">
        <v>84</v>
      </c>
      <c r="AN15" s="43">
        <v>0.3</v>
      </c>
      <c r="AO15" s="42" t="s">
        <v>290</v>
      </c>
      <c r="AP15" s="42" t="s">
        <v>291</v>
      </c>
    </row>
    <row r="16" spans="1:42" ht="116.1">
      <c r="A16" t="str">
        <f t="shared" si="0"/>
        <v>MERCADEO Y ESTRATEGIA COMERCIALBRANDING SOST: CREANDO MARC CON PROP</v>
      </c>
      <c r="B16">
        <v>2024</v>
      </c>
      <c r="C16" s="40">
        <v>2001327</v>
      </c>
      <c r="D16" s="40" t="s">
        <v>292</v>
      </c>
      <c r="E16" s="40" t="s">
        <v>149</v>
      </c>
      <c r="F16" t="s">
        <v>93</v>
      </c>
      <c r="G16" s="40" t="s">
        <v>150</v>
      </c>
      <c r="H16" s="40" t="s">
        <v>293</v>
      </c>
      <c r="I16" s="41">
        <v>2</v>
      </c>
      <c r="J16">
        <v>36</v>
      </c>
      <c r="K16">
        <v>60</v>
      </c>
      <c r="L16">
        <v>96</v>
      </c>
      <c r="N16" t="s">
        <v>96</v>
      </c>
      <c r="R16" s="42" t="s">
        <v>294</v>
      </c>
      <c r="S16" t="s">
        <v>97</v>
      </c>
      <c r="T16" t="s">
        <v>98</v>
      </c>
      <c r="U16" t="s">
        <v>295</v>
      </c>
      <c r="V16" t="s">
        <v>296</v>
      </c>
      <c r="W16" t="s">
        <v>297</v>
      </c>
      <c r="X16" t="s">
        <v>298</v>
      </c>
      <c r="Y16" t="s">
        <v>299</v>
      </c>
      <c r="AA16" t="s">
        <v>103</v>
      </c>
      <c r="AB16" t="s">
        <v>103</v>
      </c>
      <c r="AC16" t="s">
        <v>103</v>
      </c>
      <c r="AD16" t="s">
        <v>103</v>
      </c>
      <c r="AE16" t="s">
        <v>103</v>
      </c>
      <c r="AF16" t="s">
        <v>103</v>
      </c>
      <c r="AG16" t="s">
        <v>103</v>
      </c>
      <c r="AH16" t="s">
        <v>103</v>
      </c>
      <c r="AI16" s="42" t="s">
        <v>300</v>
      </c>
      <c r="AJ16" s="42" t="s">
        <v>301</v>
      </c>
      <c r="AK16" s="42" t="s">
        <v>288</v>
      </c>
      <c r="AL16" s="42" t="s">
        <v>302</v>
      </c>
      <c r="AM16" s="42" t="s">
        <v>84</v>
      </c>
      <c r="AN16" s="43">
        <v>0.3</v>
      </c>
      <c r="AO16" s="42" t="s">
        <v>303</v>
      </c>
      <c r="AP16" s="42" t="s">
        <v>304</v>
      </c>
    </row>
    <row r="17" spans="1:42" ht="116.1">
      <c r="A17" t="str">
        <f t="shared" si="0"/>
        <v>MERCADEO Y ESTRATEGIA COMERCIALTALLER DE DISEÑO PUBLICI Y CREATIVO</v>
      </c>
      <c r="B17">
        <v>2024</v>
      </c>
      <c r="C17" s="40">
        <v>2001327</v>
      </c>
      <c r="D17" s="40" t="s">
        <v>305</v>
      </c>
      <c r="E17" s="40" t="s">
        <v>149</v>
      </c>
      <c r="F17" t="s">
        <v>93</v>
      </c>
      <c r="G17" s="40" t="s">
        <v>150</v>
      </c>
      <c r="H17" s="40" t="s">
        <v>306</v>
      </c>
      <c r="I17" s="41">
        <v>2</v>
      </c>
      <c r="J17">
        <v>36</v>
      </c>
      <c r="K17">
        <v>90</v>
      </c>
      <c r="L17">
        <f>+K17+J17</f>
        <v>126</v>
      </c>
      <c r="N17" t="s">
        <v>96</v>
      </c>
      <c r="R17" s="45" t="s">
        <v>307</v>
      </c>
      <c r="S17" t="s">
        <v>97</v>
      </c>
      <c r="T17" t="s">
        <v>98</v>
      </c>
      <c r="U17" t="s">
        <v>308</v>
      </c>
      <c r="V17" t="s">
        <v>309</v>
      </c>
      <c r="W17" t="s">
        <v>310</v>
      </c>
      <c r="X17" t="s">
        <v>311</v>
      </c>
      <c r="Y17" t="s">
        <v>312</v>
      </c>
      <c r="Z17" t="s">
        <v>103</v>
      </c>
      <c r="AA17" t="s">
        <v>103</v>
      </c>
      <c r="AB17" t="s">
        <v>103</v>
      </c>
      <c r="AC17" t="s">
        <v>103</v>
      </c>
      <c r="AD17" t="s">
        <v>103</v>
      </c>
      <c r="AE17" t="s">
        <v>103</v>
      </c>
      <c r="AF17" t="s">
        <v>103</v>
      </c>
      <c r="AG17" t="s">
        <v>103</v>
      </c>
      <c r="AH17" t="s">
        <v>103</v>
      </c>
      <c r="AI17" s="42" t="s">
        <v>313</v>
      </c>
      <c r="AJ17" s="42" t="s">
        <v>314</v>
      </c>
      <c r="AK17" s="42" t="s">
        <v>315</v>
      </c>
      <c r="AL17" s="42" t="s">
        <v>316</v>
      </c>
      <c r="AM17" s="52" t="s">
        <v>84</v>
      </c>
      <c r="AN17" s="43">
        <v>0.3</v>
      </c>
      <c r="AO17" s="42" t="s">
        <v>317</v>
      </c>
      <c r="AP17" s="42" t="s">
        <v>318</v>
      </c>
    </row>
    <row r="18" spans="1:42" ht="101.45">
      <c r="A18" t="str">
        <f t="shared" si="0"/>
        <v>MERCADEO Y ESTRATEGIA COMERCIALTALLER DE DISEÑO WEB Y DIGITAL</v>
      </c>
      <c r="B18">
        <v>2024</v>
      </c>
      <c r="C18" s="40">
        <v>2001327</v>
      </c>
      <c r="D18" s="40" t="s">
        <v>319</v>
      </c>
      <c r="E18" s="40" t="s">
        <v>149</v>
      </c>
      <c r="F18" t="s">
        <v>93</v>
      </c>
      <c r="G18" s="40" t="s">
        <v>150</v>
      </c>
      <c r="H18" s="40" t="s">
        <v>320</v>
      </c>
      <c r="I18" s="41">
        <v>2</v>
      </c>
      <c r="J18">
        <v>36</v>
      </c>
      <c r="K18">
        <v>60</v>
      </c>
      <c r="L18">
        <f>+K18+J18</f>
        <v>96</v>
      </c>
      <c r="N18" t="s">
        <v>96</v>
      </c>
      <c r="R18" s="42" t="s">
        <v>321</v>
      </c>
      <c r="S18" t="s">
        <v>97</v>
      </c>
      <c r="T18" t="s">
        <v>98</v>
      </c>
      <c r="U18" t="s">
        <v>322</v>
      </c>
      <c r="V18" s="53" t="s">
        <v>323</v>
      </c>
      <c r="W18" t="s">
        <v>324</v>
      </c>
      <c r="X18" t="s">
        <v>325</v>
      </c>
      <c r="Z18" t="s">
        <v>103</v>
      </c>
      <c r="AA18" t="s">
        <v>103</v>
      </c>
      <c r="AB18" t="s">
        <v>103</v>
      </c>
      <c r="AC18" t="s">
        <v>103</v>
      </c>
      <c r="AD18" t="s">
        <v>103</v>
      </c>
      <c r="AE18" t="s">
        <v>103</v>
      </c>
      <c r="AF18" t="s">
        <v>103</v>
      </c>
      <c r="AG18" t="s">
        <v>103</v>
      </c>
      <c r="AH18" t="s">
        <v>103</v>
      </c>
      <c r="AI18" s="42" t="s">
        <v>326</v>
      </c>
      <c r="AJ18" s="42" t="s">
        <v>327</v>
      </c>
      <c r="AK18" s="42" t="s">
        <v>315</v>
      </c>
      <c r="AL18" s="42" t="s">
        <v>316</v>
      </c>
      <c r="AM18" s="42" t="s">
        <v>84</v>
      </c>
      <c r="AN18" s="43">
        <v>0.3</v>
      </c>
      <c r="AO18" s="42" t="s">
        <v>328</v>
      </c>
      <c r="AP18" s="42" t="s">
        <v>329</v>
      </c>
    </row>
    <row r="19" spans="1:42" ht="275.45">
      <c r="A19" t="str">
        <f t="shared" si="0"/>
        <v>MERCADEO Y ESTRATEGIA COMERCIALDISEÑO DE MÉTRICAS PARA EL MARKETING</v>
      </c>
      <c r="B19">
        <v>2024</v>
      </c>
      <c r="C19" s="40">
        <v>2001327</v>
      </c>
      <c r="D19" s="40" t="s">
        <v>330</v>
      </c>
      <c r="E19" s="40" t="s">
        <v>149</v>
      </c>
      <c r="F19" t="s">
        <v>93</v>
      </c>
      <c r="G19" s="40" t="s">
        <v>150</v>
      </c>
      <c r="H19" s="40" t="s">
        <v>331</v>
      </c>
      <c r="I19" s="41">
        <v>2</v>
      </c>
      <c r="J19">
        <v>36</v>
      </c>
      <c r="K19">
        <v>60</v>
      </c>
      <c r="L19">
        <v>96</v>
      </c>
      <c r="N19" t="s">
        <v>96</v>
      </c>
      <c r="R19" s="42" t="s">
        <v>332</v>
      </c>
      <c r="S19" t="s">
        <v>97</v>
      </c>
      <c r="T19" t="s">
        <v>98</v>
      </c>
      <c r="U19" t="s">
        <v>333</v>
      </c>
      <c r="V19" t="s">
        <v>334</v>
      </c>
      <c r="W19" t="s">
        <v>335</v>
      </c>
      <c r="X19" t="s">
        <v>336</v>
      </c>
      <c r="Y19" t="s">
        <v>337</v>
      </c>
      <c r="Z19" t="s">
        <v>103</v>
      </c>
      <c r="AA19" t="s">
        <v>103</v>
      </c>
      <c r="AB19" t="s">
        <v>103</v>
      </c>
      <c r="AC19" t="s">
        <v>103</v>
      </c>
      <c r="AD19" t="s">
        <v>103</v>
      </c>
      <c r="AE19" t="s">
        <v>103</v>
      </c>
      <c r="AF19" t="s">
        <v>103</v>
      </c>
      <c r="AG19" t="s">
        <v>103</v>
      </c>
      <c r="AH19" t="s">
        <v>103</v>
      </c>
      <c r="AI19" s="42" t="s">
        <v>338</v>
      </c>
      <c r="AJ19" s="42" t="s">
        <v>339</v>
      </c>
      <c r="AK19" s="42" t="s">
        <v>340</v>
      </c>
      <c r="AL19" s="42" t="s">
        <v>341</v>
      </c>
      <c r="AM19" s="42" t="s">
        <v>84</v>
      </c>
      <c r="AN19" s="54">
        <v>0.3</v>
      </c>
      <c r="AO19" s="42" t="s">
        <v>342</v>
      </c>
      <c r="AP19" s="42" t="s">
        <v>343</v>
      </c>
    </row>
    <row r="20" spans="1:42" ht="290.10000000000002">
      <c r="A20" t="str">
        <f t="shared" si="0"/>
        <v>MERCADEO Y ESTRATEGIA COMERCIALDATA STOR POT LA ANALÍ MACHINE LEARN</v>
      </c>
      <c r="B20">
        <v>2024</v>
      </c>
      <c r="C20" s="40">
        <v>2001327</v>
      </c>
      <c r="D20" s="40" t="s">
        <v>344</v>
      </c>
      <c r="E20" s="40" t="s">
        <v>149</v>
      </c>
      <c r="F20" t="s">
        <v>93</v>
      </c>
      <c r="G20" s="40" t="s">
        <v>150</v>
      </c>
      <c r="H20" s="40" t="s">
        <v>345</v>
      </c>
      <c r="I20" s="41">
        <v>3</v>
      </c>
      <c r="N20" t="s">
        <v>96</v>
      </c>
      <c r="R20" t="s">
        <v>346</v>
      </c>
      <c r="S20" t="s">
        <v>97</v>
      </c>
      <c r="T20" t="s">
        <v>98</v>
      </c>
      <c r="U20" t="s">
        <v>347</v>
      </c>
      <c r="V20" s="53" t="s">
        <v>348</v>
      </c>
      <c r="W20" s="53" t="s">
        <v>349</v>
      </c>
      <c r="X20" s="53" t="s">
        <v>350</v>
      </c>
      <c r="Y20" s="53" t="s">
        <v>351</v>
      </c>
      <c r="Z20" s="53" t="s">
        <v>103</v>
      </c>
      <c r="AA20" s="53" t="s">
        <v>103</v>
      </c>
      <c r="AB20" s="53" t="s">
        <v>103</v>
      </c>
      <c r="AC20" s="53" t="s">
        <v>103</v>
      </c>
      <c r="AD20" s="53" t="s">
        <v>103</v>
      </c>
      <c r="AE20" s="53" t="s">
        <v>103</v>
      </c>
      <c r="AF20" s="53" t="s">
        <v>103</v>
      </c>
      <c r="AG20" s="53" t="s">
        <v>103</v>
      </c>
      <c r="AH20" s="53" t="s">
        <v>103</v>
      </c>
      <c r="AI20" s="42" t="s">
        <v>352</v>
      </c>
      <c r="AJ20" s="42" t="s">
        <v>287</v>
      </c>
      <c r="AK20" s="42" t="s">
        <v>218</v>
      </c>
      <c r="AL20" s="42" t="s">
        <v>353</v>
      </c>
      <c r="AM20" s="42" t="s">
        <v>84</v>
      </c>
      <c r="AN20" s="43">
        <v>0.3</v>
      </c>
      <c r="AO20" s="42" t="s">
        <v>354</v>
      </c>
      <c r="AP20" s="42" t="s">
        <v>355</v>
      </c>
    </row>
    <row r="21" spans="1:42" ht="231.95">
      <c r="A21" t="str">
        <f t="shared" si="0"/>
        <v>MERCADEO Y ESTRATEGIA COMERCIALCAPT DE VALOR E IMPACT FIN DEL PRECIO</v>
      </c>
      <c r="B21">
        <v>2024</v>
      </c>
      <c r="C21" s="40">
        <v>2001327</v>
      </c>
      <c r="D21" s="40" t="s">
        <v>356</v>
      </c>
      <c r="E21" s="40" t="s">
        <v>149</v>
      </c>
      <c r="F21" t="s">
        <v>93</v>
      </c>
      <c r="G21" s="40" t="s">
        <v>150</v>
      </c>
      <c r="H21" s="40" t="s">
        <v>357</v>
      </c>
      <c r="I21" s="41">
        <v>3</v>
      </c>
      <c r="J21">
        <v>32</v>
      </c>
      <c r="K21">
        <v>64</v>
      </c>
      <c r="L21">
        <v>96</v>
      </c>
      <c r="N21" t="s">
        <v>96</v>
      </c>
      <c r="R21" t="s">
        <v>358</v>
      </c>
      <c r="S21" t="s">
        <v>97</v>
      </c>
      <c r="T21" t="s">
        <v>98</v>
      </c>
      <c r="U21" s="45" t="s">
        <v>359</v>
      </c>
      <c r="V21" t="s">
        <v>360</v>
      </c>
      <c r="W21" t="s">
        <v>361</v>
      </c>
      <c r="X21" t="s">
        <v>362</v>
      </c>
      <c r="Y21" t="s">
        <v>363</v>
      </c>
      <c r="Z21" t="s">
        <v>103</v>
      </c>
      <c r="AA21" t="s">
        <v>103</v>
      </c>
      <c r="AB21" t="s">
        <v>103</v>
      </c>
      <c r="AC21" t="s">
        <v>103</v>
      </c>
      <c r="AD21" t="s">
        <v>103</v>
      </c>
      <c r="AE21" t="s">
        <v>103</v>
      </c>
      <c r="AF21" t="s">
        <v>103</v>
      </c>
      <c r="AG21" t="s">
        <v>103</v>
      </c>
      <c r="AH21" t="s">
        <v>103</v>
      </c>
      <c r="AI21" s="42" t="s">
        <v>364</v>
      </c>
      <c r="AJ21" s="42" t="s">
        <v>231</v>
      </c>
      <c r="AK21" s="42" t="s">
        <v>365</v>
      </c>
      <c r="AL21" s="42" t="s">
        <v>366</v>
      </c>
      <c r="AM21" s="42" t="s">
        <v>84</v>
      </c>
      <c r="AN21" s="43">
        <v>0.4</v>
      </c>
      <c r="AO21" s="42" t="s">
        <v>367</v>
      </c>
      <c r="AP21" s="42" t="s">
        <v>368</v>
      </c>
    </row>
    <row r="22" spans="1:42" ht="333.6">
      <c r="A22" t="str">
        <f t="shared" si="0"/>
        <v>MERCADEO Y ESTRATEGIA COMERCIALVÍN DUR: CRM PA LA GES EST DE LOS CLI</v>
      </c>
      <c r="B22">
        <v>2024</v>
      </c>
      <c r="C22" s="40">
        <v>2001327</v>
      </c>
      <c r="D22" s="40" t="s">
        <v>369</v>
      </c>
      <c r="E22" s="40" t="s">
        <v>149</v>
      </c>
      <c r="F22" t="s">
        <v>93</v>
      </c>
      <c r="G22" s="40" t="s">
        <v>150</v>
      </c>
      <c r="H22" s="40" t="s">
        <v>370</v>
      </c>
      <c r="I22" s="41">
        <v>2</v>
      </c>
      <c r="J22">
        <v>36</v>
      </c>
      <c r="K22">
        <v>60</v>
      </c>
      <c r="L22">
        <v>96</v>
      </c>
      <c r="N22" t="s">
        <v>96</v>
      </c>
      <c r="R22" s="42" t="s">
        <v>371</v>
      </c>
      <c r="S22" t="s">
        <v>97</v>
      </c>
      <c r="T22" t="s">
        <v>98</v>
      </c>
      <c r="U22" t="s">
        <v>372</v>
      </c>
      <c r="V22" t="s">
        <v>373</v>
      </c>
      <c r="W22" t="s">
        <v>374</v>
      </c>
      <c r="X22" t="s">
        <v>375</v>
      </c>
      <c r="Y22" t="s">
        <v>376</v>
      </c>
      <c r="Z22" t="s">
        <v>103</v>
      </c>
      <c r="AB22" t="s">
        <v>103</v>
      </c>
      <c r="AC22" t="s">
        <v>103</v>
      </c>
      <c r="AE22" t="s">
        <v>103</v>
      </c>
      <c r="AG22" t="s">
        <v>103</v>
      </c>
      <c r="AH22" t="s">
        <v>103</v>
      </c>
      <c r="AI22" s="42" t="s">
        <v>377</v>
      </c>
      <c r="AJ22" s="42" t="s">
        <v>378</v>
      </c>
      <c r="AK22" s="42" t="s">
        <v>379</v>
      </c>
      <c r="AL22" s="42" t="s">
        <v>380</v>
      </c>
      <c r="AM22" s="42" t="s">
        <v>84</v>
      </c>
      <c r="AN22" s="43">
        <v>0.4</v>
      </c>
      <c r="AO22" s="42" t="s">
        <v>381</v>
      </c>
      <c r="AP22" s="42" t="s">
        <v>382</v>
      </c>
    </row>
    <row r="23" spans="1:42" ht="391.5">
      <c r="A23" t="str">
        <f t="shared" si="0"/>
        <v>MERCADEO Y ESTRATEGIA COMERCIALVENTAS INTELI PARA EL CRECIMI EMPRES</v>
      </c>
      <c r="B23">
        <v>2024</v>
      </c>
      <c r="C23" s="40">
        <v>2001327</v>
      </c>
      <c r="D23" s="40" t="s">
        <v>383</v>
      </c>
      <c r="E23" s="40" t="s">
        <v>149</v>
      </c>
      <c r="F23" t="s">
        <v>93</v>
      </c>
      <c r="G23" s="40" t="s">
        <v>150</v>
      </c>
      <c r="H23" s="40" t="s">
        <v>384</v>
      </c>
      <c r="I23" s="41">
        <v>3</v>
      </c>
      <c r="J23">
        <v>54</v>
      </c>
      <c r="K23">
        <v>90</v>
      </c>
      <c r="L23">
        <v>144</v>
      </c>
      <c r="N23" t="s">
        <v>96</v>
      </c>
      <c r="R23" s="42" t="s">
        <v>385</v>
      </c>
      <c r="S23" t="s">
        <v>97</v>
      </c>
      <c r="T23" t="s">
        <v>98</v>
      </c>
      <c r="U23" t="s">
        <v>386</v>
      </c>
      <c r="V23" t="s">
        <v>387</v>
      </c>
      <c r="W23" t="s">
        <v>388</v>
      </c>
      <c r="X23" t="s">
        <v>389</v>
      </c>
      <c r="Y23" t="s">
        <v>390</v>
      </c>
      <c r="Z23" t="s">
        <v>103</v>
      </c>
      <c r="AB23" t="s">
        <v>103</v>
      </c>
      <c r="AC23" t="s">
        <v>103</v>
      </c>
      <c r="AE23" t="s">
        <v>103</v>
      </c>
      <c r="AG23" t="s">
        <v>103</v>
      </c>
      <c r="AH23" t="s">
        <v>103</v>
      </c>
      <c r="AI23" s="42" t="s">
        <v>391</v>
      </c>
      <c r="AJ23" s="42" t="s">
        <v>392</v>
      </c>
      <c r="AK23" s="42" t="s">
        <v>393</v>
      </c>
      <c r="AL23" s="42" t="s">
        <v>394</v>
      </c>
      <c r="AM23" s="42" t="s">
        <v>84</v>
      </c>
      <c r="AN23" s="43">
        <v>0.4</v>
      </c>
      <c r="AO23" s="42" t="s">
        <v>395</v>
      </c>
      <c r="AP23" s="42" t="s">
        <v>396</v>
      </c>
    </row>
    <row r="24" spans="1:42" ht="290.10000000000002">
      <c r="A24" t="str">
        <f t="shared" si="0"/>
        <v>MERCADEO Y ESTRATEGIA COMERCIALESTRAT DE MARKETING VERDE Y LOGÍS SOST</v>
      </c>
      <c r="B24">
        <v>2024</v>
      </c>
      <c r="C24" s="40">
        <v>2001327</v>
      </c>
      <c r="D24" s="40" t="s">
        <v>397</v>
      </c>
      <c r="E24" s="40" t="s">
        <v>149</v>
      </c>
      <c r="F24" t="s">
        <v>93</v>
      </c>
      <c r="G24" s="40" t="s">
        <v>150</v>
      </c>
      <c r="H24" s="40" t="s">
        <v>398</v>
      </c>
      <c r="I24" s="41">
        <v>3</v>
      </c>
      <c r="J24">
        <v>54</v>
      </c>
      <c r="K24">
        <v>90</v>
      </c>
      <c r="L24">
        <v>144</v>
      </c>
      <c r="N24" t="s">
        <v>96</v>
      </c>
      <c r="R24" s="42" t="s">
        <v>399</v>
      </c>
      <c r="S24" t="s">
        <v>97</v>
      </c>
      <c r="T24" t="s">
        <v>98</v>
      </c>
      <c r="U24" s="55" t="s">
        <v>400</v>
      </c>
      <c r="V24" t="s">
        <v>401</v>
      </c>
      <c r="W24" t="s">
        <v>402</v>
      </c>
      <c r="X24" t="s">
        <v>403</v>
      </c>
      <c r="Y24" t="s">
        <v>404</v>
      </c>
      <c r="Z24" t="s">
        <v>103</v>
      </c>
      <c r="AA24" t="s">
        <v>103</v>
      </c>
      <c r="AB24" t="s">
        <v>103</v>
      </c>
      <c r="AC24" t="s">
        <v>103</v>
      </c>
      <c r="AD24" t="s">
        <v>103</v>
      </c>
      <c r="AE24" t="s">
        <v>103</v>
      </c>
      <c r="AF24" t="s">
        <v>103</v>
      </c>
      <c r="AG24" t="s">
        <v>103</v>
      </c>
      <c r="AH24" t="s">
        <v>103</v>
      </c>
      <c r="AI24" s="42" t="s">
        <v>405</v>
      </c>
      <c r="AJ24" s="42" t="s">
        <v>406</v>
      </c>
      <c r="AK24" s="42" t="s">
        <v>261</v>
      </c>
      <c r="AL24" s="42" t="s">
        <v>407</v>
      </c>
      <c r="AM24" s="42" t="s">
        <v>84</v>
      </c>
      <c r="AN24" s="43">
        <v>0.4</v>
      </c>
      <c r="AO24" s="42" t="s">
        <v>408</v>
      </c>
      <c r="AP24" s="42" t="s">
        <v>409</v>
      </c>
    </row>
    <row r="25" spans="1:42" ht="116.1">
      <c r="A25" t="str">
        <f t="shared" si="0"/>
        <v>MERCADEO Y ESTRATEGIA COMERCIALINSIGTHS RES LAB: EXP EL POT DEL MERC</v>
      </c>
      <c r="B25">
        <v>2024</v>
      </c>
      <c r="C25" s="40">
        <v>2001327</v>
      </c>
      <c r="D25" s="40" t="s">
        <v>410</v>
      </c>
      <c r="E25" s="40" t="s">
        <v>149</v>
      </c>
      <c r="F25" t="s">
        <v>93</v>
      </c>
      <c r="G25" s="40" t="s">
        <v>150</v>
      </c>
      <c r="H25" s="40" t="s">
        <v>411</v>
      </c>
      <c r="I25" s="41">
        <v>4</v>
      </c>
      <c r="J25">
        <v>54</v>
      </c>
      <c r="K25">
        <v>90</v>
      </c>
      <c r="L25">
        <v>144</v>
      </c>
      <c r="N25" t="s">
        <v>96</v>
      </c>
      <c r="R25" t="s">
        <v>412</v>
      </c>
      <c r="S25" t="s">
        <v>97</v>
      </c>
      <c r="T25" t="s">
        <v>98</v>
      </c>
      <c r="U25" t="s">
        <v>413</v>
      </c>
      <c r="V25" t="s">
        <v>414</v>
      </c>
      <c r="W25" t="s">
        <v>415</v>
      </c>
      <c r="X25" t="s">
        <v>416</v>
      </c>
      <c r="Y25" s="42" t="s">
        <v>417</v>
      </c>
      <c r="Z25" t="s">
        <v>103</v>
      </c>
      <c r="AA25" t="s">
        <v>103</v>
      </c>
      <c r="AB25" t="s">
        <v>103</v>
      </c>
      <c r="AC25" t="s">
        <v>103</v>
      </c>
      <c r="AD25" t="s">
        <v>103</v>
      </c>
      <c r="AE25" t="s">
        <v>103</v>
      </c>
      <c r="AF25" t="s">
        <v>103</v>
      </c>
      <c r="AG25" t="s">
        <v>103</v>
      </c>
      <c r="AH25" t="s">
        <v>103</v>
      </c>
      <c r="AI25" s="42" t="s">
        <v>418</v>
      </c>
      <c r="AJ25" s="42" t="s">
        <v>314</v>
      </c>
      <c r="AK25" s="42" t="s">
        <v>419</v>
      </c>
      <c r="AL25" s="42" t="s">
        <v>420</v>
      </c>
      <c r="AM25" s="42" t="s">
        <v>84</v>
      </c>
      <c r="AN25" s="43">
        <v>0.4</v>
      </c>
      <c r="AO25" s="42" t="s">
        <v>421</v>
      </c>
      <c r="AP25" s="42" t="s">
        <v>422</v>
      </c>
    </row>
    <row r="26" spans="1:42" ht="304.5">
      <c r="A26" t="str">
        <f t="shared" si="0"/>
        <v>MERCADEO Y ESTRATEGIA COMERCIALMERCADEO INTEL: LIDERAZ ESTRAT Y COMP</v>
      </c>
      <c r="B26">
        <v>2024</v>
      </c>
      <c r="C26" s="40">
        <v>2001327</v>
      </c>
      <c r="D26" s="40" t="s">
        <v>423</v>
      </c>
      <c r="E26" s="40" t="s">
        <v>149</v>
      </c>
      <c r="F26" t="s">
        <v>93</v>
      </c>
      <c r="G26" s="40" t="s">
        <v>150</v>
      </c>
      <c r="H26" s="40" t="s">
        <v>424</v>
      </c>
      <c r="I26" s="41">
        <v>3</v>
      </c>
      <c r="N26" t="s">
        <v>96</v>
      </c>
      <c r="R26" s="42" t="s">
        <v>425</v>
      </c>
      <c r="S26" t="s">
        <v>97</v>
      </c>
      <c r="T26" t="s">
        <v>98</v>
      </c>
      <c r="U26" t="s">
        <v>426</v>
      </c>
      <c r="V26" t="s">
        <v>427</v>
      </c>
      <c r="W26" t="s">
        <v>428</v>
      </c>
      <c r="X26" t="s">
        <v>429</v>
      </c>
      <c r="Y26" t="s">
        <v>430</v>
      </c>
      <c r="Z26" t="s">
        <v>103</v>
      </c>
      <c r="AA26" t="s">
        <v>103</v>
      </c>
      <c r="AB26" t="s">
        <v>103</v>
      </c>
      <c r="AC26" t="s">
        <v>103</v>
      </c>
      <c r="AD26" t="s">
        <v>103</v>
      </c>
      <c r="AE26" t="s">
        <v>103</v>
      </c>
      <c r="AF26" t="s">
        <v>103</v>
      </c>
      <c r="AG26" t="s">
        <v>103</v>
      </c>
      <c r="AH26" t="s">
        <v>103</v>
      </c>
      <c r="AI26" s="42" t="s">
        <v>431</v>
      </c>
      <c r="AJ26" s="42" t="s">
        <v>432</v>
      </c>
      <c r="AK26" s="42" t="s">
        <v>261</v>
      </c>
      <c r="AL26" s="42" t="s">
        <v>433</v>
      </c>
      <c r="AM26" s="42" t="s">
        <v>84</v>
      </c>
      <c r="AN26" s="43">
        <v>0.4</v>
      </c>
      <c r="AO26" s="42" t="s">
        <v>434</v>
      </c>
      <c r="AP26" s="42" t="s">
        <v>435</v>
      </c>
    </row>
    <row r="27" spans="1:42" ht="304.5">
      <c r="A27" t="str">
        <f t="shared" si="0"/>
        <v>MERCADEO Y ESTRATEGIA COMERCIALMAS DE LID: CMO´S INSP EL FUT DEL MARK</v>
      </c>
      <c r="B27">
        <v>2024</v>
      </c>
      <c r="C27" s="40">
        <v>2001327</v>
      </c>
      <c r="D27" s="40" t="s">
        <v>436</v>
      </c>
      <c r="E27" s="40" t="s">
        <v>149</v>
      </c>
      <c r="F27" t="s">
        <v>93</v>
      </c>
      <c r="G27" s="40" t="s">
        <v>150</v>
      </c>
      <c r="H27" s="40" t="s">
        <v>437</v>
      </c>
      <c r="I27" s="55">
        <v>3</v>
      </c>
      <c r="N27" t="s">
        <v>96</v>
      </c>
      <c r="R27" s="42" t="s">
        <v>438</v>
      </c>
      <c r="S27" t="s">
        <v>97</v>
      </c>
      <c r="T27" t="s">
        <v>98</v>
      </c>
      <c r="U27" t="s">
        <v>439</v>
      </c>
      <c r="V27" t="s">
        <v>440</v>
      </c>
      <c r="W27" t="s">
        <v>441</v>
      </c>
      <c r="X27" t="s">
        <v>442</v>
      </c>
      <c r="Y27" t="s">
        <v>443</v>
      </c>
      <c r="Z27" t="s">
        <v>103</v>
      </c>
      <c r="AA27" t="s">
        <v>103</v>
      </c>
      <c r="AB27" t="s">
        <v>103</v>
      </c>
      <c r="AC27" t="s">
        <v>103</v>
      </c>
      <c r="AD27" t="s">
        <v>103</v>
      </c>
      <c r="AE27" t="s">
        <v>103</v>
      </c>
      <c r="AF27" t="s">
        <v>103</v>
      </c>
      <c r="AG27" t="s">
        <v>103</v>
      </c>
      <c r="AH27" t="s">
        <v>103</v>
      </c>
      <c r="AI27" s="42" t="s">
        <v>444</v>
      </c>
      <c r="AJ27" s="42" t="s">
        <v>445</v>
      </c>
      <c r="AK27" s="42" t="s">
        <v>261</v>
      </c>
      <c r="AL27" s="42" t="s">
        <v>446</v>
      </c>
      <c r="AM27" s="42" t="s">
        <v>84</v>
      </c>
      <c r="AN27" s="43">
        <v>0.4</v>
      </c>
      <c r="AO27" s="42" t="s">
        <v>447</v>
      </c>
      <c r="AP27" s="42" t="s">
        <v>448</v>
      </c>
    </row>
    <row r="28" spans="1:42" ht="246.6">
      <c r="A28" t="str">
        <f t="shared" si="0"/>
        <v>MERCADEO Y ESTRATEGIA COMERCIALCATEG MANAG (INMER VR EXPER: FABLAB)</v>
      </c>
      <c r="B28">
        <v>2024</v>
      </c>
      <c r="C28" s="40">
        <v>2001327</v>
      </c>
      <c r="D28" s="40" t="s">
        <v>449</v>
      </c>
      <c r="E28" s="40" t="s">
        <v>149</v>
      </c>
      <c r="F28" t="s">
        <v>93</v>
      </c>
      <c r="G28" s="40" t="s">
        <v>150</v>
      </c>
      <c r="H28" s="40" t="s">
        <v>450</v>
      </c>
      <c r="I28" s="41">
        <v>2</v>
      </c>
      <c r="J28">
        <v>32</v>
      </c>
      <c r="K28">
        <v>64</v>
      </c>
      <c r="L28">
        <v>96</v>
      </c>
      <c r="N28" t="s">
        <v>96</v>
      </c>
      <c r="R28" s="42" t="s">
        <v>451</v>
      </c>
      <c r="S28" t="s">
        <v>97</v>
      </c>
      <c r="T28" t="s">
        <v>98</v>
      </c>
      <c r="U28" t="s">
        <v>452</v>
      </c>
      <c r="V28" t="s">
        <v>453</v>
      </c>
      <c r="W28" t="s">
        <v>454</v>
      </c>
      <c r="X28" s="42" t="s">
        <v>455</v>
      </c>
      <c r="Y28" t="s">
        <v>456</v>
      </c>
      <c r="Z28" t="s">
        <v>103</v>
      </c>
      <c r="AA28" t="s">
        <v>103</v>
      </c>
      <c r="AB28" t="s">
        <v>103</v>
      </c>
      <c r="AC28" t="s">
        <v>103</v>
      </c>
      <c r="AD28" t="s">
        <v>103</v>
      </c>
      <c r="AE28" t="s">
        <v>103</v>
      </c>
      <c r="AF28" t="s">
        <v>103</v>
      </c>
      <c r="AG28" t="s">
        <v>103</v>
      </c>
      <c r="AH28" t="s">
        <v>103</v>
      </c>
      <c r="AI28" s="42" t="s">
        <v>457</v>
      </c>
      <c r="AJ28" s="42" t="s">
        <v>231</v>
      </c>
      <c r="AK28" s="42" t="s">
        <v>458</v>
      </c>
      <c r="AL28" s="42" t="s">
        <v>459</v>
      </c>
      <c r="AM28" s="42" t="s">
        <v>84</v>
      </c>
      <c r="AN28" s="42" t="s">
        <v>263</v>
      </c>
      <c r="AO28" s="42" t="s">
        <v>460</v>
      </c>
      <c r="AP28" s="42" t="s">
        <v>461</v>
      </c>
    </row>
    <row r="29" spans="1:42" ht="203.1">
      <c r="A29" t="str">
        <f t="shared" si="0"/>
        <v>MERCADEO Y ESTRATEGIA COMERCIALMAR CR P DE VEN (INM VR EXP: FABLAB)</v>
      </c>
      <c r="B29">
        <v>2024</v>
      </c>
      <c r="C29" s="40">
        <v>2001327</v>
      </c>
      <c r="D29" s="40" t="s">
        <v>462</v>
      </c>
      <c r="E29" s="40" t="s">
        <v>149</v>
      </c>
      <c r="F29" t="s">
        <v>93</v>
      </c>
      <c r="G29" s="40" t="s">
        <v>150</v>
      </c>
      <c r="H29" s="40" t="s">
        <v>463</v>
      </c>
      <c r="I29" s="41">
        <v>2</v>
      </c>
      <c r="J29">
        <v>36</v>
      </c>
      <c r="K29">
        <v>60</v>
      </c>
      <c r="L29">
        <v>96</v>
      </c>
      <c r="N29" t="s">
        <v>96</v>
      </c>
      <c r="R29" s="45" t="s">
        <v>464</v>
      </c>
      <c r="S29" t="s">
        <v>97</v>
      </c>
      <c r="T29" t="s">
        <v>98</v>
      </c>
      <c r="U29" s="45" t="s">
        <v>465</v>
      </c>
      <c r="V29" t="s">
        <v>466</v>
      </c>
      <c r="W29" t="s">
        <v>467</v>
      </c>
      <c r="X29" t="s">
        <v>468</v>
      </c>
      <c r="Y29" t="s">
        <v>469</v>
      </c>
      <c r="AA29" t="s">
        <v>103</v>
      </c>
      <c r="AB29" t="s">
        <v>103</v>
      </c>
      <c r="AC29" t="s">
        <v>103</v>
      </c>
      <c r="AD29" t="s">
        <v>103</v>
      </c>
      <c r="AE29" t="s">
        <v>103</v>
      </c>
      <c r="AF29" t="s">
        <v>103</v>
      </c>
      <c r="AG29" t="s">
        <v>103</v>
      </c>
      <c r="AH29" t="s">
        <v>103</v>
      </c>
      <c r="AI29" s="42" t="s">
        <v>470</v>
      </c>
      <c r="AJ29" s="42" t="s">
        <v>471</v>
      </c>
      <c r="AK29" s="42" t="s">
        <v>315</v>
      </c>
      <c r="AL29" s="42" t="s">
        <v>472</v>
      </c>
      <c r="AM29" s="42" t="s">
        <v>84</v>
      </c>
      <c r="AN29" s="43">
        <v>0.3</v>
      </c>
      <c r="AO29" s="42" t="s">
        <v>473</v>
      </c>
      <c r="AP29" s="42" t="s">
        <v>474</v>
      </c>
    </row>
    <row r="30" spans="1:42" ht="159.6">
      <c r="A30" t="str">
        <f t="shared" si="0"/>
        <v>MERCADEO Y ESTRATEGIA COMERCIALREAL MATHS</v>
      </c>
      <c r="B30">
        <v>2024</v>
      </c>
      <c r="C30" s="40">
        <v>2001327</v>
      </c>
      <c r="D30" s="40" t="s">
        <v>475</v>
      </c>
      <c r="E30" s="40" t="s">
        <v>476</v>
      </c>
      <c r="F30" t="s">
        <v>93</v>
      </c>
      <c r="G30" s="40" t="s">
        <v>150</v>
      </c>
      <c r="H30" s="40" t="s">
        <v>477</v>
      </c>
      <c r="I30" s="41">
        <v>2</v>
      </c>
      <c r="J30">
        <f>+L30-K30</f>
        <v>32</v>
      </c>
      <c r="K30">
        <v>64</v>
      </c>
      <c r="L30">
        <v>96</v>
      </c>
      <c r="N30" t="s">
        <v>96</v>
      </c>
      <c r="R30" t="s">
        <v>478</v>
      </c>
      <c r="S30" t="s">
        <v>97</v>
      </c>
      <c r="T30" t="s">
        <v>98</v>
      </c>
      <c r="U30" t="s">
        <v>479</v>
      </c>
      <c r="V30" t="s">
        <v>480</v>
      </c>
      <c r="W30" t="s">
        <v>481</v>
      </c>
      <c r="X30" t="s">
        <v>482</v>
      </c>
      <c r="AC30" t="s">
        <v>103</v>
      </c>
      <c r="AG30" t="s">
        <v>103</v>
      </c>
      <c r="AI30" s="42" t="s">
        <v>483</v>
      </c>
      <c r="AJ30" s="42" t="s">
        <v>484</v>
      </c>
      <c r="AK30" s="42" t="s">
        <v>485</v>
      </c>
      <c r="AL30" s="42" t="s">
        <v>486</v>
      </c>
      <c r="AM30" s="42" t="s">
        <v>84</v>
      </c>
      <c r="AN30" s="43">
        <v>0.5</v>
      </c>
      <c r="AO30" s="42" t="s">
        <v>487</v>
      </c>
      <c r="AP30" s="42" t="s">
        <v>488</v>
      </c>
    </row>
    <row r="31" spans="1:42" ht="246.6">
      <c r="A31" t="str">
        <f t="shared" si="0"/>
        <v>MERCADEO Y ESTRATEGIA COMERCIALEL PODER DE LAS PROBABILIDADES</v>
      </c>
      <c r="B31">
        <v>2024</v>
      </c>
      <c r="C31" s="40">
        <v>2001327</v>
      </c>
      <c r="D31" s="40" t="s">
        <v>489</v>
      </c>
      <c r="E31" s="40" t="s">
        <v>476</v>
      </c>
      <c r="F31" t="s">
        <v>93</v>
      </c>
      <c r="G31" s="40" t="s">
        <v>150</v>
      </c>
      <c r="H31" s="40" t="s">
        <v>490</v>
      </c>
      <c r="I31" s="41">
        <v>3</v>
      </c>
      <c r="J31">
        <f>+L31-K31</f>
        <v>36</v>
      </c>
      <c r="K31">
        <v>108</v>
      </c>
      <c r="L31">
        <v>144</v>
      </c>
      <c r="N31" t="s">
        <v>96</v>
      </c>
      <c r="R31" s="44" t="s">
        <v>491</v>
      </c>
      <c r="S31" t="s">
        <v>97</v>
      </c>
      <c r="T31" t="s">
        <v>98</v>
      </c>
      <c r="U31" s="44" t="s">
        <v>492</v>
      </c>
      <c r="V31" t="s">
        <v>493</v>
      </c>
      <c r="W31" t="s">
        <v>494</v>
      </c>
      <c r="X31" t="s">
        <v>495</v>
      </c>
      <c r="Y31" t="s">
        <v>496</v>
      </c>
      <c r="AB31" t="s">
        <v>158</v>
      </c>
      <c r="AC31" t="s">
        <v>158</v>
      </c>
      <c r="AH31" t="s">
        <v>158</v>
      </c>
      <c r="AI31" s="42" t="s">
        <v>497</v>
      </c>
      <c r="AJ31" s="42" t="s">
        <v>498</v>
      </c>
      <c r="AK31" s="42" t="s">
        <v>499</v>
      </c>
      <c r="AL31" s="42" t="s">
        <v>500</v>
      </c>
      <c r="AM31" s="42" t="s">
        <v>84</v>
      </c>
      <c r="AN31" s="43">
        <v>0.3</v>
      </c>
      <c r="AO31" s="42" t="s">
        <v>501</v>
      </c>
      <c r="AP31" s="42" t="s">
        <v>502</v>
      </c>
    </row>
    <row r="32" spans="1:42" ht="275.45">
      <c r="A32" t="str">
        <f t="shared" si="0"/>
        <v>MERCADEO Y ESTRATEGIA COMERCIALSOSTECNIBILIDAD 360</v>
      </c>
      <c r="B32">
        <v>2024</v>
      </c>
      <c r="C32" s="40">
        <v>2001327</v>
      </c>
      <c r="D32" s="40" t="s">
        <v>503</v>
      </c>
      <c r="E32" s="40" t="s">
        <v>476</v>
      </c>
      <c r="F32" t="s">
        <v>93</v>
      </c>
      <c r="G32" s="40" t="s">
        <v>150</v>
      </c>
      <c r="H32" s="40" t="s">
        <v>504</v>
      </c>
      <c r="I32" s="41">
        <v>3</v>
      </c>
      <c r="J32">
        <f>+L32-K32</f>
        <v>36</v>
      </c>
      <c r="K32">
        <v>108</v>
      </c>
      <c r="L32">
        <v>144</v>
      </c>
      <c r="N32" t="s">
        <v>96</v>
      </c>
      <c r="R32" t="s">
        <v>505</v>
      </c>
      <c r="S32" t="s">
        <v>97</v>
      </c>
      <c r="T32" t="s">
        <v>98</v>
      </c>
      <c r="U32" t="s">
        <v>506</v>
      </c>
      <c r="V32" t="s">
        <v>507</v>
      </c>
      <c r="W32" t="s">
        <v>508</v>
      </c>
      <c r="X32" t="s">
        <v>509</v>
      </c>
      <c r="Y32" t="s">
        <v>510</v>
      </c>
      <c r="Z32" t="s">
        <v>103</v>
      </c>
      <c r="AB32" t="s">
        <v>103</v>
      </c>
      <c r="AC32" t="s">
        <v>103</v>
      </c>
      <c r="AD32" t="s">
        <v>103</v>
      </c>
      <c r="AF32" t="s">
        <v>103</v>
      </c>
      <c r="AG32" t="s">
        <v>103</v>
      </c>
      <c r="AH32" t="s">
        <v>103</v>
      </c>
      <c r="AI32" s="42" t="s">
        <v>511</v>
      </c>
      <c r="AJ32" s="42" t="s">
        <v>512</v>
      </c>
      <c r="AK32" s="42" t="s">
        <v>513</v>
      </c>
      <c r="AL32" s="42" t="s">
        <v>514</v>
      </c>
      <c r="AM32" s="42" t="s">
        <v>84</v>
      </c>
      <c r="AN32" s="43">
        <v>0.2</v>
      </c>
      <c r="AO32" s="42" t="s">
        <v>515</v>
      </c>
      <c r="AP32" s="42" t="s">
        <v>516</v>
      </c>
    </row>
    <row r="33" spans="1:42" ht="409.5">
      <c r="A33" t="str">
        <f t="shared" si="0"/>
        <v>MERCADEO Y ESTRATEGIA COMERCIALCIUDADANO GLOBAL Y ÉTICO</v>
      </c>
      <c r="B33">
        <v>2024</v>
      </c>
      <c r="C33" s="40">
        <v>2001327</v>
      </c>
      <c r="D33" s="40" t="s">
        <v>517</v>
      </c>
      <c r="E33" s="40" t="s">
        <v>476</v>
      </c>
      <c r="F33" t="s">
        <v>93</v>
      </c>
      <c r="G33" s="40" t="s">
        <v>150</v>
      </c>
      <c r="H33" s="40" t="s">
        <v>518</v>
      </c>
      <c r="I33" s="41">
        <v>4</v>
      </c>
      <c r="J33">
        <v>72</v>
      </c>
      <c r="K33">
        <v>120</v>
      </c>
      <c r="L33">
        <f>+K33+J33</f>
        <v>192</v>
      </c>
      <c r="N33" t="s">
        <v>96</v>
      </c>
      <c r="R33" t="s">
        <v>519</v>
      </c>
      <c r="S33" t="s">
        <v>97</v>
      </c>
      <c r="T33" t="s">
        <v>98</v>
      </c>
      <c r="U33" t="s">
        <v>520</v>
      </c>
      <c r="V33" t="s">
        <v>521</v>
      </c>
      <c r="W33" t="s">
        <v>522</v>
      </c>
      <c r="X33" t="s">
        <v>523</v>
      </c>
      <c r="Y33" t="s">
        <v>524</v>
      </c>
      <c r="Z33" t="s">
        <v>158</v>
      </c>
      <c r="AA33" t="s">
        <v>158</v>
      </c>
      <c r="AB33" t="s">
        <v>158</v>
      </c>
      <c r="AC33" t="s">
        <v>158</v>
      </c>
      <c r="AD33" t="s">
        <v>158</v>
      </c>
      <c r="AE33" t="s">
        <v>158</v>
      </c>
      <c r="AF33" t="s">
        <v>158</v>
      </c>
      <c r="AG33" t="s">
        <v>158</v>
      </c>
      <c r="AH33" t="s">
        <v>158</v>
      </c>
      <c r="AI33" t="s">
        <v>525</v>
      </c>
      <c r="AJ33" s="42" t="s">
        <v>526</v>
      </c>
      <c r="AK33" t="s">
        <v>527</v>
      </c>
      <c r="AL33" s="42" t="s">
        <v>528</v>
      </c>
      <c r="AM33" t="s">
        <v>84</v>
      </c>
      <c r="AN33" s="43">
        <v>0.1</v>
      </c>
      <c r="AO33" s="42" t="s">
        <v>529</v>
      </c>
      <c r="AP33" s="42" t="s">
        <v>530</v>
      </c>
    </row>
    <row r="34" spans="1:42" ht="261">
      <c r="A34" t="str">
        <f t="shared" si="0"/>
        <v>MERCADEO Y ESTRATEGIA COMERCIALDIGIT BUSINESS MARK AND SOC COMMERCE</v>
      </c>
      <c r="B34">
        <v>2024</v>
      </c>
      <c r="C34" s="40">
        <v>2001327</v>
      </c>
      <c r="D34" s="40" t="s">
        <v>531</v>
      </c>
      <c r="E34" s="40" t="s">
        <v>532</v>
      </c>
      <c r="F34" t="s">
        <v>93</v>
      </c>
      <c r="G34" s="40" t="s">
        <v>150</v>
      </c>
      <c r="H34" s="40" t="s">
        <v>533</v>
      </c>
      <c r="I34" s="41">
        <v>3</v>
      </c>
      <c r="J34">
        <v>54</v>
      </c>
      <c r="K34">
        <v>90</v>
      </c>
      <c r="L34">
        <v>144</v>
      </c>
      <c r="N34" t="s">
        <v>96</v>
      </c>
      <c r="R34" t="s">
        <v>534</v>
      </c>
      <c r="S34" t="s">
        <v>97</v>
      </c>
      <c r="T34" t="s">
        <v>98</v>
      </c>
      <c r="U34" t="s">
        <v>535</v>
      </c>
      <c r="V34" t="s">
        <v>536</v>
      </c>
      <c r="W34" t="s">
        <v>537</v>
      </c>
      <c r="X34" t="s">
        <v>538</v>
      </c>
      <c r="Z34" t="s">
        <v>158</v>
      </c>
      <c r="AB34" t="s">
        <v>158</v>
      </c>
      <c r="AC34" t="s">
        <v>158</v>
      </c>
      <c r="AE34" t="s">
        <v>158</v>
      </c>
      <c r="AG34" t="s">
        <v>158</v>
      </c>
      <c r="AH34" t="s">
        <v>158</v>
      </c>
      <c r="AI34" s="42" t="s">
        <v>539</v>
      </c>
      <c r="AJ34" s="42" t="s">
        <v>540</v>
      </c>
      <c r="AK34" s="42" t="s">
        <v>541</v>
      </c>
      <c r="AL34" s="42" t="s">
        <v>205</v>
      </c>
      <c r="AM34" s="42" t="s">
        <v>84</v>
      </c>
      <c r="AN34" s="43">
        <v>0.4</v>
      </c>
      <c r="AO34" s="42" t="s">
        <v>542</v>
      </c>
      <c r="AP34" s="42" t="s">
        <v>543</v>
      </c>
    </row>
  </sheetData>
  <autoFilter ref="A1:AP30" xr:uid="{7F874778-B67E-45D4-99DD-9DAF329F261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O50"/>
  <sheetViews>
    <sheetView tabSelected="1" zoomScale="70" zoomScaleNormal="70"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5" ht="15" thickBot="1">
      <c r="C1" s="12"/>
      <c r="D1" s="12"/>
      <c r="E1" s="12"/>
      <c r="F1" s="12"/>
      <c r="G1" s="12"/>
      <c r="H1" s="12"/>
    </row>
    <row r="2" spans="2:15" ht="22.5" customHeight="1" thickTop="1">
      <c r="B2" s="102"/>
      <c r="C2" s="104" t="s">
        <v>0</v>
      </c>
      <c r="D2" s="104"/>
      <c r="E2" s="104"/>
      <c r="F2" s="104"/>
      <c r="G2" s="104"/>
      <c r="H2" s="104"/>
      <c r="I2" s="6" t="s">
        <v>544</v>
      </c>
      <c r="K2" s="46" t="str">
        <f>E9&amp;H9</f>
        <v>MERCADEO Y ESTRATEGIA COMERCIALCATEG MANAG (INMER VR EXPER: FABLAB)</v>
      </c>
    </row>
    <row r="3" spans="2:15" ht="20.25" customHeight="1">
      <c r="B3" s="103"/>
      <c r="C3" s="105"/>
      <c r="D3" s="105"/>
      <c r="E3" s="105"/>
      <c r="F3" s="105"/>
      <c r="G3" s="105"/>
      <c r="H3" s="105"/>
      <c r="I3" s="7" t="s">
        <v>2</v>
      </c>
    </row>
    <row r="4" spans="2:15" ht="21" customHeight="1" thickBot="1">
      <c r="B4" s="106" t="s">
        <v>3</v>
      </c>
      <c r="C4" s="107"/>
      <c r="D4" s="107"/>
      <c r="E4" s="107"/>
      <c r="F4" s="107"/>
      <c r="G4" s="107"/>
      <c r="H4" s="107"/>
      <c r="I4" s="8" t="s">
        <v>545</v>
      </c>
    </row>
    <row r="5" spans="2:15" ht="15.6" thickTop="1" thickBot="1">
      <c r="B5" s="108"/>
      <c r="C5" s="108"/>
      <c r="D5" s="108"/>
      <c r="E5" s="108"/>
      <c r="F5" s="108"/>
      <c r="G5" s="108"/>
      <c r="H5" s="108"/>
      <c r="I5" s="108"/>
    </row>
    <row r="6" spans="2:15">
      <c r="B6" s="109" t="s">
        <v>5</v>
      </c>
      <c r="C6" s="110"/>
      <c r="D6" s="110"/>
      <c r="E6" s="110"/>
      <c r="F6" s="110"/>
      <c r="G6" s="110"/>
      <c r="H6" s="110"/>
      <c r="I6" s="111"/>
    </row>
    <row r="7" spans="2:15" ht="43.5">
      <c r="B7" s="25" t="s">
        <v>6</v>
      </c>
      <c r="C7" s="1">
        <f>IFERROR(VLOOKUP($K$2,Data!$A$2:$AP$34,2,0)," ")</f>
        <v>2024</v>
      </c>
      <c r="D7" s="2" t="s">
        <v>7</v>
      </c>
      <c r="E7" s="1">
        <f>IFERROR(VLOOKUP($K$2,Data!$A$2:$AP$34,3,0)," ")</f>
        <v>2001327</v>
      </c>
      <c r="F7" s="2" t="s">
        <v>8</v>
      </c>
      <c r="G7" s="1" t="str">
        <f>IFERROR(VLOOKUP($K$2,Data!$A$2:$AP$34,4,0)," ")</f>
        <v>AFVN0103</v>
      </c>
      <c r="H7" s="2" t="s">
        <v>9</v>
      </c>
      <c r="I7" s="31" t="str">
        <f>IFERROR(VLOOKUP($K$2,Data!$A$2:$AP$34,5,0)," ")</f>
        <v>NUCLEAR</v>
      </c>
    </row>
    <row r="8" spans="2:15" ht="29.1">
      <c r="B8" s="25" t="s">
        <v>546</v>
      </c>
      <c r="C8" s="3" t="s">
        <v>19</v>
      </c>
      <c r="D8" s="2"/>
      <c r="E8" s="3" t="s">
        <v>20</v>
      </c>
      <c r="F8" s="3" t="s">
        <v>20</v>
      </c>
      <c r="G8" s="2" t="s">
        <v>547</v>
      </c>
      <c r="H8" s="100"/>
      <c r="I8" s="101"/>
    </row>
    <row r="9" spans="2:15" ht="45.75">
      <c r="B9" s="26" t="s">
        <v>548</v>
      </c>
      <c r="C9" s="3" t="s">
        <v>549</v>
      </c>
      <c r="D9" s="3" t="s">
        <v>65</v>
      </c>
      <c r="E9" s="115" t="s">
        <v>150</v>
      </c>
      <c r="F9" s="115"/>
      <c r="G9" s="2" t="s">
        <v>12</v>
      </c>
      <c r="H9" s="115" t="s">
        <v>450</v>
      </c>
      <c r="I9" s="116"/>
      <c r="L9" s="114" t="s">
        <v>550</v>
      </c>
      <c r="M9" s="114"/>
      <c r="N9" s="114"/>
      <c r="O9" s="114"/>
    </row>
    <row r="10" spans="2:15" ht="29.45" thickBot="1">
      <c r="B10" s="27" t="s">
        <v>13</v>
      </c>
      <c r="C10" s="29">
        <f>IFERROR(VLOOKUP($K$2,Data!$A$2:$AP$34,9,0)," ")</f>
        <v>2</v>
      </c>
      <c r="D10" s="28" t="s">
        <v>14</v>
      </c>
      <c r="E10" s="29">
        <f>IFERROR(VLOOKUP($K$2,Data!$A$2:$AP$34,10,0)," ")</f>
        <v>32</v>
      </c>
      <c r="F10" s="28" t="s">
        <v>15</v>
      </c>
      <c r="G10" s="29">
        <f>IFERROR(VLOOKUP($K$2,Data!$A$2:$AP$34,11,0)," ")</f>
        <v>64</v>
      </c>
      <c r="H10" s="28" t="s">
        <v>16</v>
      </c>
      <c r="I10" s="30">
        <f>+G10+E10</f>
        <v>96</v>
      </c>
      <c r="L10" s="114"/>
      <c r="M10" s="114"/>
      <c r="N10" s="114"/>
      <c r="O10" s="114"/>
    </row>
    <row r="11" spans="2:15">
      <c r="B11" s="63" t="s">
        <v>551</v>
      </c>
      <c r="C11" s="64"/>
      <c r="D11" s="64"/>
      <c r="E11" s="64"/>
      <c r="F11" s="64"/>
      <c r="G11" s="64"/>
      <c r="H11" s="64"/>
      <c r="I11" s="65"/>
    </row>
    <row r="12" spans="2:15" ht="183" customHeight="1">
      <c r="B12" s="150" t="s">
        <v>552</v>
      </c>
      <c r="C12" s="151"/>
      <c r="D12" s="60" t="str">
        <f>IFERROR(VLOOKUP($K$2,Data!$A$2:$AP$34,18,0)," ")</f>
        <v>La materia Category Management (Immersive VR Experience: FabLab) tiene como propósito desarrollar en los estudiantes las competencias necesarias para gestionar de manera estratégica las categorías de productos dentro de entornos comerciales dinámicos, centrados en el consumidor y orientados a resultados de negocio.
A través de una experiencia inmersiva de realidad virtual (VR) en el FabLab, los estudiantes vivirán simulaciones prácticas que les permitirán comprender, diseñar y ejecutar estrategias de gestión de categorías. Se busca que puedan identificar oportunidades de optimización del surtido, mejorar la rentabilidad de las categorías, gestionar espacios de venta de manera eficiente, y construir relaciones colaborativas entre fabricantes y retailers.
Durante el curso, los estudiantes fortalecerán habilidades de análisis de datos, pensamiento estratégico, negociación y diseño de experiencias de compra, utilizando herramientas tecnológicas de última generación que replican contextos reales de decisión comercial.</v>
      </c>
      <c r="E12" s="61"/>
      <c r="F12" s="61"/>
      <c r="G12" s="61"/>
      <c r="H12" s="61"/>
      <c r="I12" s="62"/>
    </row>
    <row r="13" spans="2:15" ht="125.45" customHeight="1" thickBot="1">
      <c r="B13" s="145" t="s">
        <v>553</v>
      </c>
      <c r="C13" s="146"/>
      <c r="D13" s="147" t="str">
        <f>IFERROR(VLOOKUP($K$2,Data!$A$2:$AP$34,20,0)," ")</f>
        <v>Analiza datos de mercado y comportamiento de los consumidores  a partir  del uso de metodologías, lineamientos de eficacia y rentabilidad, enfocados en los objetivos organizacionales. Formula estrategias basadas en la comprensión del mercado  mediante el estudio del mercado para el posicionamiento y reconocimiento de las marcas. Diseña  marcas con propósito y planes de comunicación  con base en en las diferentes audiencias teniendo en cuenta los principios de sostenibilidad. Desarrolla campañas publicitarias, productos innovadores y estrategias disruptivas con base en el crecimiento organizacional del mercado  a partir  de la creación de alianzas estratégicas, la segmentación de audiencias y el pensamiento creativo e innovador. Integra principios éticos sostenibles y de responsabilidad social en las estrategias de mercadeo  teniendo en cuenta la proposición de acciones encaminadas a la creación de valor compartido y la integridad organizacional. Planifica  el desarrollo de sitios web y aplicaciones digitales  a través  del uso de herramientas y técnicas avanzadas de diseño y desarrollo web</v>
      </c>
      <c r="E13" s="148"/>
      <c r="F13" s="148"/>
      <c r="G13" s="148"/>
      <c r="H13" s="148"/>
      <c r="I13" s="149"/>
    </row>
    <row r="14" spans="2:15">
      <c r="B14" s="63" t="s">
        <v>554</v>
      </c>
      <c r="C14" s="64"/>
      <c r="D14" s="64"/>
      <c r="E14" s="64"/>
      <c r="F14" s="64"/>
      <c r="G14" s="64"/>
      <c r="H14" s="64"/>
      <c r="I14" s="65"/>
    </row>
    <row r="15" spans="2:15">
      <c r="B15" s="117" t="s">
        <v>555</v>
      </c>
      <c r="C15" s="56"/>
      <c r="D15" s="56"/>
      <c r="E15" s="56"/>
      <c r="F15" s="56"/>
      <c r="G15" s="56"/>
      <c r="H15" s="56"/>
      <c r="I15" s="57"/>
    </row>
    <row r="16" spans="2:15">
      <c r="B16" s="117"/>
      <c r="C16" s="56"/>
      <c r="D16" s="56"/>
      <c r="E16" s="56"/>
      <c r="F16" s="56"/>
      <c r="G16" s="56"/>
      <c r="H16" s="56"/>
      <c r="I16" s="57"/>
    </row>
    <row r="17" spans="2:9" ht="15" thickBot="1">
      <c r="B17" s="118"/>
      <c r="C17" s="119"/>
      <c r="D17" s="119"/>
      <c r="E17" s="119"/>
      <c r="F17" s="119"/>
      <c r="G17" s="119"/>
      <c r="H17" s="119"/>
      <c r="I17" s="120"/>
    </row>
    <row r="18" spans="2:9" ht="15" thickBot="1">
      <c r="B18" s="129" t="s">
        <v>556</v>
      </c>
      <c r="C18" s="130"/>
      <c r="D18" s="130"/>
      <c r="E18" s="130"/>
      <c r="F18" s="130"/>
      <c r="G18" s="130"/>
      <c r="H18" s="130"/>
      <c r="I18" s="131"/>
    </row>
    <row r="19" spans="2:9">
      <c r="B19" s="17" t="s">
        <v>557</v>
      </c>
      <c r="C19" s="18" t="s">
        <v>558</v>
      </c>
      <c r="D19" s="17" t="s">
        <v>559</v>
      </c>
      <c r="E19" s="134" t="s">
        <v>560</v>
      </c>
      <c r="F19" s="135"/>
      <c r="G19" s="19" t="s">
        <v>561</v>
      </c>
      <c r="H19" s="132" t="s">
        <v>562</v>
      </c>
      <c r="I19" s="133"/>
    </row>
    <row r="20" spans="2:9">
      <c r="B20" s="92"/>
      <c r="C20" s="124"/>
      <c r="D20" s="121" t="str">
        <f>IFERROR(VLOOKUP($K$2,Data!$A$2:$AP$34,35,0)," ")</f>
        <v xml:space="preserve">•	Introducción a la gestión por categorías
•	Definición y segmentación de categorías
•	Análisis de categorías
•	Desarrollo de estrategias de categoría
•	Medición </v>
      </c>
      <c r="E20" s="122"/>
      <c r="F20" s="123"/>
      <c r="G20" s="136"/>
      <c r="H20" s="137"/>
      <c r="I20" s="138"/>
    </row>
    <row r="21" spans="2:9">
      <c r="B21" s="125"/>
      <c r="C21" s="126"/>
      <c r="D21" s="86"/>
      <c r="E21" s="87"/>
      <c r="F21" s="88"/>
      <c r="G21" s="139"/>
      <c r="H21" s="140"/>
      <c r="I21" s="141"/>
    </row>
    <row r="22" spans="2:9">
      <c r="B22" s="125"/>
      <c r="C22" s="126"/>
      <c r="D22" s="86"/>
      <c r="E22" s="87"/>
      <c r="F22" s="88"/>
      <c r="G22" s="139"/>
      <c r="H22" s="140"/>
      <c r="I22" s="141"/>
    </row>
    <row r="23" spans="2:9">
      <c r="B23" s="125"/>
      <c r="C23" s="126"/>
      <c r="D23" s="86"/>
      <c r="E23" s="87"/>
      <c r="F23" s="88"/>
      <c r="G23" s="139"/>
      <c r="H23" s="140"/>
      <c r="I23" s="141"/>
    </row>
    <row r="24" spans="2:9">
      <c r="B24" s="125"/>
      <c r="C24" s="126"/>
      <c r="D24" s="86"/>
      <c r="E24" s="87"/>
      <c r="F24" s="88"/>
      <c r="G24" s="139"/>
      <c r="H24" s="140"/>
      <c r="I24" s="141"/>
    </row>
    <row r="25" spans="2:9">
      <c r="B25" s="125"/>
      <c r="C25" s="126"/>
      <c r="D25" s="86"/>
      <c r="E25" s="87"/>
      <c r="F25" s="88"/>
      <c r="G25" s="139"/>
      <c r="H25" s="140"/>
      <c r="I25" s="141"/>
    </row>
    <row r="26" spans="2:9" ht="15" thickBot="1">
      <c r="B26" s="127"/>
      <c r="C26" s="128"/>
      <c r="D26" s="89"/>
      <c r="E26" s="90"/>
      <c r="F26" s="91"/>
      <c r="G26" s="142"/>
      <c r="H26" s="143"/>
      <c r="I26" s="144"/>
    </row>
    <row r="27" spans="2:9">
      <c r="B27" s="68" t="s">
        <v>563</v>
      </c>
      <c r="C27" s="69"/>
      <c r="D27" s="69"/>
      <c r="E27" s="69"/>
      <c r="F27" s="69"/>
      <c r="G27" s="69"/>
      <c r="H27" s="69"/>
      <c r="I27" s="70"/>
    </row>
    <row r="28" spans="2:9" ht="14.45" customHeight="1">
      <c r="B28" s="80" t="s">
        <v>51</v>
      </c>
      <c r="C28" s="81"/>
      <c r="D28" s="81"/>
      <c r="E28" s="81"/>
      <c r="F28" s="81"/>
      <c r="G28" s="81"/>
      <c r="H28" s="81"/>
      <c r="I28" s="82"/>
    </row>
    <row r="29" spans="2:9" ht="15" thickBot="1">
      <c r="B29" s="83"/>
      <c r="C29" s="84"/>
      <c r="D29" s="84"/>
      <c r="E29" s="84"/>
      <c r="F29" s="84"/>
      <c r="G29" s="84"/>
      <c r="H29" s="84"/>
      <c r="I29" s="85"/>
    </row>
    <row r="30" spans="2:9">
      <c r="B30" s="86" t="str">
        <f>IFERROR(VLOOKUP($K$2,Data!$A$2:$AP$34,37,0)," ")</f>
        <v>Talleres
Uso de herramientas categorías y management
VR LAB
Proyecto integrador</v>
      </c>
      <c r="C30" s="87"/>
      <c r="D30" s="87"/>
      <c r="E30" s="87"/>
      <c r="F30" s="87"/>
      <c r="G30" s="87"/>
      <c r="H30" s="87"/>
      <c r="I30" s="88"/>
    </row>
    <row r="31" spans="2:9">
      <c r="B31" s="86"/>
      <c r="C31" s="87"/>
      <c r="D31" s="87"/>
      <c r="E31" s="87"/>
      <c r="F31" s="87"/>
      <c r="G31" s="87"/>
      <c r="H31" s="87"/>
      <c r="I31" s="88"/>
    </row>
    <row r="32" spans="2:9" ht="87" customHeight="1" thickBot="1">
      <c r="B32" s="89"/>
      <c r="C32" s="90"/>
      <c r="D32" s="90"/>
      <c r="E32" s="90"/>
      <c r="F32" s="90"/>
      <c r="G32" s="90"/>
      <c r="H32" s="90"/>
      <c r="I32" s="91"/>
    </row>
    <row r="33" spans="2:9" ht="34.5" customHeight="1" thickBot="1">
      <c r="B33" s="74" t="s">
        <v>564</v>
      </c>
      <c r="C33" s="75"/>
      <c r="D33" s="75"/>
      <c r="E33" s="76"/>
      <c r="F33" s="77" t="str">
        <f>IFERROR(VLOOKUP($K$2,Data!$A$2:$AP$34,38,0)," ")</f>
        <v>IA
Herramientas digitales para insights y mercados
NeuroLab
VR LAB FAB LAB</v>
      </c>
      <c r="G33" s="78"/>
      <c r="H33" s="78"/>
      <c r="I33" s="79"/>
    </row>
    <row r="34" spans="2:9" ht="15" thickBot="1">
      <c r="B34" s="71" t="s">
        <v>565</v>
      </c>
      <c r="C34" s="72"/>
      <c r="D34" s="72"/>
      <c r="E34" s="72"/>
      <c r="F34" s="73" t="str">
        <f>IFERROR(VLOOKUP($K$2,Data!$A$2:$AP$30,39,0)," ")</f>
        <v>Inglés</v>
      </c>
      <c r="G34" s="73"/>
      <c r="H34" s="20" t="s">
        <v>54</v>
      </c>
      <c r="I34" s="47" t="str">
        <f>IFERROR(VLOOKUP($K$2,Data!$A$2:$AP$30,40,0)," ")</f>
        <v xml:space="preserve">40%	</v>
      </c>
    </row>
    <row r="35" spans="2:9">
      <c r="B35" s="63" t="s">
        <v>566</v>
      </c>
      <c r="C35" s="64"/>
      <c r="D35" s="64"/>
      <c r="E35" s="64"/>
      <c r="F35" s="64"/>
      <c r="G35" s="64"/>
      <c r="H35" s="64"/>
      <c r="I35" s="65"/>
    </row>
    <row r="36" spans="2:9" ht="14.45" customHeight="1">
      <c r="B36" s="92" t="s">
        <v>56</v>
      </c>
      <c r="C36" s="93"/>
      <c r="D36" s="93"/>
      <c r="E36" s="94"/>
      <c r="F36" s="97" t="s">
        <v>57</v>
      </c>
      <c r="G36" s="98"/>
      <c r="H36" s="98"/>
      <c r="I36" s="99"/>
    </row>
    <row r="37" spans="2:9">
      <c r="B37" s="86" t="str">
        <f>IFERROR(VLOOKUP($K$2,Data!$A$2:$AP$34,41,0)," ")</f>
        <v>	Berman, B., &amp; Rucker, K. (2019). Category management: A strategic approach to retail profitability. Pearson Prentice Hall.
	Burtonshaw, D., &amp; Haley, E. (2021). Category management: Theory and practice. 
	Capon, W. L., Stone, B. R., &amp; DeFranco, R. J. (2020). Retail marketing: A strategic and tactical approach. Prentice Hall.
	Duncan, T. J., &amp; Barman, S. (2019). Category management in the digital age: Strategies for success in the omnichannel world. 
	Leibowitz, M., &amp; Johnson, E. (2020). Category management: A complete guide to managing profitable product 
Recursos en Línea:
	Category Management Association: https://www.catman.global/original-content
	Retail Category Management Forum: https://blog.cmkg.org/blog/scorecard_category-management-in-retail_01
	Inmar Intelligence: https://www.inmar.com/
	Symphony Retail Solutions: https://www.symphonyai.com/retail-cpg/
	NielsenIQ: https://www.nielsen.com/
Recursos sobre Immersive VR Experience y FabLab:
	Immersive VR Education: https://www.crunchbase.com/organization/immersive-vr-education
	FabLab Network: http://fablab.org/
	VRFirst: https://www.vrfirst.com/
	Immersive VR Education Blog: https://www.talespin.com/reading/understanding-immersive-vr-education-a-new-way-to-learn
	FabLab Journal: https://www.sciencedirect.com/science/article/pii/S2351978920310714</v>
      </c>
      <c r="C37" s="87"/>
      <c r="D37" s="87"/>
      <c r="E37" s="95"/>
      <c r="F37" s="112" t="str">
        <f>IFERROR(VLOOKUP($K$2,Data!$A$2:$AP$34,42,0)," ")</f>
        <v xml:space="preserve">Journal Articles:
	Baltunas, A., &amp; Kaynak, E. (2020). The impact of category management practices on retail performance: A meta-analysis. Journal of Retailing and Consumer Services, 55, 102246.
	Boehnke, K., &amp; Suhl, J. (2021). The role of category management in omnichannel retailing. Journal of Retailing and Consumer Services, 60, 102497.
	Capon, W. L., Stone, B. R., &amp; DeFranco, R. J. (2019). Retail category management: A research agenda. Journal of Retailing, 95(3), 325-345.
	Grewal, R., Lilien, G. L., &amp; Mazur, M. A. (2020). Category management: A strategic framework for managing product categories. Journal of the Academy of Marketing Science, 48(2), 228-252.
	Verhoef, P. C., &amp; Wieling, R. (2021). Category management: A review of its antecedents and consequences. European Retail Research, 30(4), 507-534.
</v>
      </c>
      <c r="G37" s="87"/>
      <c r="H37" s="87"/>
      <c r="I37" s="88"/>
    </row>
    <row r="38" spans="2:9" s="48" customFormat="1" ht="38.450000000000003" customHeight="1">
      <c r="B38" s="86"/>
      <c r="C38" s="87"/>
      <c r="D38" s="87"/>
      <c r="E38" s="95"/>
      <c r="F38" s="112"/>
      <c r="G38" s="87"/>
      <c r="H38" s="87"/>
      <c r="I38" s="88"/>
    </row>
    <row r="39" spans="2:9" s="48" customFormat="1" ht="38.450000000000003" customHeight="1">
      <c r="B39" s="86"/>
      <c r="C39" s="87"/>
      <c r="D39" s="87"/>
      <c r="E39" s="95"/>
      <c r="F39" s="112"/>
      <c r="G39" s="87"/>
      <c r="H39" s="87"/>
      <c r="I39" s="88"/>
    </row>
    <row r="40" spans="2:9" s="48" customFormat="1" ht="38.450000000000003" customHeight="1">
      <c r="B40" s="86"/>
      <c r="C40" s="87"/>
      <c r="D40" s="87"/>
      <c r="E40" s="95"/>
      <c r="F40" s="112"/>
      <c r="G40" s="87"/>
      <c r="H40" s="87"/>
      <c r="I40" s="88"/>
    </row>
    <row r="41" spans="2:9" s="48" customFormat="1" ht="38.450000000000003" customHeight="1">
      <c r="B41" s="86"/>
      <c r="C41" s="87"/>
      <c r="D41" s="87"/>
      <c r="E41" s="95"/>
      <c r="F41" s="112"/>
      <c r="G41" s="87"/>
      <c r="H41" s="87"/>
      <c r="I41" s="88"/>
    </row>
    <row r="42" spans="2:9" s="48" customFormat="1" ht="38.450000000000003" customHeight="1" thickBot="1">
      <c r="B42" s="89"/>
      <c r="C42" s="90"/>
      <c r="D42" s="90"/>
      <c r="E42" s="96"/>
      <c r="F42" s="113"/>
      <c r="G42" s="90"/>
      <c r="H42" s="90"/>
      <c r="I42" s="91"/>
    </row>
    <row r="43" spans="2:9">
      <c r="B43" s="63" t="s">
        <v>567</v>
      </c>
      <c r="C43" s="64"/>
      <c r="D43" s="64"/>
      <c r="E43" s="64"/>
      <c r="F43" s="64"/>
      <c r="G43" s="64"/>
      <c r="H43" s="64"/>
      <c r="I43" s="65"/>
    </row>
    <row r="44" spans="2:9">
      <c r="B44" s="21" t="s">
        <v>59</v>
      </c>
      <c r="C44" s="9" t="s">
        <v>60</v>
      </c>
      <c r="D44" s="9" t="s">
        <v>568</v>
      </c>
      <c r="E44" s="9" t="s">
        <v>62</v>
      </c>
      <c r="F44" s="9" t="s">
        <v>63</v>
      </c>
      <c r="G44" s="66" t="s">
        <v>64</v>
      </c>
      <c r="H44" s="66"/>
      <c r="I44" s="67"/>
    </row>
    <row r="45" spans="2:9">
      <c r="B45" s="22"/>
      <c r="C45" s="10"/>
      <c r="D45" s="10"/>
      <c r="E45" s="10"/>
      <c r="F45" s="10"/>
      <c r="G45" s="56"/>
      <c r="H45" s="56"/>
      <c r="I45" s="57"/>
    </row>
    <row r="46" spans="2:9">
      <c r="B46" s="22"/>
      <c r="C46" s="10"/>
      <c r="D46" s="10"/>
      <c r="E46" s="10"/>
      <c r="F46" s="10"/>
      <c r="G46" s="56"/>
      <c r="H46" s="56"/>
      <c r="I46" s="57"/>
    </row>
    <row r="47" spans="2:9">
      <c r="B47" s="22"/>
      <c r="C47" s="10"/>
      <c r="D47" s="10"/>
      <c r="E47" s="10"/>
      <c r="F47" s="10"/>
      <c r="G47" s="56"/>
      <c r="H47" s="56"/>
      <c r="I47" s="57"/>
    </row>
    <row r="48" spans="2:9">
      <c r="B48" s="22"/>
      <c r="C48" s="10"/>
      <c r="D48" s="10"/>
      <c r="E48" s="10"/>
      <c r="F48" s="10"/>
      <c r="G48" s="56"/>
      <c r="H48" s="56"/>
      <c r="I48" s="57"/>
    </row>
    <row r="49" spans="2:9">
      <c r="B49" s="22"/>
      <c r="C49" s="10"/>
      <c r="D49" s="10"/>
      <c r="E49" s="10"/>
      <c r="F49" s="10"/>
      <c r="G49" s="56"/>
      <c r="H49" s="56"/>
      <c r="I49" s="57"/>
    </row>
    <row r="50" spans="2:9" ht="15" thickBot="1">
      <c r="B50" s="23"/>
      <c r="C50" s="24"/>
      <c r="D50" s="24"/>
      <c r="E50" s="24"/>
      <c r="F50" s="24"/>
      <c r="G50" s="58"/>
      <c r="H50" s="58"/>
      <c r="I50" s="59"/>
    </row>
  </sheetData>
  <mergeCells count="42">
    <mergeCell ref="D20:F26"/>
    <mergeCell ref="B20:C26"/>
    <mergeCell ref="B11:I11"/>
    <mergeCell ref="B18:I18"/>
    <mergeCell ref="H19:I19"/>
    <mergeCell ref="E19:F19"/>
    <mergeCell ref="G20:I26"/>
    <mergeCell ref="B13:C13"/>
    <mergeCell ref="D13:I13"/>
    <mergeCell ref="B12:C12"/>
    <mergeCell ref="L9:O10"/>
    <mergeCell ref="E9:F9"/>
    <mergeCell ref="H9:I9"/>
    <mergeCell ref="B14:I14"/>
    <mergeCell ref="B15:I17"/>
    <mergeCell ref="H8:I8"/>
    <mergeCell ref="B2:B3"/>
    <mergeCell ref="C2:H3"/>
    <mergeCell ref="B4:H4"/>
    <mergeCell ref="B5:I5"/>
    <mergeCell ref="B6:I6"/>
    <mergeCell ref="D12:I12"/>
    <mergeCell ref="B43:I43"/>
    <mergeCell ref="G44:I44"/>
    <mergeCell ref="G45:I45"/>
    <mergeCell ref="B27:I27"/>
    <mergeCell ref="B34:E34"/>
    <mergeCell ref="F34:G34"/>
    <mergeCell ref="B35:I35"/>
    <mergeCell ref="B33:E33"/>
    <mergeCell ref="F33:I33"/>
    <mergeCell ref="B28:I29"/>
    <mergeCell ref="B30:I32"/>
    <mergeCell ref="B36:E36"/>
    <mergeCell ref="B37:E42"/>
    <mergeCell ref="F36:I36"/>
    <mergeCell ref="F37: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9F1CE74-79EA-428D-B8DD-A75959396C8D}">
          <x14:formula1>
            <xm:f>Parámetros!$H$1:$H$2</xm:f>
          </x14:formula1>
          <xm:sqref>C9</xm:sqref>
        </x14:dataValidation>
        <x14:dataValidation type="list" allowBlank="1" showInputMessage="1" showErrorMessage="1" xr:uid="{54B94520-D6A6-43C3-A715-395E01CB56D5}">
          <x14:formula1>
            <xm:f>Parámetros!$J$2</xm:f>
          </x14:formula1>
          <xm:sqref>E9:F9</xm:sqref>
        </x14:dataValidation>
        <x14:dataValidation type="list" allowBlank="1" showInputMessage="1" showErrorMessage="1" xr:uid="{AE8102F3-2AF8-4A22-879B-C532B5225D8D}">
          <x14:formula1>
            <xm:f>Parámetros!$K$2:$K$34</xm:f>
          </x14:formula1>
          <xm:sqref>H9:I9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K34"/>
  <sheetViews>
    <sheetView topLeftCell="A18" workbookViewId="0">
      <selection activeCell="K2" sqref="K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9" width="10.85546875" style="11"/>
    <col min="12" max="16384" width="10.85546875" style="11"/>
  </cols>
  <sheetData>
    <row r="1" spans="1:11" ht="43.5">
      <c r="A1" s="11" t="s">
        <v>569</v>
      </c>
      <c r="B1" s="11" t="s">
        <v>93</v>
      </c>
      <c r="C1" s="11">
        <v>2</v>
      </c>
      <c r="D1" s="11">
        <v>36</v>
      </c>
      <c r="E1" s="11">
        <v>60</v>
      </c>
      <c r="F1" s="11" t="s">
        <v>84</v>
      </c>
      <c r="G1" s="13">
        <v>0.1</v>
      </c>
      <c r="H1" s="11" t="s">
        <v>570</v>
      </c>
      <c r="J1" s="35" t="s">
        <v>11</v>
      </c>
      <c r="K1" s="35" t="s">
        <v>12</v>
      </c>
    </row>
    <row r="2" spans="1:11">
      <c r="A2" s="11" t="s">
        <v>571</v>
      </c>
      <c r="B2" s="11" t="s">
        <v>572</v>
      </c>
      <c r="C2" s="11">
        <v>3</v>
      </c>
      <c r="D2" s="11">
        <v>54</v>
      </c>
      <c r="E2" s="11">
        <v>90</v>
      </c>
      <c r="F2" s="11" t="s">
        <v>573</v>
      </c>
      <c r="G2" s="13">
        <v>0.2</v>
      </c>
      <c r="H2" s="11" t="s">
        <v>549</v>
      </c>
      <c r="J2" s="40" t="s">
        <v>150</v>
      </c>
      <c r="K2" s="40" t="s">
        <v>95</v>
      </c>
    </row>
    <row r="3" spans="1:11">
      <c r="A3" s="11" t="s">
        <v>574</v>
      </c>
      <c r="B3" s="11" t="s">
        <v>575</v>
      </c>
      <c r="C3" s="11">
        <v>4</v>
      </c>
      <c r="D3" s="11">
        <v>72</v>
      </c>
      <c r="E3" s="11">
        <v>120</v>
      </c>
      <c r="F3" s="11" t="s">
        <v>576</v>
      </c>
      <c r="G3" s="13">
        <v>0.3</v>
      </c>
      <c r="K3" s="40" t="s">
        <v>107</v>
      </c>
    </row>
    <row r="4" spans="1:11">
      <c r="A4" s="11" t="s">
        <v>577</v>
      </c>
      <c r="B4" s="11" t="s">
        <v>578</v>
      </c>
      <c r="C4" s="11">
        <v>5</v>
      </c>
      <c r="D4" s="11">
        <v>90</v>
      </c>
      <c r="E4" s="11">
        <v>102</v>
      </c>
      <c r="F4" s="11" t="s">
        <v>579</v>
      </c>
      <c r="G4" s="13">
        <v>0.4</v>
      </c>
      <c r="K4" s="40" t="s">
        <v>121</v>
      </c>
    </row>
    <row r="5" spans="1:11">
      <c r="A5" s="11" t="s">
        <v>580</v>
      </c>
      <c r="B5" s="11" t="s">
        <v>581</v>
      </c>
      <c r="C5" s="11">
        <v>6</v>
      </c>
      <c r="D5" s="11">
        <v>90</v>
      </c>
      <c r="E5" s="11">
        <v>150</v>
      </c>
      <c r="F5" s="11" t="s">
        <v>582</v>
      </c>
      <c r="G5" s="13">
        <v>0.5</v>
      </c>
      <c r="K5" s="40" t="s">
        <v>135</v>
      </c>
    </row>
    <row r="6" spans="1:11">
      <c r="B6" s="11" t="s">
        <v>583</v>
      </c>
      <c r="C6" s="11">
        <v>8</v>
      </c>
      <c r="D6" s="11">
        <v>108</v>
      </c>
      <c r="E6" s="11">
        <v>180</v>
      </c>
      <c r="G6" s="13">
        <v>0.6</v>
      </c>
      <c r="K6" s="40" t="s">
        <v>151</v>
      </c>
    </row>
    <row r="7" spans="1:11">
      <c r="B7" s="11" t="s">
        <v>584</v>
      </c>
      <c r="D7" s="11">
        <v>144</v>
      </c>
      <c r="E7" s="11">
        <v>240</v>
      </c>
      <c r="G7" s="13">
        <v>0.7</v>
      </c>
      <c r="K7" s="40" t="s">
        <v>167</v>
      </c>
    </row>
    <row r="8" spans="1:11">
      <c r="B8" s="11" t="s">
        <v>585</v>
      </c>
      <c r="D8" s="11">
        <v>32</v>
      </c>
      <c r="E8" s="11">
        <v>64</v>
      </c>
      <c r="G8" s="13">
        <v>0.8</v>
      </c>
      <c r="K8" s="40" t="s">
        <v>181</v>
      </c>
    </row>
    <row r="9" spans="1:11">
      <c r="B9" s="11" t="s">
        <v>586</v>
      </c>
      <c r="D9" s="11">
        <v>36</v>
      </c>
      <c r="E9" s="11">
        <v>108</v>
      </c>
      <c r="G9" s="13">
        <v>0.9</v>
      </c>
      <c r="K9" s="40" t="s">
        <v>195</v>
      </c>
    </row>
    <row r="10" spans="1:11">
      <c r="D10" s="11">
        <v>40</v>
      </c>
      <c r="E10" s="11">
        <v>152</v>
      </c>
      <c r="G10" s="13">
        <v>1</v>
      </c>
      <c r="K10" s="41" t="s">
        <v>209</v>
      </c>
    </row>
    <row r="11" spans="1:11">
      <c r="D11" s="11">
        <v>54</v>
      </c>
      <c r="E11" s="11">
        <v>234</v>
      </c>
      <c r="G11" s="13"/>
      <c r="K11" s="40" t="s">
        <v>223</v>
      </c>
    </row>
    <row r="12" spans="1:11">
      <c r="D12" s="11">
        <v>64</v>
      </c>
      <c r="E12" s="11">
        <v>320</v>
      </c>
      <c r="K12" s="40" t="s">
        <v>237</v>
      </c>
    </row>
    <row r="13" spans="1:11">
      <c r="D13" s="11">
        <v>24</v>
      </c>
      <c r="E13" s="11">
        <v>72</v>
      </c>
      <c r="K13" s="40" t="s">
        <v>252</v>
      </c>
    </row>
    <row r="14" spans="1:11">
      <c r="D14" s="11">
        <v>36</v>
      </c>
      <c r="E14" s="11">
        <v>108</v>
      </c>
      <c r="K14" s="40" t="s">
        <v>267</v>
      </c>
    </row>
    <row r="15" spans="1:11">
      <c r="D15" s="11">
        <v>48</v>
      </c>
      <c r="E15" s="11">
        <v>144</v>
      </c>
      <c r="K15" s="40" t="s">
        <v>279</v>
      </c>
    </row>
    <row r="16" spans="1:11">
      <c r="K16" s="40" t="s">
        <v>293</v>
      </c>
    </row>
    <row r="17" spans="1:11">
      <c r="K17" s="40" t="s">
        <v>306</v>
      </c>
    </row>
    <row r="18" spans="1:11">
      <c r="K18" s="40" t="s">
        <v>320</v>
      </c>
    </row>
    <row r="19" spans="1:11">
      <c r="K19" s="40" t="s">
        <v>331</v>
      </c>
    </row>
    <row r="20" spans="1:11">
      <c r="K20" s="40" t="s">
        <v>345</v>
      </c>
    </row>
    <row r="21" spans="1:11">
      <c r="K21" s="40" t="s">
        <v>357</v>
      </c>
    </row>
    <row r="22" spans="1:11">
      <c r="K22" s="40" t="s">
        <v>370</v>
      </c>
    </row>
    <row r="23" spans="1:11">
      <c r="K23" s="40" t="s">
        <v>384</v>
      </c>
    </row>
    <row r="24" spans="1:11">
      <c r="K24" s="40" t="s">
        <v>398</v>
      </c>
    </row>
    <row r="25" spans="1:11">
      <c r="A25" s="14">
        <v>45916</v>
      </c>
      <c r="K25" s="40" t="s">
        <v>411</v>
      </c>
    </row>
    <row r="26" spans="1:11">
      <c r="K26" s="40" t="s">
        <v>424</v>
      </c>
    </row>
    <row r="27" spans="1:11">
      <c r="K27" s="40" t="s">
        <v>437</v>
      </c>
    </row>
    <row r="28" spans="1:11">
      <c r="K28" s="40" t="s">
        <v>450</v>
      </c>
    </row>
    <row r="29" spans="1:11">
      <c r="K29" s="40" t="s">
        <v>463</v>
      </c>
    </row>
    <row r="30" spans="1:11">
      <c r="K30" s="40" t="s">
        <v>477</v>
      </c>
    </row>
    <row r="31" spans="1:11">
      <c r="K31" s="40" t="s">
        <v>490</v>
      </c>
    </row>
    <row r="32" spans="1:11">
      <c r="K32" s="40" t="s">
        <v>504</v>
      </c>
    </row>
    <row r="33" spans="11:11">
      <c r="K33" s="40" t="s">
        <v>518</v>
      </c>
    </row>
    <row r="34" spans="11:11">
      <c r="K34" s="40"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MAGDA GISELA BERMUDEZ JIMENEZ</cp:lastModifiedBy>
  <cp:revision/>
  <dcterms:created xsi:type="dcterms:W3CDTF">2025-08-27T15:39:23Z</dcterms:created>
  <dcterms:modified xsi:type="dcterms:W3CDTF">2026-07-15T13:55:39Z</dcterms:modified>
  <cp:category/>
  <cp:contentStatus/>
</cp:coreProperties>
</file>